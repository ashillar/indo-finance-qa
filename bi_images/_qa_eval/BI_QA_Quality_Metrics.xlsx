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QA_Detail" sheetId="3" state="visible" r:id="rId5"/>
    <sheet name="By_Category" sheetId="4" state="visible" r:id="rId6"/>
    <sheet name="ErrorType_x_Category" sheetId="5" state="visible" r:id="rId7"/>
    <sheet name="Discard_Analysis" sheetId="6" state="visible" r:id="rId8"/>
    <sheet name="Revision_Analysis" sheetId="7" state="visible" r:id="rId9"/>
    <sheet name="Not_Verified" sheetId="8" state="visible" r:id="rId10"/>
  </sheets>
  <definedNames>
    <definedName function="false" hidden="true" localSheetId="2" name="_xlnm._FilterDatabase" vbProcedure="false">QA_Detail!$A$1:$AH$988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<sst xmlns="http://schemas.openxmlformats.org/spreadsheetml/2006/main" count="20401" uniqueCount="6668">
  <si>
    <t xml:space="preserve">QA Quality Evaluation — BI single-page QA (InternVL vs Qwen2.5-VL)</t>
  </si>
  <si>
    <t xml:space="preserve">Scope</t>
  </si>
  <si>
    <t xml:space="preserve">987 QA pairs verified against their page image (495 InternVL, 492 Qwen2.5-VL) across 165 page images. 24 QA excluded (4 images missing from the folder) and 1 Qwen page produced no QA — see Not_Verified.</t>
  </si>
  <si>
    <t xml:space="preserve">Method</t>
  </si>
  <si>
    <t xml:space="preserve">Every page image was opened and each QA checked value-by-value (numbers, entity, period, unit, direction) with small labels zoomed in. Each QA got one verdict, a severity, error types, category check, evidence from the page and, for REVISE, a corrected answer.</t>
  </si>
  <si>
    <t xml:space="preserve">PASS</t>
  </si>
  <si>
    <t xml:space="preserve">Answer fully correct as written and category label fits. Needs no change.</t>
  </si>
  <si>
    <t xml:space="preserve">REVISE</t>
  </si>
  <si>
    <t xml:space="preserve">The QA is based on the page (the data/topic exists) but needs a fix: misread/misattributed number, wrong period, unit, trend direction, calculation, incomplete answer, garbled wording, or wrong category label.</t>
  </si>
  <si>
    <t xml:space="preserve">DISCARD</t>
  </si>
  <si>
    <t xml:space="preserve">Hallucinated: the question asks about something not on the page (metric, entity, period) or is unintelligible, so neither question nor answer exists in the document. A valid question with a wrong answer is REVISE-Major, not DISCARD.</t>
  </si>
  <si>
    <t xml:space="preserve">Severity</t>
  </si>
  <si>
    <t xml:space="preserve">Minor = REVISE with small fix (core fact right). Major = REVISE with a wrong key fact. Critical = DISCARD.</t>
  </si>
  <si>
    <t xml:space="preserve">QA Accuracy</t>
  </si>
  <si>
    <t xml:space="preserve">% QA whose answer is factually correct from the start. Only category-label, typo/grammar or format issues are tolerated. (Content-level view.)</t>
  </si>
  <si>
    <t xml:space="preserve">First Pass Yield</t>
  </si>
  <si>
    <t xml:space="preserve">% QA that pass with no revision at all (strict: also requires correct category label and clean wording) = PASS / N.</t>
  </si>
  <si>
    <t xml:space="preserve">Revision / Discard Rate</t>
  </si>
  <si>
    <t xml:space="preserve">REVISE / N and DISCARD / N.</t>
  </si>
  <si>
    <t xml:space="preserve">Error Rate</t>
  </si>
  <si>
    <t xml:space="preserve">% QA with at least one error = (REVISE + DISCARD) / N = 1 − FPY. Factual Error Rate = 1 − Accuracy.</t>
  </si>
  <si>
    <t xml:space="preserve">Error types</t>
  </si>
  <si>
    <t xml:space="preserve">Hallucination, Factual/Numerical (wrong or misattributed value), Calculation, Reasoning (direction/comparison/causal), Temporal (period), Unit, Incomplete, Instruction-following (category label does not fit the QA), Format, Typo/Grammar. Primary = main reason; "any" = all errors present.</t>
  </si>
  <si>
    <t xml:space="preserve">Categories</t>
  </si>
  <si>
    <t xml:space="preserve">Text-Text Inference | Chart-Information Extraction, Chart-Numerical Calculation, Chart-Time-Sensitive | Table-Numerical Calculation, Table-Comparison and Sorting. Metrics are grouped by the category the generator assigned; Suggested Category in QA_Detail gives the category that actually fits.</t>
  </si>
  <si>
    <t xml:space="preserve">Discard reasons</t>
  </si>
  <si>
    <t xml:space="preserve">Metric/topic not on page · Entity/region not on page · Period/time comparison not on page · Garbled/unintelligible question · False premise / speculation. Answer basis: borrowed a value from another metric on the page · fabricated value · non-answer.</t>
  </si>
  <si>
    <t xml:space="preserve">Validation</t>
  </si>
  <si>
    <t xml:space="preserve">Agreement with the earlier independent 50-QA manual check in _kappa_eval (Correct/Partial/Incorrect): 86% exact agreement, Cohen κ = 0.78, quadratic-weighted κ = 0.91.</t>
  </si>
  <si>
    <t xml:space="preserve">Caveat</t>
  </si>
  <si>
    <t xml:space="preserve">Verdicts are an AI-assisted review of the page images, not a human annotation. Treat borderline Minor cases (e.g. text vs chart when a value appears in both) as reviewer judgement; spot-check before using as gold labels.</t>
  </si>
  <si>
    <t xml:space="preserve">Sheets</t>
  </si>
  <si>
    <t xml:space="preserve">Summary (headline metrics, severity, error types + charts) · By_Category (every metric per category and per Text/Chart/Table) · ErrorType_x_Category · Discard_Analysis (why discarded + full list) · Revision_Analysis · QA_Detail (every QA with verdict, evidence, corrected answer; filterable) · Not_Verified.</t>
  </si>
  <si>
    <t xml:space="preserve">QA Quality Metrics — verified against page images</t>
  </si>
  <si>
    <t xml:space="preserve">Source: bi_single_final_internvl.jsonl &amp; bi_single_qwen25_vl.jsonl; each QA checked against its page image in bi_images/single. All numbers are live formulas over QA_Detail.</t>
  </si>
  <si>
    <t xml:space="preserve">Model →</t>
  </si>
  <si>
    <t xml:space="preserve">Metric</t>
  </si>
  <si>
    <t xml:space="preserve">InternVL</t>
  </si>
  <si>
    <t xml:space="preserve">Qwen2.5-VL</t>
  </si>
  <si>
    <t xml:space="preserve">Overall</t>
  </si>
  <si>
    <t xml:space="preserve">Definition / formula</t>
  </si>
  <si>
    <t xml:space="preserve">QA verified (N)</t>
  </si>
  <si>
    <t xml:space="preserve">QA pairs checked against an available page image</t>
  </si>
  <si>
    <t xml:space="preserve">PASS (no change needed)</t>
  </si>
  <si>
    <t xml:space="preserve">Correct answer, correct category, no edits</t>
  </si>
  <si>
    <t xml:space="preserve">Grounded in the page but needs a fix (value, period, unit, wording or category label)</t>
  </si>
  <si>
    <t xml:space="preserve">Hallucinated: question AND answer not in the document</t>
  </si>
  <si>
    <t xml:space="preserve">Content correct</t>
  </si>
  <si>
    <t xml:space="preserve">Answer factually right (only label/typo/format issues allowed)</t>
  </si>
  <si>
    <t xml:space="preserve">% QA whose answer is factually correct from the start (ignores category label / typo / format fixes)</t>
  </si>
  <si>
    <t xml:space="preserve">Revision Rate</t>
  </si>
  <si>
    <t xml:space="preserve">% QA that need revision = REVISE / N</t>
  </si>
  <si>
    <t xml:space="preserve">Discard Rate</t>
  </si>
  <si>
    <t xml:space="preserve">% QA discarded (hallucinated) = DISCARD / N</t>
  </si>
  <si>
    <t xml:space="preserve">First Pass Yield (FPY)</t>
  </si>
  <si>
    <t xml:space="preserve">% QA that pass with zero revision of any kind (strict) = PASS / N</t>
  </si>
  <si>
    <t xml:space="preserve">% QA with at least one error = (REVISE + DISCARD) / N = 1 − FPY</t>
  </si>
  <si>
    <t xml:space="preserve">Factual Error Rate</t>
  </si>
  <si>
    <t xml:space="preserve">% QA with a content error (1 − Accuracy)</t>
  </si>
  <si>
    <t xml:space="preserve">Category label correct</t>
  </si>
  <si>
    <t xml:space="preserve">% QA whose assigned category matches the evidence/task</t>
  </si>
  <si>
    <t xml:space="preserve">Error Severity</t>
  </si>
  <si>
    <t xml:space="preserve">% of all QA (Overall)</t>
  </si>
  <si>
    <t xml:space="preserve">InternVL %</t>
  </si>
  <si>
    <t xml:space="preserve">Qwen2.5-VL %</t>
  </si>
  <si>
    <t xml:space="preserve">Meaning</t>
  </si>
  <si>
    <t xml:space="preserve">Minor</t>
  </si>
  <si>
    <t xml:space="preserve">REVISE: core fact right; small fix (wording, unit label, period framing, category label, typo)</t>
  </si>
  <si>
    <t xml:space="preserve">Major</t>
  </si>
  <si>
    <t xml:space="preserve">REVISE: key fact wrong (number / entity / period / direction / calculation) but question answerable from page</t>
  </si>
  <si>
    <t xml:space="preserve">Critical</t>
  </si>
  <si>
    <t xml:space="preserve">DISCARD: hallucinated, not grounded in page</t>
  </si>
  <si>
    <t xml:space="preserve">Error Type (primary = main reason; any = QA containing that error at all)</t>
  </si>
  <si>
    <t xml:space="preserve">Error Type</t>
  </si>
  <si>
    <t xml:space="preserve">InternVL (primary)</t>
  </si>
  <si>
    <t xml:space="preserve">Qwen2.5-VL (primary)</t>
  </si>
  <si>
    <t xml:space="preserve">Overall (primary)</t>
  </si>
  <si>
    <t xml:space="preserve">InternVL (any)</t>
  </si>
  <si>
    <t xml:space="preserve">Qwen2.5-VL (any)</t>
  </si>
  <si>
    <t xml:space="preserve">Overall (any)</t>
  </si>
  <si>
    <t xml:space="preserve">% of QA with this error (Overall)</t>
  </si>
  <si>
    <t xml:space="preserve">Hallucination</t>
  </si>
  <si>
    <t xml:space="preserve">Factual/Numerical</t>
  </si>
  <si>
    <t xml:space="preserve">Calculation</t>
  </si>
  <si>
    <t xml:space="preserve">Reasoning</t>
  </si>
  <si>
    <t xml:space="preserve">Temporal</t>
  </si>
  <si>
    <t xml:space="preserve">Unit</t>
  </si>
  <si>
    <t xml:space="preserve">Incomplete</t>
  </si>
  <si>
    <t xml:space="preserve">Instruction-following</t>
  </si>
  <si>
    <t xml:space="preserve">Format</t>
  </si>
  <si>
    <t xml:space="preserve">Typo/Grammar</t>
  </si>
  <si>
    <t xml:space="preserve">Total QA with errors</t>
  </si>
  <si>
    <t xml:space="preserve">Primary counts sum to REVISE+DISCARD; "any" counts overlap because one QA can carry several errors.</t>
  </si>
  <si>
    <t xml:space="preserve">QA_ID</t>
  </si>
  <si>
    <t xml:space="preserve">Model</t>
  </si>
  <si>
    <t xml:space="preserve">Document</t>
  </si>
  <si>
    <t xml:space="preserve">Page</t>
  </si>
  <si>
    <t xml:space="preserve">Image File</t>
  </si>
  <si>
    <t xml:space="preserve">Gen Idx</t>
  </si>
  <si>
    <t xml:space="preserve">Assigned Category</t>
  </si>
  <si>
    <t xml:space="preserve">Modality</t>
  </si>
  <si>
    <t xml:space="preserve">Question</t>
  </si>
  <si>
    <t xml:space="preserve">Answer</t>
  </si>
  <si>
    <t xml:space="preserve">Answer Type</t>
  </si>
  <si>
    <t xml:space="preserve">Verdict</t>
  </si>
  <si>
    <t xml:space="preserve">Primary Error Type</t>
  </si>
  <si>
    <t xml:space="preserve">All Error Types</t>
  </si>
  <si>
    <t xml:space="preserve">Category Correct</t>
  </si>
  <si>
    <t xml:space="preserve">Suggested Category</t>
  </si>
  <si>
    <t xml:space="preserve">Content Correct</t>
  </si>
  <si>
    <t xml:space="preserve">Discard Reason</t>
  </si>
  <si>
    <t xml:space="preserve">Discard Answer Basis</t>
  </si>
  <si>
    <t xml:space="preserve">Evidence on Page</t>
  </si>
  <si>
    <t xml:space="preserve">Reviewer Explanation</t>
  </si>
  <si>
    <t xml:space="preserve">Corrected Question</t>
  </si>
  <si>
    <t xml:space="preserve">Corrected Answer</t>
  </si>
  <si>
    <t xml:space="preserve">ERR: Hallucination</t>
  </si>
  <si>
    <t xml:space="preserve">ERR: Factual/Numerical</t>
  </si>
  <si>
    <t xml:space="preserve">ERR: Calculation</t>
  </si>
  <si>
    <t xml:space="preserve">ERR: Reasoning</t>
  </si>
  <si>
    <t xml:space="preserve">ERR: Temporal</t>
  </si>
  <si>
    <t xml:space="preserve">ERR: Unit</t>
  </si>
  <si>
    <t xml:space="preserve">ERR: Incomplete</t>
  </si>
  <si>
    <t xml:space="preserve">ERR: Instruction-following</t>
  </si>
  <si>
    <t xml:space="preserve">ERR: Format</t>
  </si>
  <si>
    <t xml:space="preserve">ERR: Typo/Grammar</t>
  </si>
  <si>
    <t xml:space="preserve">QA0001</t>
  </si>
  <si>
    <t xml:space="preserve">KERProvinsiKalimantanTengahTriwulanIV2012</t>
  </si>
  <si>
    <t xml:space="preserve">8dabadfb728f43cf89fe3bf6bb7614a3KERProvinsiKalimantanTengahTriwulanIV2012_p013.png</t>
  </si>
  <si>
    <t xml:space="preserve">Text-Text Inference</t>
  </si>
  <si>
    <t xml:space="preserve">Text</t>
  </si>
  <si>
    <t xml:space="preserve">Bagaimana kondisi umum ekspor di Kalimantan Tengah selama periode 2005-2012?</t>
  </si>
  <si>
    <t xml:space="preserve">Ekspor di Kalimantan Tengah selama periode 2005-2012 meningkat dari 33,64 miliar rupiah pada tahun 2005 menjadi 55,38 miliar rupiah pada tahun 2012.</t>
  </si>
  <si>
    <t xml:space="preserve">pendek</t>
  </si>
  <si>
    <t xml:space="preserve">Factual/Numerical, Unit, Instruction-following</t>
  </si>
  <si>
    <t xml:space="preserve">N</t>
  </si>
  <si>
    <t xml:space="preserve">Table-Comparison and Sorting</t>
  </si>
  <si>
    <t xml:space="preserve">Tabel 1.1: Ekspor share of PDRB 33,64% (2005) -&gt; 42,61% (2012); 55,38 is Impor 2011. Values are % shares, not miliar rupiah.</t>
  </si>
  <si>
    <t xml:space="preserve">2012 value wrong (55,38 is Impor 2011), unit wrong (% share not miliar rupiah), and evidence is in the table, not text.</t>
  </si>
  <si>
    <t xml:space="preserve">Pangsa ekspor terhadap PDRB Kalimantan Tengah meningkat dari 33,64% pada tahun 2005 menjadi 42,61% pada tahun 2012 (sempat mencapai 44,56% pada 2011).</t>
  </si>
  <si>
    <t xml:space="preserve">QA0002</t>
  </si>
  <si>
    <t xml:space="preserve">Chart-Numerical Calculation</t>
  </si>
  <si>
    <t xml:space="preserve">Chart</t>
  </si>
  <si>
    <t xml:space="preserve">Bagaimana pertumbuhan ekonomi di Kalimantan Tengah selama periode 2005-2012?</t>
  </si>
  <si>
    <t xml:space="preserve">Pertumbuhan ekonomi di Kalimantan Tengah selama periode 2005-2012 mencapai 6,62% (yoy).</t>
  </si>
  <si>
    <t xml:space="preserve">panjang</t>
  </si>
  <si>
    <t xml:space="preserve">Temporal, Instruction-following</t>
  </si>
  <si>
    <t xml:space="preserve">Text: ekonomi Kalteng triwulan IV-2012 tumbuh 6,62% (yoy), melambat dari 7,14% periode lalu. No chart on page.</t>
  </si>
  <si>
    <t xml:space="preserve">6,62% yoy is Tw IV-2012 growth, not 2005-2012; page has no chart so Chart-Numerical Calculation label is wrong.</t>
  </si>
  <si>
    <t xml:space="preserve">Bagaimana pertumbuhan ekonomi Kalimantan Tengah pada triwulan IV-2012?</t>
  </si>
  <si>
    <t xml:space="preserve">Perekonomian Kalimantan Tengah pada triwulan IV-2012 tumbuh 6,62% (yoy), melambat dibanding periode sebelumnya yang tumbuh 7,14%.</t>
  </si>
  <si>
    <t xml:space="preserve">QA0003</t>
  </si>
  <si>
    <t xml:space="preserve">Chart-Time-Sensitive</t>
  </si>
  <si>
    <t xml:space="preserve">Bagaimana pertumbuhan investasi di Kalimantan Tengah selama periode 2005-2012?</t>
  </si>
  <si>
    <t xml:space="preserve">Investasi di Kalimantan Tengah selama periode 2005-2012 meningkat dari 5,56 miliar rupiah pada tahun 2005 menjadi 27,99 miliar rupiah pada tahun 2012.</t>
  </si>
  <si>
    <t xml:space="preserve">Tabel 1.1: Pembentukan Modal Tetap Bruto (investasi) share 35,91% (2005) -&gt; 46,44% (2012). 27,99 is Pertanian 2012. No chart.</t>
  </si>
  <si>
    <t xml:space="preserve">Values wrong (5,56 and 27,99 are not investment figures), unit should be % share of PDRB, and data is from a table not a chart.</t>
  </si>
  <si>
    <t xml:space="preserve">Pangsa investasi (PMTB) terhadap PDRB Kalimantan Tengah meningkat dari 35,91% pada tahun 2005 menjadi 46,44% pada tahun 2012.</t>
  </si>
  <si>
    <t xml:space="preserve">QA0004</t>
  </si>
  <si>
    <t xml:space="preserve">8dabadfb728f43cf89fe3bf6bb7614a3KERProvinsiKalimantanTengahTriwulanIV2012_p016.png</t>
  </si>
  <si>
    <t xml:space="preserve">Bagaimana kinerja kredit konsumsi lainnya pada tahun 2011?</t>
  </si>
  <si>
    <t xml:space="preserve">Kredit konsumsi lainnya meningkat 4,867 miliar rupiah</t>
  </si>
  <si>
    <t xml:space="preserve">Factual/Numerical, Unit, Reasoning, Instruction-following</t>
  </si>
  <si>
    <t xml:space="preserve">Grafik 1.3 (%yoy): Kredit Konsumsi Lainnya ~34% (Jan-2011), ~27% until Jul-2011, dropped to ~10% in Aug and ~10-13% to Dec-2011. No 4,867 miliar anywhere.</t>
  </si>
  <si>
    <t xml:space="preserve">The series exists only in Grafik 1.3 as % yoy growth; the answer's 4,867 miliar is fabricated with wrong unit, and growth actually slowed during 2011. Evidence is chart, not text.</t>
  </si>
  <si>
    <t xml:space="preserve">Pertumbuhan kredit konsumsi lainnya melambat sepanjang 2011, dari sekitar 34% (yoy) di awal tahun, stabil sekitar 27% hingga Juli, lalu turun ke kisaran 10-13% (yoy) sejak Agustus hingga akhir 2011.</t>
  </si>
  <si>
    <t xml:space="preserve">QA0005</t>
  </si>
  <si>
    <t xml:space="preserve">Bagaimana kontribusi K/L pada tahun 2011?</t>
  </si>
  <si>
    <t xml:space="preserve">K/L mengkontribusi 97% dari total anggaran belanja</t>
  </si>
  <si>
    <t xml:space="preserve">Text &amp; Tabel 1.3: Anggaran K/L terealisasi Rp4,74 triliun atau sekitar 97% dari total anggaran belanja pusat untuk K/L di Kalteng, at Tw IV-2012 (2012 Q4). No 2011 K/L figure.</t>
  </si>
  <si>
    <t xml:space="preserve">97% is K/L budget realization in Q4 2012, not 2011 and not a 'contribution'; no chart or calculation involved.</t>
  </si>
  <si>
    <t xml:space="preserve">Berapa realisasi anggaran K/L (APBN) di Kalimantan Tengah pada triwulan IV 2012?</t>
  </si>
  <si>
    <t xml:space="preserve">Anggaran K/L terealisasi sebesar Rp4,74 triliun atau sekitar 97% dari total anggaran belanja pusat yang dialokasikan untuk Kementerian dan Lembaga di Kalimantan Tengah.</t>
  </si>
  <si>
    <t xml:space="preserve">QA0006</t>
  </si>
  <si>
    <t xml:space="preserve">Bagaimana pertumbuhan investasi fisik pada tahun 2011?</t>
  </si>
  <si>
    <t xml:space="preserve">Investasi fisik meningkat 4,26%</t>
  </si>
  <si>
    <t xml:space="preserve">Factual/Numerical, Temporal, Instruction-following</t>
  </si>
  <si>
    <t xml:space="preserve">Text 1.2.2: PMTB tumbuh 17,59% (Tw IV-2012), up from 10,55% (yoy) in Tw III; contribution rose from 4,26% to 7,54%. No 2011 data; no chart on investment.</t>
  </si>
  <si>
    <t xml:space="preserve">4,26% is the Tw III-2012 contribution to growth, not investment growth, and not 2011. Evidence is running text, not a chart.</t>
  </si>
  <si>
    <t xml:space="preserve">Bagaimana pertumbuhan investasi fisik (PMTB) Kalimantan Tengah pada triwulan IV 2012?</t>
  </si>
  <si>
    <t xml:space="preserve">Investasi PMTB tumbuh 17,59% (yoy), lebih tinggi dari triwulan III sebesar 10,55% (yoy), dengan kontribusi pertumbuhan meningkat dari 4,26% menjadi 7,54%.</t>
  </si>
  <si>
    <t xml:space="preserve">QA0007</t>
  </si>
  <si>
    <t xml:space="preserve">8dabadfb728f43cf89fe3bf6bb7614a3KERProvinsiKalimantanTengahTriwulanIV2012_p017.png</t>
  </si>
  <si>
    <t xml:space="preserve">Bagaimana perubahan ekspor di Kalimantan Tengah selama periode IV-2012?</t>
  </si>
  <si>
    <t xml:space="preserve">Ekspor di Kalimantan Tengah selama periode IV-2012 meningkat 43,5% dari tahun sebelumnya.</t>
  </si>
  <si>
    <t xml:space="preserve">Y</t>
  </si>
  <si>
    <t xml:space="preserve">Text: transaksi ekspor luar negeri Tw IV-2012 US$211,38 juta atau turun 43,5% (yoy).</t>
  </si>
  <si>
    <t xml:space="preserve">Magnitude 43,5% is right but direction is wrong: exports fell (turun), not rose.</t>
  </si>
  <si>
    <t xml:space="preserve">Ekspor luar negeri Kalimantan Tengah pada triwulan IV-2012 sebesar US$211,38 juta atau turun 43,5% (yoy).</t>
  </si>
  <si>
    <t xml:space="preserve">QA0008</t>
  </si>
  <si>
    <t xml:space="preserve">Bagaimana perubahan import di Kalimantan Tengah selama periode IV-2012?</t>
  </si>
  <si>
    <t xml:space="preserve">Import di Kalimantan Tengah selama periode IV-2012 meningkat 143,1% dari tahun sebelumnya.</t>
  </si>
  <si>
    <t xml:space="preserve">Factual/Numerical, Reasoning, Instruction-following</t>
  </si>
  <si>
    <t xml:space="preserve">Text: pertumbuhan impor menurun dari 313,9% menjadi -36,0% (US$29,71 juta); volume impor turun dari 143,1% menjadi -61,7%.</t>
  </si>
  <si>
    <t xml:space="preserve">143,1% is the previous-quarter volume growth; in Tw IV-2012 imports contracted (-36,0% value, -61,7% volume). Info is from text, not a chart calculation.</t>
  </si>
  <si>
    <t xml:space="preserve">Impor Kalimantan Tengah pada triwulan IV-2012 menurun: pertumbuhan nilai impor turun dari 313,9% menjadi -36,0% (total US$29,71 juta) dan volume impor turun dari 143,1% menjadi -61,7%.</t>
  </si>
  <si>
    <t xml:space="preserve">QA0009</t>
  </si>
  <si>
    <t xml:space="preserve">Chart-Information Extraction</t>
  </si>
  <si>
    <t xml:space="preserve">Bagaimana perubahan kredit investasi di Kalimantan Tengah selama periode IV-2012?</t>
  </si>
  <si>
    <t xml:space="preserve">Kredit investasi di Kalimantan Tengah selama periode IV-2012 meningkat 58% dari tahun sebelumnya.</t>
  </si>
  <si>
    <t xml:space="preserve">Grafik 1.8: kredit investasi Tw IV-2012 ~Rp5,3 triliun (naik dari ~Rp4,7 triliun); garis rata-rata tahunan ~15%.</t>
  </si>
  <si>
    <t xml:space="preserve">No 58% growth shown; chart shows credit rising to ~Rp5,3 triliun with growth line around ~15% in Tw IV-2012.</t>
  </si>
  <si>
    <t xml:space="preserve">Kredit investasi perbankan Kalimantan Tengah pada triwulan IV-2012 meningkat menjadi sekitar Rp5,3 triliun (dari sekitar Rp4,7 triliun pada triwulan III), dengan pertumbuhan sekitar 15%.</t>
  </si>
  <si>
    <t xml:space="preserve">QA0010</t>
  </si>
  <si>
    <t xml:space="preserve">8dabadfb728f43cf89fe3bf6bb7614a3KERProvinsiKalimantanTengahTriwulanIV2012_p019.png</t>
  </si>
  <si>
    <t xml:space="preserve">Bagaimana perubahan ekspor batubara di Kalimantan selama periode 2011 dan 2012?</t>
  </si>
  <si>
    <t xml:space="preserve">Ekspor batubara di Kalimantan meningkat dari 328 ton pada tahun 2011 menjadi 548 ribu pada tahun 2012.</t>
  </si>
  <si>
    <t xml:space="preserve">Instruction-following, Unit, Incomplete</t>
  </si>
  <si>
    <t xml:space="preserve">Text: rata-rata ekspor 3 perusahaan (AKT, Merunda Graha Mineral, Multi Tambang Jaya Utama) 2012 diestimasi 548 ribu ton vs 2011 tercatat 328 ton.</t>
  </si>
  <si>
    <t xml:space="preserve">Values match text but they are avg exports of 3 large companies in Kalteng (not all Kalimantan), unit 'ton' missing after 548 ribu, and source is paragraph not chart.</t>
  </si>
  <si>
    <t xml:space="preserve">Bagaimana perubahan rata-rata ekspor batubara dari 3 perusahaan besar di Kalimantan Tengah pada tahun 2011 dan 2012?</t>
  </si>
  <si>
    <t xml:space="preserve">Rata-rata ekspor dari 3 perusahaan besar (PT Asmin Koalindo Tuhup, Merunda Graha Mineral, dan Multi Tambang Jaya Utama) meningkat dari 328 ton (sebagaimana tertulis) pada tahun 2011 menjadi sekitar 548 ribu ton pada tahun 2012.</t>
  </si>
  <si>
    <t xml:space="preserve">QA0011</t>
  </si>
  <si>
    <t xml:space="preserve">Bagaimana kontribusi ekspor batubara ke China di tahun 2011 dan 2012?</t>
  </si>
  <si>
    <t xml:space="preserve">Pada tahun 2011, kontribusi ekspor batubara ke China adalah 38,1%, dan pada tahun 2012, menjadi 41,8%.</t>
  </si>
  <si>
    <t xml:space="preserve">Factual/Numerical, Instruction-following</t>
  </si>
  <si>
    <t xml:space="preserve">Text: ekspor ke Jepang 2011 38,1%, ke China 28,5%; 2012 (Jan-Sep) Jepang 29,2%, China 41,8% dari total ekspor batubara Kalteng.</t>
  </si>
  <si>
    <t xml:space="preserve">China 2011 share is 28,5%, not 38,1% (that is Jepang). Shares are stated in text, no calculation from chart.</t>
  </si>
  <si>
    <t xml:space="preserve">Kontribusi ekspor batubara ke China sebesar 28,5% dari total ekspor batubara Kalteng pada tahun 2011 dan meningkat menjadi 41,8% pada tahun 2012 (Jan-Sep).</t>
  </si>
  <si>
    <t xml:space="preserve">QA0012</t>
  </si>
  <si>
    <t xml:space="preserve">Bagaimana perubahan ekspor batubara dari India, Jepang, dan China pada tahun 2011?</t>
  </si>
  <si>
    <t xml:space="preserve">Pada tahun 2011, India, Jepang, dan China mengkontribusi sebesar-besarnya ke ekspor batubara di Kalimantan, dengan India 38,1%, Jepang 28,5%, dan China 41,8%.</t>
  </si>
  <si>
    <t xml:space="preserve">Factual/Numerical, Typo/Grammar, Instruction-following</t>
  </si>
  <si>
    <t xml:space="preserve">Text: 2011 share Jepang 38,1%, China 28,5%; India only described as cenderung stabil (no share). 41,8% is China 2012.</t>
  </si>
  <si>
    <t xml:space="preserve">Shares misattributed: Jepang 38,1%, China 28,5% in 2011; 41,8% is China 2012; no India share on page. Question says 'ekspor dari' countries (they are destinations).</t>
  </si>
  <si>
    <t xml:space="preserve">Berapa kontribusi ekspor batubara Kalteng ke Jepang dan China pada tahun 2011, dan bagaimana ekspor ke India?</t>
  </si>
  <si>
    <t xml:space="preserve">Pada tahun 2011, ekspor batubara ke Jepang mencapai 38,1% dan ke China 28,5% dari total ekspor batubara Kalteng, sedangkan ekspor ke India cenderung stabil.</t>
  </si>
  <si>
    <t xml:space="preserve">QA0013</t>
  </si>
  <si>
    <t xml:space="preserve">8dabadfb728f43cf89fe3bf6bb7614a3KERProvinsiKalimantanTengahTriwulanIV2012_p021.png</t>
  </si>
  <si>
    <t xml:space="preserve">Bagaimana kontribusi PDRB pada sektor pertamanya di periode ini?</t>
  </si>
  <si>
    <t xml:space="preserve">Kontribusi PDRB sektor pertamanya adalah 0.79%</t>
  </si>
  <si>
    <t xml:space="preserve">Instruction-following, Typo/Grammar</t>
  </si>
  <si>
    <t xml:space="preserve">Tabel 1.4 Kontribusi Pertanian IV-12 = 0.79; text: sumbangan pertanian turun dari 1,98% menjadi 0,79%. No chart on page.</t>
  </si>
  <si>
    <t xml:space="preserve">Value 0.79% is correct for Pertanian (first sector) in Tw IV-2012, but no chart/calculation involved (table/text lookup) and 'sektor pertamanya' is garbled.</t>
  </si>
  <si>
    <t xml:space="preserve">Berapa kontribusi (sumbangan pertumbuhan) sektor pertanian terhadap PDRB Kalimantan Tengah pada triwulan IV-2012?</t>
  </si>
  <si>
    <t xml:space="preserve">Sumbangan sektor pertanian terhadap pertumbuhan PDRB pada triwulan IV-2012 sebesar 0,79%, turun dari 1,98% pada triwulan sebelumnya.</t>
  </si>
  <si>
    <t xml:space="preserve">QA0014</t>
  </si>
  <si>
    <t xml:space="preserve">Bagaimana pertumbuhan produk di Kalimantan Tengah selama periode ini?</t>
  </si>
  <si>
    <t xml:space="preserve">Pertumbuhan produk di Kalimantan Tengah selama periode ini adalah 2,88%</t>
  </si>
  <si>
    <t xml:space="preserve">Factual/Numerical, Instruction-following, Typo/Grammar</t>
  </si>
  <si>
    <t xml:space="preserve">Tabel 1.4: PDRB Kalteng growth IV-12 = 6.62 (III-12 7.14). 2.88 is Pertanian growth IV-12. No chart.</t>
  </si>
  <si>
    <t xml:space="preserve">Kalteng (PDRB) growth in Tw IV-2012 is 6,62%, not 2,88% (that is the agriculture sector). Question vague ('produk'); data from table not chart; pure lookup has no exact label.</t>
  </si>
  <si>
    <t xml:space="preserve">Berapa pertumbuhan PDRB Kalimantan Tengah pada triwulan IV-2012?</t>
  </si>
  <si>
    <t xml:space="preserve">PDRB Kalimantan Tengah tumbuh 6,62% (yoy) pada triwulan IV-2012, melambat dari 7,14% pada triwulan III-2012.</t>
  </si>
  <si>
    <t xml:space="preserve">QA0015</t>
  </si>
  <si>
    <t xml:space="preserve">Bagaimana pertumbuhan produk di sektor pertamanya di periode ini dibandingkan dengan sektor lainnya?</t>
  </si>
  <si>
    <t xml:space="preserve">Pertumbuhan produk di sektor pertamanya lebih rendah dibandingkan dengan sektor lainnya</t>
  </si>
  <si>
    <t xml:space="preserve">Reasoning, Instruction-following, Typo/Grammar</t>
  </si>
  <si>
    <t xml:space="preserve">Tabel 1.4 growth IV-12: Pertanian 2.88; Industri pengolahan 1.04 (lower); others 4.48-15.36; PDRB 6.62.</t>
  </si>
  <si>
    <t xml:space="preserve">Pertanian growth (2,88%) is lower than PDRB and most sectors but not all: Industri pengolahan (1,04%) is lower. Comparison uses table, not text.</t>
  </si>
  <si>
    <t xml:space="preserve">Bagaimana pertumbuhan sektor pertanian pada triwulan IV-2012 dibandingkan sektor lainnya?</t>
  </si>
  <si>
    <t xml:space="preserve">Pertumbuhan sektor pertanian (2,88%) lebih rendah dibanding PDRB (6,62%) dan sebagian besar sektor lain, namun masih di atas sektor industri pengolahan (1,04%).</t>
  </si>
  <si>
    <t xml:space="preserve">QA0016</t>
  </si>
  <si>
    <t xml:space="preserve">8dabadfb728f43cf89fe3bf6bb7614a3KERProvinsiKalimantanTengahTriwulanIV2012_p038.png</t>
  </si>
  <si>
    <t xml:space="preserve">Bagaimana perubahan nilai Pertumbuhan Dana Pihak Ketiga (DPK) di Kota Palangka Raya selama periode IV-2012?</t>
  </si>
  <si>
    <t xml:space="preserve">Pertumbuhan Dana Pihak Ketiga (DPK) meningkat dari 18,47% menjadi 19,80%</t>
  </si>
  <si>
    <t xml:space="preserve">Reasoning, Factual/Numerical, Instruction-following</t>
  </si>
  <si>
    <t xml:space="preserve">Text 3.1.3: DPK Kalteng Tw IV-2012 tumbuh 19,80% (yoy), melambat dari 28,15% periode sebelumnya; 18,47% adalah rata-rata historis 5 tahun. No chart.</t>
  </si>
  <si>
    <t xml:space="preserve">Growth slowed (28,15% -&gt; 19,80%), not increased; 18,47% is the 5-year average. Data is for Kalteng province, not Kota Palangka Raya. No chart on page; evidence is text.</t>
  </si>
  <si>
    <t xml:space="preserve">Bagaimana perubahan pertumbuhan Dana Pihak Ketiga (DPK) perbankan Kalimantan Tengah pada triwulan IV-2012?</t>
  </si>
  <si>
    <t xml:space="preserve">Pertumbuhan DPK melambat dari 28,15% pada periode sebelumnya menjadi 19,80% (yoy) pada triwulan IV-2012, meskipun masih di atas rata-rata historis 5 tahun sebesar 18,47%.</t>
  </si>
  <si>
    <t xml:space="preserve">QA0017</t>
  </si>
  <si>
    <t xml:space="preserve">Bagaimana perubahan nilai Pertumbuhan Dana Jenis Tabungan (DPK) di Kota Palangka Raya selama periode IV-2012?</t>
  </si>
  <si>
    <t xml:space="preserve">Pertumbuhan Dana Jenis Tabungan meningkat dari 54,5% menjadi 54,7%</t>
  </si>
  <si>
    <t xml:space="preserve">Text: pertumbuhan dana jenis tabungan melambat dari 21,9% menjadi 19,9%; 54,5% is tabungan share of DPK (Tabel 3.3: 54,4% Des-11, 54,5% Des-12). Kalteng, no chart.</t>
  </si>
  <si>
    <t xml:space="preserve">54,5% is the composition share, not growth; 54,7% does not exist. Tabungan growth slowed 21,9% -&gt; 19,9%. Entity is Kalteng not Palangka Raya. No chart.</t>
  </si>
  <si>
    <t xml:space="preserve">Bagaimana perubahan pertumbuhan dana jenis tabungan perbankan Kalimantan Tengah pada triwulan IV-2012?</t>
  </si>
  <si>
    <t xml:space="preserve">Pertumbuhan dana jenis tabungan melambat dari 21,9% menjadi 19,9%, disebabkan turunnya porsi tabungan sektor swasta.</t>
  </si>
  <si>
    <t xml:space="preserve">QA0018</t>
  </si>
  <si>
    <t xml:space="preserve">Bagaimana perubahan nilai Pertumbuhan Dana Deposito di Kota Palangka Raya selama periode IV-2012?</t>
  </si>
  <si>
    <t xml:space="preserve">Pertumbuhan Dana Deposito meningkat dari 17,8% menjadi 18,0%</t>
  </si>
  <si>
    <t xml:space="preserve">Factual/Numerical, Reasoning</t>
  </si>
  <si>
    <t xml:space="preserve">Text: deposito tumbuh 6,43% (yoy) pada Tw IV-2012 vs 8,31% di Tw III; 17,8% is deposito share of DPK.</t>
  </si>
  <si>
    <t xml:space="preserve">Deposito growth slowed from 8,31% to 6,43% yoy; answer uses composition share 17,8% and invented 18,0% with wrong direction. Entity is Kalteng, not Palangka Raya.</t>
  </si>
  <si>
    <t xml:space="preserve">Bagaimana perubahan pertumbuhan deposito perbankan Kalimantan Tengah pada triwulan IV-2012?</t>
  </si>
  <si>
    <t xml:space="preserve">Pertumbuhan deposito melambat dari 8,31% (yoy) pada triwulan III menjadi 6,43% (yoy) pada triwulan IV-2012.</t>
  </si>
  <si>
    <t xml:space="preserve">QA0019</t>
  </si>
  <si>
    <t xml:space="preserve">8dabadfb728f43cf89fe3bf6bb7614a3KERProvinsiKalimantanTengahTriwulanIV2012_p040.png</t>
  </si>
  <si>
    <t xml:space="preserve">Bagaimana perubahan kredit ekonomi selama periode IV-2012?</t>
  </si>
  <si>
    <t xml:space="preserve">Kredit ekonomi meningkat sebesar 29,46% selama periode IV-2012</t>
  </si>
  <si>
    <t xml:space="preserve">No 29,46% on page. Text: kredit perdagangan tumbuh 40,30% (rata-rata historis 29,26%), jasa-jasa 77,46%, modal kerja 46,37% (yoy) Tw IV-2012.</t>
  </si>
  <si>
    <t xml:space="preserve">'Kredit ekonomi' is vague; 29,46% not on page (likely misread of 29,26%, the historical average of perdagangan credit). Sector growth figures come from text, not chart.</t>
  </si>
  <si>
    <t xml:space="preserve">Berapa pertumbuhan kredit sektor perdagangan di Kalteng pada triwulan IV-2012?</t>
  </si>
  <si>
    <t xml:space="preserve">Kredit sektor perdagangan tumbuh 40,30% (yoy) pada triwulan IV-2012, di atas rata-rata historisnya sebesar 29,26%.</t>
  </si>
  <si>
    <t xml:space="preserve">QA0020</t>
  </si>
  <si>
    <t xml:space="preserve">Bagaimana perubahan kredit konsumsi selama periode IV-2012?</t>
  </si>
  <si>
    <t xml:space="preserve">Kredit konsumsi meningkat 40,30% selama periode IV-2012</t>
  </si>
  <si>
    <t xml:space="preserve">40,30% is kredit sektor perdagangan (text). Grafik 3.4: kredit konsumsi relatif konstan ~20-25% yoy; text: pertumbuhan kredit konsumsi relatif konstan.</t>
  </si>
  <si>
    <t xml:space="preserve">Wrong series: 40,30% belongs to perdagangan credit. Consumption credit growth is described as relatively constant (~24% yoy at end of Grafik 3.4). No calculation involved.</t>
  </si>
  <si>
    <t xml:space="preserve">Pertumbuhan kredit konsumsi relatif konstan (sekitar 20-25% yoy pada Grafik 3.4), sehingga pangsa kredit konsumsi kembali dominan pada periode laporan.</t>
  </si>
  <si>
    <t xml:space="preserve">QA0021</t>
  </si>
  <si>
    <t xml:space="preserve">Bagaimana kredit modal terhadap kredit investasi selama periode IV-2012?</t>
  </si>
  <si>
    <t xml:space="preserve">Kredit modal lebih tinggi dibandingkan kredit investasi selama periode IV-2012</t>
  </si>
  <si>
    <t xml:space="preserve">Typo/Grammar, Incomplete</t>
  </si>
  <si>
    <t xml:space="preserve">Text: kredit modal kerja tumbuh 46,37% (yoy) Tw IV-2012; kredit investasi semakin melambat hingga Tw IV-2012. Grafik 3.4 confirms modal kerja ~45% vs investasi ~0%.</t>
  </si>
  <si>
    <t xml:space="preserve">Core comparison right (modal kerja growth higher than investasi), but question is garbled ('kredit modal', unclear if level or growth) and answer lacks supporting figure.</t>
  </si>
  <si>
    <t xml:space="preserve">Bagaimana pertumbuhan kredit modal kerja dibandingkan kredit investasi pada triwulan IV-2012?</t>
  </si>
  <si>
    <t xml:space="preserve">Pertumbuhan kredit modal kerja lebih tinggi, yaitu 46,37% (yoy), sementara pertumbuhan kredit investasi semakin melambat hingga triwulan IV-2012.</t>
  </si>
  <si>
    <t xml:space="preserve">QA0022</t>
  </si>
  <si>
    <t xml:space="preserve">8dabadfb728f43cf89fe3bf6bb7614a3KERProvinsiKalimantanTengahTriwulanIV2012_p042.png</t>
  </si>
  <si>
    <t xml:space="preserve">Kapital umum KER pada periode IV-2012 berapa?</t>
  </si>
  <si>
    <t xml:space="preserve">Rp 3,38 triliun</t>
  </si>
  <si>
    <t xml:space="preserve">Text: penyaluran kredit UMKM Tw IV-2012 tercatat Rp3,38 triliun (23,7% dari total kredit perbankan).</t>
  </si>
  <si>
    <t xml:space="preserve">Value Rp3,38 triliun is correct for UMKM credit, but question is garbled ('Kapital umum KER') and does not name UMKM credit.</t>
  </si>
  <si>
    <t xml:space="preserve">Berapa penyaluran kredit UMKM di Kalimantan Tengah pada triwulan IV-2012?</t>
  </si>
  <si>
    <t xml:space="preserve">Rp3,38 triliun</t>
  </si>
  <si>
    <t xml:space="preserve">QA0023</t>
  </si>
  <si>
    <t xml:space="preserve">Table-Numerical Calculation</t>
  </si>
  <si>
    <t xml:space="preserve">Table</t>
  </si>
  <si>
    <t xml:space="preserve">Bagaimana berubah kredit umum KER dari periode IV-2011 hingga IV-2012?</t>
  </si>
  <si>
    <t xml:space="preserve">Kredit umum KER meningkat dari 2,612,917 juta menjadi 3,387,552 juta</t>
  </si>
  <si>
    <t xml:space="preserve">Tabel 3.5 Kredit UMKM (Rp juta): Tw IV-2011 2,612,917; Tw IV-2012 3,387,552 (growth 29,65% yoy, also in text).</t>
  </si>
  <si>
    <t xml:space="preserve">Values correct but question garbled ('kredit umum KER' = kredit UMKM), unit label incomplete (Rp juta), and no growth computed despite calculation category.</t>
  </si>
  <si>
    <t xml:space="preserve">Bagaimana perubahan kredit UMKM Kalimantan Tengah dari Tw IV-2011 ke Tw IV-2012?</t>
  </si>
  <si>
    <t xml:space="preserve">Kredit UMKM meningkat dari Rp2.612.917 juta (Tw IV-2011) menjadi Rp3.387.552 juta (Tw IV-2012), tumbuh sekitar 29,65% (yoy).</t>
  </si>
  <si>
    <t xml:space="preserve">QA0024</t>
  </si>
  <si>
    <t xml:space="preserve">Persentase pertumbuhan kredit umum KER hingga IV-2012 berapa?</t>
  </si>
  <si>
    <t xml:space="preserve">23,7%</t>
  </si>
  <si>
    <t xml:space="preserve">Text: pertumbuhan kredit UMKM meningkat dari 26,17% menjadi 29,65% (yoy); 23,7% is pangsa kredit UMKM to total kredit.</t>
  </si>
  <si>
    <t xml:space="preserve">23,7% is the share of UMKM credit in total bank credit, not growth; growth is 29,65% yoy. No chart on page (text/table).</t>
  </si>
  <si>
    <t xml:space="preserve">Berapa pertumbuhan kredit UMKM Kalimantan Tengah pada triwulan IV-2012?</t>
  </si>
  <si>
    <t xml:space="preserve">29,65% (yoy), meningkat dari 26,17% pada triwulan sebelumnya.</t>
  </si>
  <si>
    <t xml:space="preserve">QA0025</t>
  </si>
  <si>
    <t xml:space="preserve">8dabadfb728f43cf89fe3bf6bb7614a3KERProvinsiKalimantanTengahTriwulanIV2012_p044.png</t>
  </si>
  <si>
    <t xml:space="preserve">Bagaimana perubahan jumlah uang yang masuk ke Bank Indonesia selama periode 2007-2012?</t>
  </si>
  <si>
    <t xml:space="preserve">Jumlah uang yang masuk ke Bank Indonesia meningkat dari 2007 hingga 2012, dengan kemampuan tertinggi di tahun 2011.</t>
  </si>
  <si>
    <t xml:space="preserve">Period/time comparison not on page</t>
  </si>
  <si>
    <t xml:space="preserve">Fabricated value/claim (not on page)</t>
  </si>
  <si>
    <t xml:space="preserve">Page charts only PTTB (Rp miliar) and Rasio PTTB thd Inflow (Grafik 3.10); inflow amounts are not shown anywhere.</t>
  </si>
  <si>
    <t xml:space="preserve">Inflow values for 2007-2012 are not on the page; the claimed rise peaking in 2011 has no support.</t>
  </si>
  <si>
    <t xml:space="preserve">QA0026</t>
  </si>
  <si>
    <t xml:space="preserve">Bagaimana perubahan rasio PTBT terhadap inflow selama periode 2007-2012?</t>
  </si>
  <si>
    <t xml:space="preserve">Rasio PTBT terhadap inflow meningkat dari 2007 hingga 2012, dengan kemampuan tertinggi di tahun 2011.</t>
  </si>
  <si>
    <t xml:space="preserve">Grafik 3.10: ratio fluctuates, ~7,5% (Tw I-2007), peaks ~26% Tw II-2007 and ~30% Tw IV-2011, drops to ~1% Tw II-2012, ~4% Tw IV-2012.</t>
  </si>
  <si>
    <t xml:space="preserve">The ratio did not rise steadily; it fluctuated and ended 2012 below 2007. Peak in 2011 (Tw IV) is right. It is a trend question, not a calculation. 'PTBT' is a typo.</t>
  </si>
  <si>
    <t xml:space="preserve">Bagaimana perubahan rasio PTTB terhadap inflow selama periode 2007-2012?</t>
  </si>
  <si>
    <t xml:space="preserve">Rasio PTTB terhadap inflow berfluktuasi selama 2007-2012, dengan puncak tertinggi sekitar 30% pada triwulan IV-2011, lalu turun tajam menjadi sekitar 1% pada triwulan II-2012 dan sekitar 4% pada triwulan IV-2012.</t>
  </si>
  <si>
    <t xml:space="preserve">QA0027</t>
  </si>
  <si>
    <t xml:space="preserve">Bagaimana perubahan jumlah uang yang dijelajahi oleh Bank Indonesia selama periode 2007-2012?</t>
  </si>
  <si>
    <t xml:space="preserve">Jumlah uang yang dijelajahi oleh Bank Indonesia meningkat dari 2007 hingga 2012, dengan kemampuan tertinggi di tahun 2011.</t>
  </si>
  <si>
    <t xml:space="preserve">Hallucination, Typo/Grammar</t>
  </si>
  <si>
    <t xml:space="preserve">Garbled/unintelligible question</t>
  </si>
  <si>
    <t xml:space="preserve">Non-answer (no factual content)</t>
  </si>
  <si>
    <t xml:space="preserve">The page has no 'uang yang dijelajahi' metric; charts show PTTB and ratio/growth of PTTB.</t>
  </si>
  <si>
    <t xml:space="preserve">The question is garbled ('dijelajahi') and refers to no metric on the page; the answer is boilerplate with no support.</t>
  </si>
  <si>
    <t xml:space="preserve">QA0028</t>
  </si>
  <si>
    <t xml:space="preserve">8dabadfb728f43cf89fe3bf6bb7614a3KERProvinsiKalimantanTengahTriwulanIV2012_p047.png</t>
  </si>
  <si>
    <t xml:space="preserve">Bagaimana hasil kontribusi anggaran pemerintah pada tahun 2011 dan 2012?</t>
  </si>
  <si>
    <t xml:space="preserve">Kontribusi anggaran pemerintah pada tahun 2011 sebesar 528,49 miliar, pada tahun 2012 sebesar 528,49 miliar</t>
  </si>
  <si>
    <t xml:space="preserve">Factual/Numerical, Temporal, Typo/Grammar, Instruction-following</t>
  </si>
  <si>
    <t xml:space="preserve">Tabel 4.1: Surplus/(Defisit) 2011 (581.246) juta, 2012 (528.494) juta; text: defisit 2012 Rp528,49 miliar.</t>
  </si>
  <si>
    <t xml:space="preserve">Vague 'kontribusi anggaran pemerintah'; 528,49 miliar is the 2012 deficit only, 2011 deficit was Rp581,25 miliar. Same value for both years is wrong; data is from table.</t>
  </si>
  <si>
    <t xml:space="preserve">Berapa defisit APBD Kalimantan Tengah pada tahun 2011 dan 2012?</t>
  </si>
  <si>
    <t xml:space="preserve">Defisit APBD Kalimantan Tengah sebesar Rp581,25 miliar pada tahun 2011 dan Rp528,49 miliar pada tahun 2012.</t>
  </si>
  <si>
    <t xml:space="preserve">QA0029</t>
  </si>
  <si>
    <t xml:space="preserve">Bagaimana berlakulah pengeluaran APBD pada tahun 2011 dan 2012?</t>
  </si>
  <si>
    <t xml:space="preserve">Pada tahun 2011, pengeluaran APBD sebesar 47,42 miliar, pada tahun 2012, sebesar 47,42 miliar</t>
  </si>
  <si>
    <t xml:space="preserve">Tabel 4.1 Total Belanja: 10.103.457 juta (2011), 11.603.391 juta (2012); 47,42 miliar = hasil pengelolaan kekayaan daerah 2012 (text).</t>
  </si>
  <si>
    <t xml:space="preserve">47,42 miliar is not APBD expenditure; total belanja was Rp10,10 T (2011) and Rp11,60 T (2012). Garbled question; no chart on page.</t>
  </si>
  <si>
    <t xml:space="preserve">Berapa total belanja APBD Kalimantan Tengah pada tahun 2011 dan 2012?</t>
  </si>
  <si>
    <t xml:space="preserve">Total belanja APBD Kalimantan Tengah sebesar Rp10,10 triliun (Rp10.103.457 juta) pada 2011 dan Rp11,60 triliun (Rp11.603.391 juta) pada 2012.</t>
  </si>
  <si>
    <t xml:space="preserve">QA0030</t>
  </si>
  <si>
    <t xml:space="preserve">Bagaimana berlakulah keuangan daerah pada tahun 2011 dan 2012?</t>
  </si>
  <si>
    <t xml:space="preserve">Pada tahun 2011, keuangan daerah sebesar 126,6 miliar, pada tahun 2012, sebesar 126,6 miliar</t>
  </si>
  <si>
    <t xml:space="preserve">Factual/Numerical, Typo/Grammar, Temporal, Instruction-following</t>
  </si>
  <si>
    <t xml:space="preserve">Text: retribusi daerah 2012 Rp126,6 miliar (no 2011 value). Tabel 4.1 Total Pendapatan 9.522.211 juta (2011), 11.074.897 juta (2012).</t>
  </si>
  <si>
    <t xml:space="preserve">Question garbled/vague; 126,6 miliar is only the 2012 retribusi target, repeated for 2011. No chart. Rewritten as total pendapatan from Tabel 4.1.</t>
  </si>
  <si>
    <t xml:space="preserve">Berapa total pendapatan APBD Kalimantan Tengah pada tahun 2011 dan 2012?</t>
  </si>
  <si>
    <t xml:space="preserve">Total pendapatan APBD Kalimantan Tengah sebesar Rp9,52 triliun (Rp9.522.211 juta) pada 2011 dan Rp11,07 triliun (Rp11.074.897 juta) pada 2012.</t>
  </si>
  <si>
    <t xml:space="preserve">QA0031</t>
  </si>
  <si>
    <t xml:space="preserve">8dabadfb728f43cf89fe3bf6bb7614a3KERProvinsiKalimantanTengahTriwulanIV2012_p053.png</t>
  </si>
  <si>
    <t xml:space="preserve">Bagaimana kondisi kesejahteraan masyarakat Kaliemantan Tengah pada bulan Desember 2012?</t>
  </si>
  <si>
    <t xml:space="preserve">Kondisi kesejahteraan masyarakat Kaliemantan Tengah pada bulan Desember 2012 meningkat sekitar 98,66% dibandingkan bulan sebelumnya.</t>
  </si>
  <si>
    <t xml:space="preserve">Reasoning, Factual/Numerical, Unit, Typo/Grammar</t>
  </si>
  <si>
    <t xml:space="preserve">Text: Indeks NTP Desember 2012 sebesar 98,66, lebih rendah dari triwulan sebelumnya 98,95; kesejahteraan petani menurun.</t>
  </si>
  <si>
    <t xml:space="preserve">Direction wrong (welfare fell, not rose) and 98,66 is the NTP index level, not a % increase. 'Kaliemantan' typo.</t>
  </si>
  <si>
    <t xml:space="preserve">Bagaimana kondisi kesejahteraan petani Kalimantan Tengah pada bulan Desember 2012?</t>
  </si>
  <si>
    <t xml:space="preserve">Kesejahteraan petani menurun; indeks NTP Desember 2012 tercatat 98,66, lebih rendah dari triwulan sebelumnya (98,95) dan masih berada di area defisit (&lt;100).</t>
  </si>
  <si>
    <t xml:space="preserve">QA0032</t>
  </si>
  <si>
    <t xml:space="preserve">Bagaimana perubahan kesejahteraan masyarakat Kaliemantan Tengah selama periode tiga tahun terakhir?</t>
  </si>
  <si>
    <t xml:space="preserve">Kesejahteraan masyarakat Kaliemantan Tengah meningkat sekitar 0,1% setiap tahun selama periode tiga tahun terakhir.</t>
  </si>
  <si>
    <t xml:space="preserve">Temporal, Factual/Numerical, Instruction-following, Typo/Grammar</t>
  </si>
  <si>
    <t xml:space="preserve">Text: dalam 10 tahun terakhir laju pertumbuhan ekonomi naik 4,91% -&gt; 6,26% (rata-rata 0,1%/tahun); persentase penduduk miskin turun rata-rata 0,54%/tahun.</t>
  </si>
  <si>
    <t xml:space="preserve">0,1% per year refers to economic growth over 10 years, not welfare over 3 years; evidence is text, not chart.</t>
  </si>
  <si>
    <t xml:space="preserve">Bagaimana perubahan kesejahteraan masyarakat Kalimantan Tengah dalam 10 tahun terakhir?</t>
  </si>
  <si>
    <t xml:space="preserve">Kesejahteraan membaik: persentase penduduk miskin turun rata-rata 0,54% per tahun (dari hampir 12% pada 2003 menjadi 6,51% pada Maret 2012), seiring pertumbuhan ekonomi yang naik dari 4,91% menjadi 6,26%.</t>
  </si>
  <si>
    <t xml:space="preserve">QA0033</t>
  </si>
  <si>
    <t xml:space="preserve">Bagaimana kesejahteraan masyarakat Kaliemantan Tengah pada bulan Desember 2011?</t>
  </si>
  <si>
    <t xml:space="preserve">Kesejahteraan masyarakat Kaliemantan Tengah pada bulan Desember 2011 adalah 98,95.</t>
  </si>
  <si>
    <t xml:space="preserve">Hallucination, Temporal</t>
  </si>
  <si>
    <t xml:space="preserve">Borrowed value from another metric on the page</t>
  </si>
  <si>
    <t xml:space="preserve">Tabel 5.2 only covers Jun-12, Sep-12, Des-12; NTP Sep-12 = 98,95. No December 2011 data on page.</t>
  </si>
  <si>
    <t xml:space="preserve">December 2011 NTP/welfare is not on the page; 98,95 is Sep-12 value.</t>
  </si>
  <si>
    <t xml:space="preserve">QA0034</t>
  </si>
  <si>
    <t xml:space="preserve">Buletin - Beyond Infinity Edisi Desember 2025</t>
  </si>
  <si>
    <t xml:space="preserve">Buletin 20- 20Beyond 20Infinity 20Edisi 20Desember 202025_p009.png</t>
  </si>
  <si>
    <t xml:space="preserve">Mengapa ada banyak kapal di luar pantai?</t>
  </si>
  <si>
    <t xml:space="preserve">Untuk mendukung industri minyak dan gas</t>
  </si>
  <si>
    <t xml:space="preserve">False premise / speculation</t>
  </si>
  <si>
    <t xml:space="preserve">Page is a photo of an offshore rig with two supply boats plus 'Inspirasi' (book list) and 'Penulis' (author bio) boxes; no text explains the ships.</t>
  </si>
  <si>
    <t xml:space="preserve">No text on the page explains why ships are offshore; the answer is speculation from the photo, not grounded in document content.</t>
  </si>
  <si>
    <t xml:space="preserve">QA0035</t>
  </si>
  <si>
    <t xml:space="preserve">Bagaimana industri minyak dan gas menghubungkan dengan ekonomi Indonesia?</t>
  </si>
  <si>
    <t xml:space="preserve">Industri minyak dan gas memberikan kontribusi besar untuk pembangunan ekonomi Indonesia, termasuk melalui pembangunan daerah dan pembangunan teknologi.</t>
  </si>
  <si>
    <t xml:space="preserve">Hallucination, Instruction-following</t>
  </si>
  <si>
    <t xml:space="preserve">Metric/topic not on page</t>
  </si>
  <si>
    <t xml:space="preserve">No chart and no text about the oil and gas industry's contribution to the Indonesian economy; only a photo, book list and author bio.</t>
  </si>
  <si>
    <t xml:space="preserve">Topic (oil &amp; gas contribution to regional/technology development) is not on the page; there is no chart either.</t>
  </si>
  <si>
    <t xml:space="preserve">QA0036</t>
  </si>
  <si>
    <t xml:space="preserve">Penggunaan kapal di luar pantai berdasarkan dokumen?</t>
  </si>
  <si>
    <t xml:space="preserve">Dokumen tidak menyediakan informasi numerik</t>
  </si>
  <si>
    <t xml:space="preserve">Hallucination, Typo/Grammar, Instruction-following</t>
  </si>
  <si>
    <t xml:space="preserve">No chart or numeric data on ship usage; page has only a photo, book list and author bio.</t>
  </si>
  <si>
    <t xml:space="preserve">Garbled question about ship usage has no grounding; no chart or numbers exist, answer is a non-answer.</t>
  </si>
  <si>
    <t xml:space="preserve">QA0037</t>
  </si>
  <si>
    <t xml:space="preserve">Buletin 20- 20Beyond 20Infinity 20Edisi 20Desember 202025_p021.png</t>
  </si>
  <si>
    <t xml:space="preserve">Jumlah penyelenggaran ITSK terdafar pada bulan Juni 2025 berapa?</t>
  </si>
  <si>
    <t xml:space="preserve">30</t>
  </si>
  <si>
    <t xml:space="preserve">Format, Typo/Grammar</t>
  </si>
  <si>
    <t xml:space="preserve">Chart 'Perkembangan Jumlah Penyelenggara ITSK': Terdaftar (yellow) Jun = 30; text: total 30 terdiri dari 10 PKA dan 20 PAJK.</t>
  </si>
  <si>
    <t xml:space="preserve">Value 30 is correct, but answer is a bare number without context and question has typos (penyelenggaran, terdafar).</t>
  </si>
  <si>
    <t xml:space="preserve">Berapa jumlah penyelenggara ITSK terdaftar pada bulan Juni 2025?</t>
  </si>
  <si>
    <t xml:space="preserve">Jumlah penyelenggara ITSK terdaftar pada Juni 2025 sebanyak 30, terdiri dari 10 PKA dan 20 PAJK.</t>
  </si>
  <si>
    <t xml:space="preserve">QA0038</t>
  </si>
  <si>
    <t xml:space="preserve">Bagaimana perkembangan jumlah penyelenggaran ITSK dari bulan Januari hingga Juni 2025?</t>
  </si>
  <si>
    <t xml:space="preserve">Jumlah penyelenggaran ITSK meningkat secara konsisten dari bulan Januari hingga Juni 2025, dengan jumlah terbesar pada bulan Juni 2025.</t>
  </si>
  <si>
    <t xml:space="preserve">None</t>
  </si>
  <si>
    <t xml:space="preserve">Terdaftar bars Jan-Jun 2025: 17, 21, 26, 28, 29, 30 - rising every month, peak in June.</t>
  </si>
  <si>
    <t xml:space="preserve">Consistent increase with maximum in June matches the chart; trend category fits.</t>
  </si>
  <si>
    <t xml:space="preserve">QA0039</t>
  </si>
  <si>
    <t xml:space="preserve">Bagaimana perkembangan total aset penyelenggaran ITSK terdafar dari bulan Januari hingga November 2025?</t>
  </si>
  <si>
    <t xml:space="preserve">Total aset penyelenggaran ITSK terdafar meningkat dari 106,27 juta pada bulan Januari 2025 menjadi 476,15 juta pada bulan November 2025.</t>
  </si>
  <si>
    <t xml:space="preserve">Total Aset chart (Rp Miliar): PKA 379,47 (Jan) -&gt; 476,15 (Nov); PAJK 106,27 (Jan) -&gt; 185,25 (Nov).</t>
  </si>
  <si>
    <t xml:space="preserve">Answer mixes series (106,27 is PAJK Jan, 476,15 is PKA Nov) and uses 'juta' instead of Rp miliar; question is a trend description, not a calculation.</t>
  </si>
  <si>
    <t xml:space="preserve">Total aset PKA terdaftar naik dari Rp379,47 miliar (Januari 2025) menjadi Rp476,15 miliar (November 2025), sedangkan total aset PAJK terdaftar naik dari Rp106,27 miliar menjadi Rp185,25 miliar.</t>
  </si>
  <si>
    <t xml:space="preserve">QA0040</t>
  </si>
  <si>
    <t xml:space="preserve">Buletin 20- 20Beyond 20Infinity 20Edisi 20Desember 202025_p023.png</t>
  </si>
  <si>
    <t xml:space="preserve">Bagaimana jumlah pengguna di DKI Jakarta?</t>
  </si>
  <si>
    <t xml:space="preserve">3,276,235</t>
  </si>
  <si>
    <t xml:space="preserve">Text: DKI Jakarta sejumlah 3.276.235 pengguna (20%), data s.d. November 2025.</t>
  </si>
  <si>
    <t xml:space="preserve">Value correct, but answer is a bare number with English separators, no unit (pengguna) or period.</t>
  </si>
  <si>
    <t xml:space="preserve">Berapa jumlah pengguna Penyelenggara PAJK terdaftar di DKI Jakarta per November 2025?</t>
  </si>
  <si>
    <t xml:space="preserve">Jumlah pengguna Penyelenggara PAJK di DKI Jakarta per November 2025 sebanyak 3.276.235 pengguna (20% dari total).</t>
  </si>
  <si>
    <t xml:space="preserve">QA0041</t>
  </si>
  <si>
    <t xml:space="preserve">Bagaimana berbagi jumlah pengguna antara DKI Jakarta dan Jawa Barat?</t>
  </si>
  <si>
    <t xml:space="preserve">DKI Jakarta: 3,276,235 (20%), Jawa Barat: 2,716,659 (17%)</t>
  </si>
  <si>
    <t xml:space="preserve">Bar chart 'Provinsi dengan Sebaran Pengguna Tertinggi': DKI Jakarta 3.276.235 (20%), Jawa Barat 2.716.659 (17%).</t>
  </si>
  <si>
    <t xml:space="preserve">Values correct but no calculation is performed (pure chart reading); question wording 'berbagi' is garbled.</t>
  </si>
  <si>
    <t xml:space="preserve">Bagaimana perbandingan jumlah pengguna PAJK antara DKI Jakarta dan Jawa Barat pada November 2025?</t>
  </si>
  <si>
    <t xml:space="preserve">DKI Jakarta memiliki 3.276.235 pengguna (20%), sedangkan Jawa Barat 2.716.659 pengguna (17%).</t>
  </si>
  <si>
    <t xml:space="preserve">QA0042</t>
  </si>
  <si>
    <t xml:space="preserve">Bagaimana jumlah pengguna di Banten?</t>
  </si>
  <si>
    <t xml:space="preserve">500,948</t>
  </si>
  <si>
    <t xml:space="preserve">Bar chart and map: Banten 500.948 pengguna (3%), Nov 2025.</t>
  </si>
  <si>
    <t xml:space="preserve">Value correct but bare number with English separator and no unit/context.</t>
  </si>
  <si>
    <t xml:space="preserve">Berapa jumlah pengguna Penyelenggara PAJK terdaftar di Banten pada November 2025?</t>
  </si>
  <si>
    <t xml:space="preserve">Jumlah pengguna PAJK di Banten pada November 2025 sebanyak 500.948 pengguna (3%).</t>
  </si>
  <si>
    <t xml:space="preserve">QA0043</t>
  </si>
  <si>
    <t xml:space="preserve">Buletin 20- 20Beyond 20Infinity 20Edisi 20Desember 202025_p024.png</t>
  </si>
  <si>
    <t xml:space="preserve">Jumlah tenaga kerja PKA dan PJAK terhadap ITSK pada bulan November 2025 berapa?</t>
  </si>
  <si>
    <t xml:space="preserve">PAJK: 445, PKA: 117</t>
  </si>
  <si>
    <t xml:space="preserve">Bar charts (and side text): Nov 2025 tenaga kerja PKA terdaftar 117, PAJK terdaftar 445.</t>
  </si>
  <si>
    <t xml:space="preserve">Values correct, but it is a direct read of the Nov bars (no calculation), so category should be Chart-Information Extraction; 'PJAK' typo and answer lacks context.</t>
  </si>
  <si>
    <t xml:space="preserve">Berapa jumlah tenaga kerja penyelenggara ITSK jenis PKA dan PAJK yang terdaftar pada November 2025?</t>
  </si>
  <si>
    <t xml:space="preserve">Pada November 2025, tenaga kerja penyelenggara ITSK jenis PKA yang terdaftar sebanyak 117 dan jenis PAJK sebanyak 445.</t>
  </si>
  <si>
    <t xml:space="preserve">QA0044</t>
  </si>
  <si>
    <t xml:space="preserve">Banyak aset kripto yang terdaftar di Indonesia pada periode November 2025 berapa?</t>
  </si>
  <si>
    <t xml:space="preserve">25 aset kripto</t>
  </si>
  <si>
    <t xml:space="preserve">Table title: '25 Pedagang Aset Keuangan Digital (PAKD)' listing 25 traders (Tokocrypto ... Invest); number of crypto assets not shown.</t>
  </si>
  <si>
    <t xml:space="preserve">25 is the number of registered digital asset traders (PAKD), not crypto assets; page has no count of crypto assets. Evidence is the table (count of rows), not running text.</t>
  </si>
  <si>
    <t xml:space="preserve">Berapa jumlah Pedagang Aset Keuangan Digital (PAKD) yang tercantum pada tabel Aktivitas Perdagangan Aset Kripto?</t>
  </si>
  <si>
    <t xml:space="preserve">Terdapat 25 Pedagang Aset Keuangan Digital (PAKD).</t>
  </si>
  <si>
    <t xml:space="preserve">QA0045</t>
  </si>
  <si>
    <t xml:space="preserve">Tanggal pendaftaran terakhir dari aset kripto Bitwre ada pada bulan November 2025?</t>
  </si>
  <si>
    <t xml:space="preserve">S-13/07/2025</t>
  </si>
  <si>
    <t xml:space="preserve">PAKD table: Bitwyre (PT Teknologi Struktur Berantai, bitwyre.id) SK S-9/D.07/2025; S-13/D.07/2025 belongs to Ajaib Kripto. No registration dates shown.</t>
  </si>
  <si>
    <t xml:space="preserve">Wrong row: Bitwyre's SK is S-9/D.07/2025. Question is garbled (asks a date; table only has SK numbers; 'Bitwre' typo). Data is a table, not a chart.</t>
  </si>
  <si>
    <t xml:space="preserve">Apa nomor SK untuk pedagang aset kripto Bitwyre pada tabel PAKD?</t>
  </si>
  <si>
    <t xml:space="preserve">Nomor SK Bitwyre (PT Teknologi Struktur Berantai) adalah S-9/D.07/2025.</t>
  </si>
  <si>
    <t xml:space="preserve">QA0046</t>
  </si>
  <si>
    <t xml:space="preserve">Buletin 20- 20Beyond 20Infinity 20Edisi 20Desember 202025_p025.png</t>
  </si>
  <si>
    <t xml:space="preserve">Tanggal pembuatan daftar aset kripto pada 2 bulan terakhir 2025?</t>
  </si>
  <si>
    <t xml:space="preserve">Tanggal pembuatan daftar aset kripto pada bulan November dan Desember 2025</t>
  </si>
  <si>
    <t xml:space="preserve">Temporal, Instruction-following, Typo/Grammar</t>
  </si>
  <si>
    <t xml:space="preserve">Text: 2 SK Direksi CFX penetapan DAK in November: CFX/DIR-SK/020/XI/2025 (06/11/2025) - 1.307 DAK; CFX/DIR-SK/022/XI/2025 (20/11/2025) - 1.347 DAK.</t>
  </si>
  <si>
    <t xml:space="preserve">Both DAK decrees were issued in November 2025 (6 and 20 Nov), not November and December. Info is in text, not chart; question wording garbled.</t>
  </si>
  <si>
    <t xml:space="preserve">Kapan 2 Surat Keputusan Direksi CFX tentang Penetapan Daftar Aset Kripto diterbitkan?</t>
  </si>
  <si>
    <t xml:space="preserve">Keduanya diterbitkan pada November 2025, yaitu tanggal 6 November 2025 (1.307 DAK) dan 20 November 2025 (1.347 DAK).</t>
  </si>
  <si>
    <t xml:space="preserve">QA0047</t>
  </si>
  <si>
    <t xml:space="preserve">Jumlah aset kripto pada bulan November 2025?</t>
  </si>
  <si>
    <t xml:space="preserve">Jumlah aset kripto pada bulan November 2025 adalah 49,282 Trilun (Ytd)</t>
  </si>
  <si>
    <t xml:space="preserve">Grafik Nilai Transaksi Aset Kripto: Nov 2025 = 37,2 (Okt 49,29); text: kumulatif Rp449,5282 Triliun (Ytd) hingga Nov 2025. DAK = 1.347.</t>
  </si>
  <si>
    <t xml:space="preserve">49,282 matches nothing; Ytd cumulative is Rp449,5282 triliun and November monthly value is 37,2. Question vague ('jumlah aset kripto'); no calculation needed, so not Numerical Calculation.</t>
  </si>
  <si>
    <t xml:space="preserve">Berapa nilai transaksi aset kripto pada bulan November 2025?</t>
  </si>
  <si>
    <t xml:space="preserve">Nilai transaksi aset kripto pada November 2025 sebesar Rp37,2 triliun; secara kumulatif mencapai Rp449,5282 triliun (Ytd).</t>
  </si>
  <si>
    <t xml:space="preserve">QA0048</t>
  </si>
  <si>
    <t xml:space="preserve">Perubahan aset kripto pada bulan November 2025?</t>
  </si>
  <si>
    <t xml:space="preserve">Perubahan aset kripto pada bulan November 2025 adalah -34,633</t>
  </si>
  <si>
    <t xml:space="preserve">Grafik Perubahan Bulanan: Nov = -24,52; Jun = -34,63. Text: nilai transaksi November turun dibanding Oktober.</t>
  </si>
  <si>
    <t xml:space="preserve">November monthly change is -24,52 (%), not -34,633 (June value, misread). No unit; evidence is chart, not text.</t>
  </si>
  <si>
    <t xml:space="preserve">Berapa perubahan bulanan nilai transaksi aset kripto pada bulan November 2025?</t>
  </si>
  <si>
    <t xml:space="preserve">Nilai transaksi aset kripto November 2025 turun 24,52% (mtm), dari Rp49,29 triliun pada Oktober menjadi Rp37,2 triliun.</t>
  </si>
  <si>
    <t xml:space="preserve">QA0049</t>
  </si>
  <si>
    <t xml:space="preserve">Buletin 20- 20Beyond 20Infinity 20Edisi 20Desember 202025_p034.png</t>
  </si>
  <si>
    <t xml:space="preserve">Bagaimana peringkat syariah Indonesia dijadwalkan?</t>
  </si>
  <si>
    <t xml:space="preserve">Indonesia mencapai 64 di jumlah syariah terbanyak</t>
  </si>
  <si>
    <t xml:space="preserve">Chart 'Peringkat Negara dengan Jumlah Fintech Syariah Terbanyak': Arab Saudi 72, Indonesia 64 (peringkat 2), Malaysia 58.</t>
  </si>
  <si>
    <t xml:space="preserve">Question is garbled ('dijadwalkan'); answer's 64 is correct but should state Indonesia ranks 2nd with 64 fintech syariah.</t>
  </si>
  <si>
    <t xml:space="preserve">Berapa jumlah fintech syariah di Indonesia dan di peringkat berapa Indonesia berada?</t>
  </si>
  <si>
    <t xml:space="preserve">Indonesia memiliki 64 fintech syariah dan berada di peringkat ke-2 setelah Arab Saudi (72).</t>
  </si>
  <si>
    <t xml:space="preserve">QA0050</t>
  </si>
  <si>
    <t xml:space="preserve">Bagaimana ekosistem fintech syariah terbait Indonesia</t>
  </si>
  <si>
    <t xml:space="preserve">Indonesia mengungkapkan 64 di jumlah ekosistem fintech syariah terbait</t>
  </si>
  <si>
    <t xml:space="preserve">Typo/Grammar, Instruction-following</t>
  </si>
  <si>
    <t xml:space="preserve">Chart 'Ranking Negara dengan Ekosistem Fintech Syariah Terbaik': Indonesia 64 (listed 3rd after Arab Saudi 72, Malaysia 58).</t>
  </si>
  <si>
    <t xml:space="preserve">Value 64 is correct but question/answer are garbled ('terbait', 'mengungkapkan'); no calculation required, so category should be extraction.</t>
  </si>
  <si>
    <t xml:space="preserve">Berapa skor Indonesia dalam ranking negara dengan ekosistem fintech syariah terbaik?</t>
  </si>
  <si>
    <t xml:space="preserve">Skor Indonesia sebesar 64, di bawah Arab Saudi (72).</t>
  </si>
  <si>
    <t xml:space="preserve">QA0051</t>
  </si>
  <si>
    <t xml:space="preserve">Bagaimana pertumbuhan fintech syariah di Indonesia?</t>
  </si>
  <si>
    <t xml:space="preserve">Pertumbuhan fintech syariah di Indonesia mencapai 11,4% pada tahun 2025</t>
  </si>
  <si>
    <t xml:space="preserve">Text: pertumbuhan fintech syariah terbanyak kedua di dunia, mengalahkan Malaysia dan UAE; 11,47% is pangsa pasar keuangan syariah per Juni 2025.</t>
  </si>
  <si>
    <t xml:space="preserve">11,4% is misattributed (it's the Islamic finance market share, 11,47%); the page describes fintech syariah growth as the 2nd largest in the world.</t>
  </si>
  <si>
    <t xml:space="preserve">Pertumbuhan fintech syariah Indonesia terbanyak kedua di dunia, mengalahkan Malaysia dan UAE (Global Islamic Fintech Report, 2025).</t>
  </si>
  <si>
    <t xml:space="preserve">QA0052</t>
  </si>
  <si>
    <t xml:space="preserve">KEKR Provinsi Maluku Utara Mei 2017</t>
  </si>
  <si>
    <t xml:space="preserve">KEKR 20Provinsi 20Maluku 20Utara 20Mei 202017_p034.png</t>
  </si>
  <si>
    <t xml:space="preserve">Bagaimana pertumbuhan ekonomi di Provinsi Maluku Utara selama periode 2012-2016?</t>
  </si>
  <si>
    <t xml:space="preserve">Pertumbuhan ekonomi di Provinsi Maluku Utara selama periode 2012-2016 meningkatkan produksi sektor pertanian, khususnya pertambangan dan pengalihan, industri pengolahan, dan pengadaan listrik dan gas.</t>
  </si>
  <si>
    <t xml:space="preserve">Reasoning, Typo/Grammar</t>
  </si>
  <si>
    <t xml:space="preserve">Text: kecenderungan pertumbuhan ekonomi Malut 2012-2016 menunjukkan penurunan, karena produksi pertanian masih tradisional dan ketergantungan pada komoditas mentah termasuk bahan tambang.</t>
  </si>
  <si>
    <t xml:space="preserve">Answer misstates the finding: text says growth trend declined, with traditional agriculture and raw-commodity dependence as causes; answer invents 'increased production' and garbles sectors.</t>
  </si>
  <si>
    <t xml:space="preserve">Pertumbuhan ekonomi Maluku Utara pada 2012-2016 cenderung menurun, antara lain karena proses produksi sektor pertanian yang masih tradisional dan ketergantungan pada komoditas mentah termasuk bahan tambang.</t>
  </si>
  <si>
    <t xml:space="preserve">QA0053</t>
  </si>
  <si>
    <t xml:space="preserve">Bagaimana pertumbuhan PDRB di Provinsi Maluku Utara selama periode 2012-2016?</t>
  </si>
  <si>
    <t xml:space="preserve">PDRB di Provinsi Maluku Utara selama periode 2012-2016 meningkatkan dari 6,47% pada tahun 2012 menjadi 4,27% pada tahun 2016.</t>
  </si>
  <si>
    <t xml:space="preserve">Tabel 1 PDRB row: 6,98% (2012), 6,36% (2013), 5,49% (2014), 6,10% (2015), 5,77% (2016). 6,47%/4,27% are Pertanian row.</t>
  </si>
  <si>
    <t xml:space="preserve">Values taken from Pertanian row, not PDRB; 'meningkat' is wrong (growth fell). Data from Tabel 1, no chart, no calculation performed.</t>
  </si>
  <si>
    <t xml:space="preserve">Pertumbuhan PDRB Maluku Utara cenderung melambat, dari 6,98% pada 2012 menjadi 5,77% pada 2016 (6,36% pada 2013, 5,49% pada 2014, 6,10% pada 2015).</t>
  </si>
  <si>
    <t xml:space="preserve">QA0054</t>
  </si>
  <si>
    <t xml:space="preserve">Bagaimana pertumbuhan produksi pertanian di Provinsi Maluku Utara selama periode 2012-2016?</t>
  </si>
  <si>
    <t xml:space="preserve">Pertumbuhan produksi pertanian di Provinsi Maluku Utara selama periode 2012-2016 meningkatkan dari 3,13% pada tahun 2012 menjadi 15,14% pada tahun 2016.</t>
  </si>
  <si>
    <t xml:space="preserve">Tabel 1 Pertanian, Kehutanan, dan Perikanan: 6,47% (2012), 3,54%, 3,02%, 1,67%, 4,27% (2016). 3,13% = Pertambangan 2012; 15,14% = Industri 2016.</t>
  </si>
  <si>
    <t xml:space="preserve">Wrong rows mixed (Pertambangan 2012, Industri Pengolahan 2016); direction wrong: agriculture growth fell from 6,47% to 4,27%. Source is a table, not chart.</t>
  </si>
  <si>
    <t xml:space="preserve">Pertumbuhan sektor Pertanian, Kehutanan, dan Perikanan melambat dari 6,47% pada 2012 menjadi 4,27% pada 2016, dengan titik terendah 1,67% pada 2015.</t>
  </si>
  <si>
    <t xml:space="preserve">QA0055</t>
  </si>
  <si>
    <t xml:space="preserve">KEKR 20Provinsi 20Maluku 20Utara 20Mei 202017_p035.png</t>
  </si>
  <si>
    <t xml:space="preserve">Bagaimana banyak ton perikanan yang mengalami penurunan di Provinsi Maluku Utara selama periode 2012-2016?</t>
  </si>
  <si>
    <t xml:space="preserve">1,12%</t>
  </si>
  <si>
    <t xml:space="preserve">Factual/Numerical, Typo/Grammar</t>
  </si>
  <si>
    <t xml:space="preserve">Text: pangsa sektor pertanian dalam PDRB terus menurun dalam 2012-2016 sebesar 1,12%. No fishery tonnage decline stated.</t>
  </si>
  <si>
    <t xml:space="preserve">1,12% is the decline in agriculture sector's PDRB share over 2012-2016, not a tonnage of fisheries; question misattributes the metric and is garbled.</t>
  </si>
  <si>
    <t xml:space="preserve">Berapa penurunan pangsa sektor pertanian dalam PDRB Maluku Utara selama 2012-2016?</t>
  </si>
  <si>
    <t xml:space="preserve">Pangsa sektor pertanian menurun sebesar 1,12% dalam kurun 2012-2016.</t>
  </si>
  <si>
    <t xml:space="preserve">QA0056</t>
  </si>
  <si>
    <t xml:space="preserve">Bagaimana berbagi potensi perikanan antara ton perikanan terbaik dan ton perikanan terendah di Provinsi Maluku Utara?</t>
  </si>
  <si>
    <t xml:space="preserve">Potensi perikanan terbaik: 1,035,230 ton per tahun, potensi perikanan terendah: 106,510 ton per tahun</t>
  </si>
  <si>
    <t xml:space="preserve">Text: potensi sumberdaya ikan (standing stock) 1.035.230 ton/tahun; potensi lestari 517.000 ton/tahun; potensi ikan pelagis besar 106.510 ton/tahun. No chart.</t>
  </si>
  <si>
    <t xml:space="preserve">1.035.230 is total standing stock and 106.510 is pelagis besar potential; they are not 'best vs lowest' fisheries. Question garbled; no chart on page for a Chart calculation.</t>
  </si>
  <si>
    <t xml:space="preserve">Berapa potensi sumberdaya ikan total dan potensi ikan pelagis besar per tahun di Maluku Utara?</t>
  </si>
  <si>
    <t xml:space="preserve">Potensi sumberdaya ikan (standing stock) mencapai 1.035.230 ton per tahun, sedangkan potensi ikan pelagis besar 106.510 ton per tahun.</t>
  </si>
  <si>
    <t xml:space="preserve">QA0057</t>
  </si>
  <si>
    <t xml:space="preserve">Bagaimana banyak ton perikanan yang mengalami peningkatan di Provinsi Maluku Utara selama periode 2012-2016?</t>
  </si>
  <si>
    <t xml:space="preserve">31,48%</t>
  </si>
  <si>
    <t xml:space="preserve">Text: 31,48% is pemanfaatan ikan pelagis kecil; page gives no fishery tonnage increase over 2012-2016. No chart.</t>
  </si>
  <si>
    <t xml:space="preserve">Page has no data on fishery tonnage increasing in 2012-2016; 31,48% is pelagis kecil utilization rate. Premise not grounded.</t>
  </si>
  <si>
    <t xml:space="preserve">QA0058</t>
  </si>
  <si>
    <t xml:space="preserve">KEKR 20Provinsi 20Maluku 20Utara 20Mei 202017_p048.png</t>
  </si>
  <si>
    <t xml:space="preserve">Bagaimana penurunan pendapatan asli daerah pada APBD 2017?</t>
  </si>
  <si>
    <t xml:space="preserve">Pada APBD 2017, pendapatan asli daerah menurun 16,53% dibandingkan dengan tahun sebelumnya.</t>
  </si>
  <si>
    <t xml:space="preserve">Tabel 2.1 &amp; text: PAD naik 99,17% (yoy), from Rp244,37 miliar (APBD 2016) to Rp486,71 miliar (APBD 2017). 16,53% is Belanja Operasi.</t>
  </si>
  <si>
    <t xml:space="preserve">PAD increased, not decreased. 16,53% belongs to Belanja Operasi. The question's premise is wrong but fixable from the page.</t>
  </si>
  <si>
    <t xml:space="preserve">Bagaimana perubahan pendapatan asli daerah (PAD) pada APBD 2017?</t>
  </si>
  <si>
    <t xml:space="preserve">Pada APBD 2017, pendapatan asli daerah meningkat 99,17% (yoy), dari Rp244,37 miliar pada APBD 2016 menjadi Rp486,71 miliar.</t>
  </si>
  <si>
    <t xml:space="preserve">QA0059</t>
  </si>
  <si>
    <t xml:space="preserve">Bagaimana berubah pendapatan transfer pada APBD 2017?</t>
  </si>
  <si>
    <t xml:space="preserve">Pada APBD 2017, pendapatan transfer meningkat 16,53% dibandingkan dengan tahun sebelumnya.</t>
  </si>
  <si>
    <t xml:space="preserve">Tabel 2.1: Pendapatan Transfer Rp1.743,20 miliar (2016) -&gt; Rp1.907,79 miliar (2017), perubahan 9,44% (text states 30,43%). No chart on page.</t>
  </si>
  <si>
    <t xml:space="preserve">16,53% belongs to Belanja Operasi. The table shows 9,44% for transfer income. The page has no chart, only a table.</t>
  </si>
  <si>
    <t xml:space="preserve">Bagaimana perubahan pendapatan transfer pada APBD 2017?</t>
  </si>
  <si>
    <t xml:space="preserve">Pada APBD 2017, pendapatan transfer meningkat 9,44% dibandingkan APBD 2016, dari Rp1.743,20 miliar menjadi Rp1.907,79 miliar (Tabel 2.1).</t>
  </si>
  <si>
    <t xml:space="preserve">QA0060</t>
  </si>
  <si>
    <t xml:space="preserve">Bagaimana berubah belanja operasi pada APBD 2017?</t>
  </si>
  <si>
    <t xml:space="preserve">Pada APBD 2017, belanja operasi meningkat 99,17% dibandingkan dengan tahun sebelumnya.</t>
  </si>
  <si>
    <t xml:space="preserve">Tabel 2.1: Belanja Operasi Rp1.672,22 miliar (2016) -&gt; Rp1.948,69 miliar (2017), perubahan 16,53%. No chart.</t>
  </si>
  <si>
    <t xml:space="preserve">99,17% is the PAD change. Belanja Operasi rose 16,53%. The source is a table, not a chart.</t>
  </si>
  <si>
    <t xml:space="preserve">Bagaimana perubahan belanja operasi pada APBD 2017?</t>
  </si>
  <si>
    <t xml:space="preserve">Pada APBD 2017, belanja operasi meningkat 16,53% dibandingkan APBD 2016, dari Rp1.672,22 miliar menjadi Rp1.948,69 miliar.</t>
  </si>
  <si>
    <t xml:space="preserve">QA0061</t>
  </si>
  <si>
    <t xml:space="preserve">KEKR 20Provinsi 20Maluku 20Utara 20Mei 202017_p050.png</t>
  </si>
  <si>
    <t xml:space="preserve">Jumlah realisasi pendapatan Pemerintah Provinsi Maluku Utara pada tahun 2017 berapa?</t>
  </si>
  <si>
    <t xml:space="preserve">Rp549,532 miliar</t>
  </si>
  <si>
    <t xml:space="preserve">Text: total realisasi pendapatan daerah Pemprov Maluku Utara pada triwulan I 2017 sebesar Rp549,532 miliar.</t>
  </si>
  <si>
    <t xml:space="preserve">Value correct but it is triwulan I 2017, not the full year 2017.</t>
  </si>
  <si>
    <t xml:space="preserve">Berapa jumlah realisasi pendapatan Pemerintah Provinsi Maluku Utara pada triwulan I 2017?</t>
  </si>
  <si>
    <t xml:space="preserve">Rp549,532 miliar pada triwulan I 2017.</t>
  </si>
  <si>
    <t xml:space="preserve">QA0062</t>
  </si>
  <si>
    <t xml:space="preserve">Persentase pertumbuhan realisasi pendapatan Pemerintah Provinsi Maluku Utara dari tahun 2016 ke tahun 2017 berapa?</t>
  </si>
  <si>
    <t xml:space="preserve">19,19%</t>
  </si>
  <si>
    <t xml:space="preserve">Factual/Numerical, Reasoning, Temporal, Instruction-following</t>
  </si>
  <si>
    <t xml:space="preserve">Text: Tw I 2017 realisasi 19,19%, lebih rendah dari Tw I 2016 25,11% (realization rates). Grafik 2.3: Tw I 2016 ~Rp540 M, Tw I 2017 ~Rp549,5 M.</t>
  </si>
  <si>
    <t xml:space="preserve">19,19% is the Tw I 2017 realization rate, not growth from 2016 to 2017; the rate fell vs 25,11%. Nominally Tw I 2017 is only slightly above Tw I 2016 in the chart.</t>
  </si>
  <si>
    <t xml:space="preserve">Bagaimana persentase realisasi pendapatan Pemerintah Provinsi Maluku Utara pada triwulan I 2017 dibandingkan triwulan I 2016?</t>
  </si>
  <si>
    <t xml:space="preserve">Realisasi pendapatan triwulan I 2017 sebesar 19,19%, lebih rendah dibanding triwulan I 2016 yang terealisasi sebesar 25,11%.</t>
  </si>
  <si>
    <t xml:space="preserve">QA0063</t>
  </si>
  <si>
    <t xml:space="preserve">Realisasi pendapatan Pemerintah Provinsi Maluku Utara pada tahun 2016 berapa?</t>
  </si>
  <si>
    <t xml:space="preserve">Factual/Numerical, Temporal</t>
  </si>
  <si>
    <t xml:space="preserve">Grafik 2.3: bar Tw I 2016 ~540.000 (juta Rp) i.e. ~Rp540 miliar; Rp549,532 miliar is Tw I 2017 (text).</t>
  </si>
  <si>
    <t xml:space="preserve">Rp549,532 miliar belongs to Tw I 2017; Tw I 2016 is ~Rp540 miliar in the chart. Full-year 2016 is not stated; question should specify triwulan I.</t>
  </si>
  <si>
    <t xml:space="preserve">Berapa realisasi pendapatan Pemerintah Provinsi Maluku Utara pada triwulan I 2016?</t>
  </si>
  <si>
    <t xml:space="preserve">Berdasarkan Grafik 2.3, realisasi pendapatan triwulan I 2016 sekitar Rp540 miliar (sekitar 540.000 juta rupiah).</t>
  </si>
  <si>
    <t xml:space="preserve">QA0064</t>
  </si>
  <si>
    <t xml:space="preserve">KEKR 20Provinsi 20Maluku 20Utara 20Mei 202017_p071.png</t>
  </si>
  <si>
    <t xml:space="preserve">Pertumbuhan jumlah rekening dari kemampuan ke 3 juta per kategori penggunaan pada 2017 dibandingkan dengan 2016?</t>
  </si>
  <si>
    <t xml:space="preserve">Pertumbuhan jumlah rekening dari kemampuan ke 3 juta per kategori penggunaan pada 2017 dibandingkan dengan 2016 adalah 10,79% (yoy) dan 12,09% (yoy).</t>
  </si>
  <si>
    <t xml:space="preserve">Text: pertumbuhan jumlah rekening naik dari 12,09% (yoy) Tw I 2016 menjadi 13,97% (yoy) Tw I 2017; 10,79% is DPK Perseorangan growth Tw I 2016.</t>
  </si>
  <si>
    <t xml:space="preserve">Question garbled (no account data by 3 juta income category). Answer gives 10,79% (DPK growth) instead of 13,97% for 2017; account growth 2017 vs 2016 is 12,09% -&gt; 13,97%.</t>
  </si>
  <si>
    <t xml:space="preserve">Bagaimana pertumbuhan jumlah rekening masyarakat di perbankan pada triwulan I 2017 dibandingkan triwulan I 2016?</t>
  </si>
  <si>
    <t xml:space="preserve">Pertumbuhan jumlah rekening meningkat dari 12,09% (yoy) pada triwulan I 2016 menjadi 13,97% (yoy) pada triwulan I 2017.</t>
  </si>
  <si>
    <t xml:space="preserve">QA0065</t>
  </si>
  <si>
    <t xml:space="preserve">Bagaimana berubah komposisi konsumsinya dari kategori pendapatan menengah dan menengah tua pada 2017 dibandingkan dengan 2016?</t>
  </si>
  <si>
    <t xml:space="preserve">Komposisi konsumsinya dari kategori pendapatan menengah dan menengah tua pada 2017 dibandingkan dengan 2016 meningkat dari 58,33% menjadi 58,33% dan 58,33% menjadi 58,33%.</t>
  </si>
  <si>
    <t xml:space="preserve">Hallucination, Temporal, Typo/Grammar</t>
  </si>
  <si>
    <t xml:space="preserve">Tabel 4.1 shows a single-period snapshot: Konsumsi Rp3-4 juta 58,33; Rp4-5 juta 58,33. No 2016 vs 2017 comparison of consumption composition; no chart.</t>
  </si>
  <si>
    <t xml:space="preserve">Premise of a 2016-&gt;2017 change in consumption composition is not on the page; answer '58,33% menjadi 58,33%' is nonsensical.</t>
  </si>
  <si>
    <t xml:space="preserve">QA0066</t>
  </si>
  <si>
    <t xml:space="preserve">Bagaimana berubah jumlah rekening dari kemampuan ke 4 juta per kategori penggunaan pada 2017 dibandingkan dengan 2016?</t>
  </si>
  <si>
    <t xml:space="preserve">Jumlah rekening dari kemampuan ke 4 juta per kategori penggunaan pada 2017 dibandingkan dengan 2016 adalah 20,83% (yoy) dan 20,83% (yoy).</t>
  </si>
  <si>
    <t xml:space="preserve">Text: jumlah rekening tumbuh 12,09% (yoy) Tw I 2016 -&gt; 13,97% (yoy) Tw I 2017. 20,83 is cicilan/tabungan share for Rp3-4 juta (Tabel 4.1). No chart.</t>
  </si>
  <si>
    <t xml:space="preserve">Garbled question; answer 20,83% (yoy) is an income-allocation share misread as account growth. Evidence is text, not chart.</t>
  </si>
  <si>
    <t xml:space="preserve">Bagaimana perubahan pertumbuhan jumlah rekening masyarakat di perbankan pada triwulan I 2017 dibandingkan triwulan I 2016?</t>
  </si>
  <si>
    <t xml:space="preserve">QA0067</t>
  </si>
  <si>
    <t xml:space="preserve">KEKR 20Provinsi 20Maluku 20Utara 20Mei 202017_p087.png</t>
  </si>
  <si>
    <t xml:space="preserve">Jumlah transaksi pembayaran non tunai pada periode I 2017 di Maluku Utara berapa?</t>
  </si>
  <si>
    <t xml:space="preserve">234,92 miliar</t>
  </si>
  <si>
    <t xml:space="preserve">Unit, Typo/Grammar</t>
  </si>
  <si>
    <t xml:space="preserve">Text 5.2.1: transaksi nontunai melalui kliring triwulan I 2017 tercatat sebesar Rp234,92 miliar.</t>
  </si>
  <si>
    <t xml:space="preserve">Value correct, but it is the nominal of clearing transactions (Rp missing) and 'periode I' should be triwulan I; 'jumlah transaksi' may be confused with transaction count.</t>
  </si>
  <si>
    <t xml:space="preserve">Berapa nominal transaksi pembayaran nontunai melalui kliring di Maluku Utara pada triwulan I 2017?</t>
  </si>
  <si>
    <t xml:space="preserve">Rp234,92 miliar.</t>
  </si>
  <si>
    <t xml:space="preserve">QA0068</t>
  </si>
  <si>
    <t xml:space="preserve">Bagaimana perubahan kontraksi terkontraksi pada periode I 2017 di Maluku Utara?</t>
  </si>
  <si>
    <t xml:space="preserve">9,81% (yoy)</t>
  </si>
  <si>
    <t xml:space="preserve">Instruction-following, Typo/Grammar, Incomplete</t>
  </si>
  <si>
    <t xml:space="preserve">Text: nominal kliring Tw I 2017 terkontraksi semakin dalam dari 7,45% (yoy) pada triwulan sebelumnya menjadi 9,81% (yoy).</t>
  </si>
  <si>
    <t xml:space="preserve">9,81% yoy is right but comes from text, not a chart calculation; question is garbled and answer omits the change from 7,45%.</t>
  </si>
  <si>
    <t xml:space="preserve">Bagaimana perubahan kontraksi nominal transaksi kliring di Maluku Utara pada triwulan I 2017?</t>
  </si>
  <si>
    <t xml:space="preserve">Kontraksi nominal transaksi kliring semakin dalam, dari 7,45% (yoy) pada triwulan sebelumnya menjadi 9,81% (yoy) pada triwulan I 2017.</t>
  </si>
  <si>
    <t xml:space="preserve">QA0069</t>
  </si>
  <si>
    <t xml:space="preserve">Bagaimana perubahan jumlah transaksi pembayaran non tunai pada periode IV 2016 di Maluku Utara?</t>
  </si>
  <si>
    <t xml:space="preserve">31 jumlah transaksi</t>
  </si>
  <si>
    <t xml:space="preserve">Factual/Numerical, Unit</t>
  </si>
  <si>
    <t xml:space="preserve">Grafik 5.2: jumlah warkat Tw IV 2016 approx. 4.900 lembar (below ~5.100 in Tw IV 2015); nominal ~Rp245.000 juta. Tabel 5.2: cek kosong Tw IV 2016 = 44; 31 is 2015.</t>
  </si>
  <si>
    <t xml:space="preserve">'31' is cek/BG kosong count for 2015 Tw I/IV, not the Tw IV 2016 clearing transaction count; chart shows ~4.900 warkat.</t>
  </si>
  <si>
    <t xml:space="preserve">Berapa jumlah warkat kliring di Maluku Utara pada triwulan IV 2016?</t>
  </si>
  <si>
    <t xml:space="preserve">Jumlah warkat kliring pada triwulan IV 2016 sekitar 4.900 lembar, lebih rendah dibanding triwulan IV 2015 (sekitar 5.100 lembar).</t>
  </si>
  <si>
    <t xml:space="preserve">QA0070</t>
  </si>
  <si>
    <t xml:space="preserve">KEKR 20Provinsi 20Maluku 20Utara 20Mei 202017_p088.png</t>
  </si>
  <si>
    <t xml:space="preserve">Jumlah agen LKD di Maluku Utara pada tahun 2017 berapa?</t>
  </si>
  <si>
    <t xml:space="preserve">539</t>
  </si>
  <si>
    <t xml:space="preserve">Temporal, Format</t>
  </si>
  <si>
    <t xml:space="preserve">Grafik 5.3: 2017 bar only for Tw I = 539 agen (also in text: triwulan I 2017, 539 agen).</t>
  </si>
  <si>
    <t xml:space="preserve">539 is correct but refers to Tw I 2017 only, not the full year; answer is a bare number.</t>
  </si>
  <si>
    <t xml:space="preserve">Berapa jumlah agen LKD di Maluku Utara pada triwulan I 2017?</t>
  </si>
  <si>
    <t xml:space="preserve">Jumlah agen LKD di Maluku Utara pada triwulan I 2017 sebanyak 539 agen.</t>
  </si>
  <si>
    <t xml:space="preserve">QA0071</t>
  </si>
  <si>
    <t xml:space="preserve">Bagaimana perubahan jumlah agen LKD di Maluku Utara antara tahun 2016 dan 2017?</t>
  </si>
  <si>
    <t xml:space="preserve">Jumlah agen LKD di Maluku Utara meningkat dari 265 pada tahun 2016 menjadi 571 pada tahun 2017.</t>
  </si>
  <si>
    <t xml:space="preserve">Grafik 5.3: 2016 Tw I 265, II 302, III 411, IV 571; 2017 Tw I 539 (down 32 from Tw IV 2016).</t>
  </si>
  <si>
    <t xml:space="preserve">571 is Tw IV 2016, not 2017; 2017 (Tw I) is 539. Answer misattributes periods and misses the qtq decline.</t>
  </si>
  <si>
    <t xml:space="preserve">Jumlah agen LKD naik dari 265 agen (Tw I 2016) hingga 571 agen (Tw IV 2016), lalu turun menjadi 539 agen pada Tw I 2017; secara tahunan tumbuh 103% (yoy) dari 265 pada Tw I 2016.</t>
  </si>
  <si>
    <t xml:space="preserve">QA0072</t>
  </si>
  <si>
    <t xml:space="preserve">Persentase pertumbuhan jumlah agen LKD di Maluku Utara antara tahun 2016 dan 2017 berapa?</t>
  </si>
  <si>
    <t xml:space="preserve">Pertumbuhan jumlah agen LKD di Maluku Utara antara tahun 2016 dan 2017 adalah 149%.</t>
  </si>
  <si>
    <t xml:space="preserve">Grafik 5.3: Tw I 2016 = 265, Tw I 2017 = 539 -&gt; +103% yoy (text: 103% yoy); 149% is Tw IV 2016 yoy growth.</t>
  </si>
  <si>
    <t xml:space="preserve">149% is the Tw IV 2016 growth; growth from 2016 to 2017 (Tw I yoy) is 539/265-1 = 103%.</t>
  </si>
  <si>
    <t xml:space="preserve">Berapa persentase pertumbuhan jumlah agen LKD di Maluku Utara dari triwulan I 2016 ke triwulan I 2017?</t>
  </si>
  <si>
    <t xml:space="preserve">Jumlah agen LKD tumbuh sekitar 103% (yoy), dari 265 agen pada triwulan I 2016 menjadi 539 agen pada triwulan I 2017.</t>
  </si>
  <si>
    <t xml:space="preserve">QA0073</t>
  </si>
  <si>
    <t xml:space="preserve">KEKR 20Provinsi 20Maluku 20Utara 20Mei 202017_p091.png</t>
  </si>
  <si>
    <t xml:space="preserve">Berapa perkembangan indikator ketenagakerjaan di Maluku Utara pada bulan Februari 2017?</t>
  </si>
  <si>
    <t xml:space="preserve">Perkembangan indikator ketenagakerjaan di Maluku Utara menunjukkan pertumbuhan yang baik pada bulan Februari 2017</t>
  </si>
  <si>
    <t xml:space="preserve">Text: indikator masih tumbuh baik; TPAK naik 67,83% (Feb 2016) -&gt; 69,48% (Feb 2017); TPT naik 3,43% -&gt; 4,82%.</t>
  </si>
  <si>
    <t xml:space="preserve">Question asks 'berapa' but answer gives only a qualitative statement without figures.</t>
  </si>
  <si>
    <t xml:space="preserve">Indikator ketenagakerjaan Maluku Utara masih tumbuh baik: TPAK Februari 2017 sebesar 69,48% (naik dari 67,83% pada Februari 2016), sedangkan TPT naik menjadi 4,82% dari 3,43%.</t>
  </si>
  <si>
    <t xml:space="preserve">QA0074</t>
  </si>
  <si>
    <t xml:space="preserve">Bagaimana perkembangan indikator ketenagakerjaan di Maluku Utara melibatkan sektor pertanian, perkebunan, dan perikanan?</t>
  </si>
  <si>
    <t xml:space="preserve">Perkembangan indikator ketenagakerjaan di sektor pertanian, perkebunan, dan perikanan menunjukkan pertumbuhan yang baik, dengan peningkatan dari 4,43% pada Februari 2016 menjadi 4,82% pada Februari 2017</t>
  </si>
  <si>
    <t xml:space="preserve">Text: penyerapan terbesar di sektor pertanian, perkebunan, kehutanan, perburuan, perikanan; terjadi pergeseran ke sektor sekunder/tersier. 4,82% is TPT Feb 2017 (from 3,43%).</t>
  </si>
  <si>
    <t xml:space="preserve">The 4,43%-&gt;4,82% figures are a misread of TPT (3,43%-&gt;4,82%) and are not agricultural-sector data. The sector info is only in text; no chart calc.</t>
  </si>
  <si>
    <t xml:space="preserve">Sektor pertanian, perkebunan, kehutanan, perburuan, dan perikanan menyerap tenaga kerja paling besar, namun sedang terjadi pergeseran penyerapan tenaga kerja dari sektor ini ke sektor sekunder dan tersier seperti industri pengolahan, konstruksi, dan perdagangan.</t>
  </si>
  <si>
    <t xml:space="preserve">QA0075</t>
  </si>
  <si>
    <t xml:space="preserve">Bagaimana berdasarkan data Tingkat Partisipasi Angkatan Kerja (TPAK) pada bulan Februari 2016 dan 2017?</t>
  </si>
  <si>
    <t xml:space="preserve">Tingkat Partisipasi Angkatan Kerja (TPAK) menunjukkan pertumbuhan yang baik, dengan meningkat dari 67,83% pada Februari 2016 menjadi 69,48% pada Februari 2017</t>
  </si>
  <si>
    <t xml:space="preserve">Grafik 6.1 data table: TPAK Feb 2016 67,83%, Feb 2017 69,48%.</t>
  </si>
  <si>
    <t xml:space="preserve">Values and direction correct; question slightly awkward but understandable.</t>
  </si>
  <si>
    <t xml:space="preserve">QA0076</t>
  </si>
  <si>
    <t xml:space="preserve">KSK-4626_003</t>
  </si>
  <si>
    <t xml:space="preserve">KSK-4626_003_p065.png</t>
  </si>
  <si>
    <t xml:space="preserve">Bagaimana risiko operasional dari pihak ketiga terhadap sistem keuangan?</t>
  </si>
  <si>
    <t xml:space="preserve">Risiko operasional dari pihak ketiga dapat mengakibatkan keamanan sistem keuangan, seperti kejahatan, kelebihan akses, dan penyalahgunaan sistem.</t>
  </si>
  <si>
    <t xml:space="preserve">Typo/Grammar, Incomplete, Factual/Numerical</t>
  </si>
  <si>
    <t xml:space="preserve">Text: insiden pihak ketiga berupa serangan siber, penyalahgunaan sistem, fraud; celah unauthorized access; dampak kerugian finansial, gangguan operasional, risiko reputasi, bisa jadi risiko sistemik.</t>
  </si>
  <si>
    <t xml:space="preserve">Answer is garbled ('mengakibatkan keamanan', 'kelebihan akses' instead of akses tidak sah) and omits the stated impacts (financial loss, operational disruption, reputational risk, systemic contagion).</t>
  </si>
  <si>
    <t xml:space="preserve">Risiko operasional dari pihak ketiga dapat berupa serangan siber, penyalahgunaan sistem, fraud, dan akses tidak sah, yang berpotensi menimbulkan kerugian finansial, gangguan operasional, dan penurunan kepercayaan (risiko reputasi); bila pihak ketiga melayani banyak lembaga, risiko dapat tereskalasi menjadi risiko sistemik.</t>
  </si>
  <si>
    <t xml:space="preserve">QA0077</t>
  </si>
  <si>
    <t xml:space="preserve">Bagaimana Bank Indonesia mengatasi risiko operasional?</t>
  </si>
  <si>
    <t xml:space="preserve">Bank Indonesia menggunakan regulasi dan pengawasan untuk mengurangi risiko operasional, seperti menggunakan PSP dan mengelola keberlanjutan sistem.</t>
  </si>
  <si>
    <t xml:space="preserve">Instruction-following, Incomplete, Factual/Numerical</t>
  </si>
  <si>
    <t xml:space="preserve">Text: BI memastikan kerja sama PSP-pihak ketiga patuh ketentuan; penguatan pengawasan onsite (asesmen berbasis kepatuhan dan risiko) dan offsite (pemeriksaan berkala).</t>
  </si>
  <si>
    <t xml:space="preserve">Evidence is paragraph text, not chart. 'Pengawasan' is right but 'menggunakan PSP dan mengelola keberlanjutan sistem' misstates it; onsite/offsite supervision details missing.</t>
  </si>
  <si>
    <t xml:space="preserve">Bank Indonesia memastikan kerja sama antara PSP dan pihak ketiga mematuhi ketentuan, serta memperkuat pengawasan onsite berbasis asesmen kepatuhan dan risiko (manajemen risiko operasional dan keandalan infrastruktur TI) dan pengawasan offsite melalui pemeriksaan berkala atas PSP.</t>
  </si>
  <si>
    <t xml:space="preserve">QA0078</t>
  </si>
  <si>
    <t xml:space="preserve">Bagaimana berdasarkan data, perbedaan risiko operasional di antara tahun 2021 dan 2022?</t>
  </si>
  <si>
    <t xml:space="preserve">Pada tahun 2021, terkait pihak ketiga adalah 1,4%, sementara pada tahun 2022 adalah 2,5%.</t>
  </si>
  <si>
    <t xml:space="preserve">Factual/Numerical, Unit, Calculation</t>
  </si>
  <si>
    <t xml:space="preserve">Grafik B3.2.1 (frekuensi): 2021 terkait pihak ketiga 1, total 3; 2022 terkait pihak ketiga 0, total 4.</t>
  </si>
  <si>
    <t xml:space="preserve">Chart shows incident counts, not percentages; 1,4% and 2,5% are fabricated. Correct: third-party incidents 1 (2021) vs 0 (2022); total incidents 3 vs 4.</t>
  </si>
  <si>
    <t xml:space="preserve">Berdasarkan Grafik B3.2.1, bagaimana perbedaan jumlah insiden siber terkait pihak ketiga dan total insiden antara tahun 2021 dan 2022?</t>
  </si>
  <si>
    <t xml:space="preserve">Insiden terkait pihak ketiga turun dari 1 kejadian (2021) menjadi 0 (2022), sedangkan total insiden naik dari 3 menjadi 4 kejadian (bertambah 1).</t>
  </si>
  <si>
    <t xml:space="preserve">QA0079</t>
  </si>
  <si>
    <t xml:space="preserve">KSK-4626</t>
  </si>
  <si>
    <t xml:space="preserve">KSK-4626_p036.png</t>
  </si>
  <si>
    <t xml:space="preserve">Bagaimana pertumbuhan kredit di Indonesia pada tahun 2023 dan 2024?</t>
  </si>
  <si>
    <t xml:space="preserve">Kredit konsumsi mengalami pertumbuhan sebesar, kredit komersial meningkat, dan kredit korporasi meningkat</t>
  </si>
  <si>
    <t xml:space="preserve">Incomplete, Reasoning, Instruction-following</t>
  </si>
  <si>
    <t xml:space="preserve">Tabel 2.1.1 (%, yoy) 2023-&gt;2024: Industri 10,38-&gt;10,39; Konsumsi 9,10-&gt;10,61; Komersial 7,99-&gt;5,82; Korporasi 13,52-&gt;15,59. No chart.</t>
  </si>
  <si>
    <t xml:space="preserve">Answer omits the consumption growth number and wrongly says commercial credit rose (it slowed 7,99%-&gt;5,82%). Data is from a table, not a chart.</t>
  </si>
  <si>
    <t xml:space="preserve">Bagaimana pertumbuhan kredit perbankan per segmen pada tahun 2023 dan 2024?</t>
  </si>
  <si>
    <t xml:space="preserve">Kredit industri tumbuh 10,38% (2023) dan 10,39% (2024). Kredit konsumsi naik dari 9,10% ke 10,61%, kredit korporasi naik dari 13,52% ke 15,59%, sedangkan kredit komersial melambat dari 7,99% ke 5,82%.</t>
  </si>
  <si>
    <t xml:space="preserve">QA0080</t>
  </si>
  <si>
    <t xml:space="preserve">Bagaimana kontribusi pertumbuhan kredit di ekonomi Indonesia pada tahun 2023 dan 2024?</t>
  </si>
  <si>
    <t xml:space="preserve">Kredit konsumsi memimpin kontribusi pertumbuhan kredit di ekonomi Indonesia, dengan kredit komersial dan korporasi meningkat</t>
  </si>
  <si>
    <t xml:space="preserve">Temporal, Factual/Numerical, Instruction-following</t>
  </si>
  <si>
    <t xml:space="preserve">Tabel 2.1.1 Kontribusi Pertumbuhan Kredit only for Des 25: Korporasi 7,41, Investasi 5,87, Modal Kerja 2,02, Konsumsi 1,80, Komersial 0,55, UMKM -0,06.</t>
  </si>
  <si>
    <t xml:space="preserve">Contribution is only given for Dec 2025, not 2023/2024, and the largest contributor is corporate credit (7,41) / investment credit (5,87), not consumption (1,80). Evidence is table, not text.</t>
  </si>
  <si>
    <t xml:space="preserve">Segmen kredit mana yang memberikan kontribusi terbesar terhadap pertumbuhan kredit pada Desember 2025?</t>
  </si>
  <si>
    <t xml:space="preserve">Kredit korporasi memberikan kontribusi terbesar (7,41%) dari pertumbuhan kredit 9,69%; menurut penggunaan, kredit investasi terbesar (5,87%), sedangkan kredit konsumsi hanya 1,80%.</t>
  </si>
  <si>
    <t xml:space="preserve">QA0081</t>
  </si>
  <si>
    <t xml:space="preserve">Bagaimana pertumbuhan kredit di industri penguasaan pada tahun 2023 dan 2024?</t>
  </si>
  <si>
    <t xml:space="preserve">Kredit konsumsi dan kredit kemerjaan meningkat, kredit investasi meningkat</t>
  </si>
  <si>
    <t xml:space="preserve">Reasoning, Typo/Grammar, Incomplete, Instruction-following</t>
  </si>
  <si>
    <t xml:space="preserve">Tabel 2.1.1 Penggunaan 2023-&gt;2024: Investasi 12,26-&gt;13,62; Konsumsi 9,10-&gt;10,61; Modal Kerja 10,05-&gt;8,35.</t>
  </si>
  <si>
    <t xml:space="preserve">Garbled terms ('industri penguasaan', 'kemerjaan'); modal kerja credit actually slowed (10,05%-&gt;8,35%), not rose; no figures given. Data is table, not chart.</t>
  </si>
  <si>
    <t xml:space="preserve">Bagaimana pertumbuhan kredit berdasarkan penggunaan pada tahun 2023 dan 2024?</t>
  </si>
  <si>
    <t xml:space="preserve">Kredit investasi naik dari 12,26% ke 13,62% dan kredit konsumsi dari 9,10% ke 10,61%, sedangkan kredit modal kerja melambat dari 10,05% ke 8,35%.</t>
  </si>
  <si>
    <t xml:space="preserve">QA0082</t>
  </si>
  <si>
    <t xml:space="preserve">KSK-4626_p038.png</t>
  </si>
  <si>
    <t xml:space="preserve">Bagaimana kontribusi DPK pada pemerintah di 2025?</t>
  </si>
  <si>
    <t xml:space="preserve">13.71</t>
  </si>
  <si>
    <t xml:space="preserve">Factual/Numerical, Format</t>
  </si>
  <si>
    <t xml:space="preserve">Tabel 2.1.2 Kontribusi DPK 2025: Pemerintah BUMN 1,63; Pemerintah Non BUMN 3,77 (total 5,40). 13,71 is Bukan Penduduk growth 2025.</t>
  </si>
  <si>
    <t xml:space="preserve">13,71 is the wrong row/column (Bukan Penduduk growth). Government contribution 2025 = 1,63 + 3,77 = 5,40 pp; bare number without unit.</t>
  </si>
  <si>
    <t xml:space="preserve">Berapa total kontribusi DPK golongan pemerintah (BUMN dan Non BUMN) pada 2025?</t>
  </si>
  <si>
    <t xml:space="preserve">Kontribusi DPK pemerintah pada 2025 sebesar 5,40% (Pemerintah BUMN 1,63% + Pemerintah Non BUMN 3,77%).</t>
  </si>
  <si>
    <t xml:space="preserve">QA0083</t>
  </si>
  <si>
    <t xml:space="preserve">Bagaimana perubahan BIL dan BIL special rate pada bulan Desember 2024?</t>
  </si>
  <si>
    <t xml:space="preserve">BIL sebesar 125 bps, BIL special rate sebesar 123 bps</t>
  </si>
  <si>
    <t xml:space="preserve">Text: penurunan BI-Rate sebesar 125 bps sepanjang 2025; suku bunga DPK special rate turun 123 bps dari 6,19% (Des 2024) menjadi 4,96% (Des 2025).</t>
  </si>
  <si>
    <t xml:space="preserve">'BIL' does not exist; 125 bps is BI-Rate cut and 123 bps is DPK special rate decline, both over 2025 (Dec 2024-Dec 2025), not in Dec 2024. Values stated in text.</t>
  </si>
  <si>
    <t xml:space="preserve">Berapa penurunan BI-Rate dan suku bunga DPK special rate sepanjang 2025?</t>
  </si>
  <si>
    <t xml:space="preserve">BI-Rate turun 125 bps sepanjang 2025, sedangkan suku bunga DPK special rate turun 123 bps dari 6,19% (Desember 2024) menjadi 4,96% (Desember 2025).</t>
  </si>
  <si>
    <t xml:space="preserve">QA0084</t>
  </si>
  <si>
    <t xml:space="preserve">Bagaimana berubah nilai NCG pada bulan Desember 2025?</t>
  </si>
  <si>
    <t xml:space="preserve">NCG meningkatkan dari 88.57% pada Desember 2024 menjadi 88.81% pada Desember 2025</t>
  </si>
  <si>
    <t xml:space="preserve">Grafik 2.1.4 LDR: 'Peingkatan NCG' is only an annotation. Industri LDR 88,57% (Des 2024) -&gt; 85,35% (Des 2025); Bank Penerima SAL ends 88,71.</t>
  </si>
  <si>
    <t xml:space="preserve">NCG has no value on the chart; 88,57% is industry LDR and it fell to 85,35%, not rose to 88,81% (no such value).</t>
  </si>
  <si>
    <t xml:space="preserve">Bagaimana perubahan LDR industri perbankan dari Desember 2024 ke Desember 2025?</t>
  </si>
  <si>
    <t xml:space="preserve">LDR industri menurun dari 88,57% pada Desember 2024 menjadi 85,35% pada Desember 2025.</t>
  </si>
  <si>
    <t xml:space="preserve">QA0085</t>
  </si>
  <si>
    <t xml:space="preserve">KSK-4626_p040.png</t>
  </si>
  <si>
    <t xml:space="preserve">Bagaimana pertumbuhan penjualan Pertambangan pada tahun 2023?</t>
  </si>
  <si>
    <t xml:space="preserve">Pertumbuhan penjualan Pertambangan pada tahun 2023 adalah -4,9%</t>
  </si>
  <si>
    <t xml:space="preserve">Tabel 2.2.1 Pertambangan Pertumbuhan Penjualan: 2023 Des = -5,66%; 2025 Sep = -4,94%.</t>
  </si>
  <si>
    <t xml:space="preserve">-4,9% is the Sep 2025 value, not 2023 (-5,66%). Data is a table lookup, not a chart calculation.</t>
  </si>
  <si>
    <t xml:space="preserve">Pertumbuhan penjualan sektor Pertambangan pada Desember 2023 adalah -5,66% (yoy) (Tabel 2.2.1).</t>
  </si>
  <si>
    <t xml:space="preserve">QA0086</t>
  </si>
  <si>
    <t xml:space="preserve">Bagaimana mengukur profitabilitas korporasi pada tahun 2025?</t>
  </si>
  <si>
    <t xml:space="preserve">Pada tahun 2025, profitabilitas korporasi mengukur 4,67% (yoy) dengan menggunakan net profit margin.</t>
  </si>
  <si>
    <t xml:space="preserve">Text: profitabilitas korporasi tetap terjaga hingga Tw III 2025, tercermin dari ROE 9,24% (Tabel 2.2.1). 4,67% (yoy) is overall sales growth.</t>
  </si>
  <si>
    <t xml:space="preserve">Profitability is measured by ROE 9,24%, not 4,67% (that is sales growth); question is garbled. Evidence is text/table, not a chart trend.</t>
  </si>
  <si>
    <t xml:space="preserve">Bagaimana profitabilitas korporasi hingga triwulan III 2025?</t>
  </si>
  <si>
    <t xml:space="preserve">Profitabilitas korporasi tetap terjaga baik hingga triwulan III 2025, tercermin dari ROE sebesar 9,24%.</t>
  </si>
  <si>
    <t xml:space="preserve">QA0087</t>
  </si>
  <si>
    <t xml:space="preserve">Bagaimana pertumbuhan capex pertambangan pada tahun 2023?</t>
  </si>
  <si>
    <t xml:space="preserve">Pertumbuhan capex pertambangan pada tahun 2023 adalah -3,12%</t>
  </si>
  <si>
    <t xml:space="preserve">Tabel 2.2.1 Pertambangan Pertumbuhan Capex 2023 Des = 35,40% (yoy).</t>
  </si>
  <si>
    <t xml:space="preserve">-3,12% does not appear; correct value is 35,40%. Value is in the table, not running text.</t>
  </si>
  <si>
    <t xml:space="preserve">Pertumbuhan capex sektor Pertambangan pada Desember 2023 adalah 35,40% (yoy).</t>
  </si>
  <si>
    <t xml:space="preserve">QA0088</t>
  </si>
  <si>
    <t xml:space="preserve">KSK-4626_p042.png</t>
  </si>
  <si>
    <t xml:space="preserve">Bagaimana perubahan kredit dalam 2023 dan 2024?</t>
  </si>
  <si>
    <t xml:space="preserve">Pertumbuhan kredit meningkat dari 4,729,59 miliar rupiah pada tahun 2023 menjadi 4,981,61 miliar rupiah pada tahun 2024.</t>
  </si>
  <si>
    <t xml:space="preserve">Tabel 2.2.2: Total Capital (Rp triliun) 4.729,59 (2023), 4.981,61 (2024); these are total capital, not credit.</t>
  </si>
  <si>
    <t xml:space="preserve">Values are corporate Total Capital in Rp triliun, not credit and not miliar; data come from a table, not a chart.</t>
  </si>
  <si>
    <t xml:space="preserve">Bagaimana perubahan total capital korporasi dari 2023 ke 2024?</t>
  </si>
  <si>
    <t xml:space="preserve">Total capital korporasi meningkat dari Rp4.729,59 triliun (2023) menjadi Rp4.981,61 triliun (2024), naik Rp252,02 triliun atau sekitar 5,33%.</t>
  </si>
  <si>
    <t xml:space="preserve">QA0089</t>
  </si>
  <si>
    <t xml:space="preserve">Bagaimana perubahan kredit dalam 2025?</t>
  </si>
  <si>
    <t xml:space="preserve">Pertumbuhan kredit meningkat menjadi 5,338,03 miliar rupiah pada tahun 2025.</t>
  </si>
  <si>
    <t xml:space="preserve">Grafik 2.2.8/text: kredit investasi 13,62% (akhir 2024) -&gt; 21,06% yoy (akhir 2025); kredit modal kerja 8,35% -&gt; 4,52% yoy. 5.338,03 = Total Capital Sep-2025 (Rp triliun).</t>
  </si>
  <si>
    <t xml:space="preserve">5.338,03 is Total Capital (Rp triliun, Sep-2025) from the table, not credit and not miliar. The chart shows 2025 credit growth: investment accelerating, working capital slowing.</t>
  </si>
  <si>
    <t xml:space="preserve">Pada akhir 2025 pertumbuhan kredit investasi meningkat dari 13,62% menjadi 21,06% (yoy), sementara kredit modal kerja melambat dari 8,35% menjadi 4,52% (yoy).</t>
  </si>
  <si>
    <t xml:space="preserve">QA0090</t>
  </si>
  <si>
    <t xml:space="preserve">Bagaimana perubahan kredit dalam 2023 dan 2024 dalam persen?</t>
  </si>
  <si>
    <t xml:space="preserve">Pertumbuhan kredit meningkat 64,4% pada tahun 2024 dibandingkan 63,3% pada tahun 2023.</t>
  </si>
  <si>
    <t xml:space="preserve">Tabel 2.2.2: Internal Financing (% Capital) 63,3 (2023), 64,4 (2024); Bank Debt (% Capital) 18,6 (2023), 18,5 (2024).</t>
  </si>
  <si>
    <t xml:space="preserve">63,3% and 64,4% are internal financing shares of capital, not credit growth. Bank credit portion fell slightly 18,6% -&gt; 18,5%. Data are in a table, not chart.</t>
  </si>
  <si>
    <t xml:space="preserve">Bagaimana perubahan porsi kredit bank (bank debt) terhadap capital korporasi dari 2023 ke 2024?</t>
  </si>
  <si>
    <t xml:space="preserve">Porsi bank debt turun tipis dari 18,6% capital (2023) menjadi 18,5% capital (2024), atau berkurang 0,1 poin persentase.</t>
  </si>
  <si>
    <t xml:space="preserve">QA0091</t>
  </si>
  <si>
    <t xml:space="preserve">Kajian Ekonomi dan Keuangan Regional Provinsi Bali November 2016</t>
  </si>
  <si>
    <t xml:space="preserve">Kajian 20Ekonomi 20dan 20Keuangan 20Regional 20Provinsi 20Bali 20November 202016_p026.png</t>
  </si>
  <si>
    <t xml:space="preserve">Pertumbuhan ekonomi Bali pada triwulan III 2016 sebesar berapa?</t>
  </si>
  <si>
    <t xml:space="preserve">6.17%</t>
  </si>
  <si>
    <t xml:space="preserve">Format, Unit</t>
  </si>
  <si>
    <t xml:space="preserve">Grafik 1.1/1.2: Bali Tw III-2016 = 6,17 (%, yoy); text also 6,17% (yoy).</t>
  </si>
  <si>
    <t xml:space="preserve">The value is correct but given as a bare number with no yoy label or context.</t>
  </si>
  <si>
    <t xml:space="preserve">Pertumbuhan ekonomi Bali pada triwulan III 2016 sebesar 6,17% (yoy).</t>
  </si>
  <si>
    <t xml:space="preserve">QA0092</t>
  </si>
  <si>
    <t xml:space="preserve">Pertumbuhan ekonomi nasional pada triwulan III 2016 sebesar berapa?</t>
  </si>
  <si>
    <t xml:space="preserve">5.02%</t>
  </si>
  <si>
    <t xml:space="preserve">Instruction-following, Format, Unit</t>
  </si>
  <si>
    <t xml:space="preserve">Grafik 1.2: NASIONAL Tw III-2016 = 5,02; text: pertumbuhan ekonomi nasional 5,02% (yoy).</t>
  </si>
  <si>
    <t xml:space="preserve">The value is correct, but this is a single-point extraction, not a time-sensitive task. It is also a bare number.</t>
  </si>
  <si>
    <t xml:space="preserve">Pertumbuhan ekonomi nasional pada triwulan III 2016 sebesar 5,02% (yoy).</t>
  </si>
  <si>
    <t xml:space="preserve">QA0093</t>
  </si>
  <si>
    <t xml:space="preserve">Pertumbuhan ekonomi Bali terhadap pertumbuhan nasional pada triwulan III 2016 sebesar berapa?</t>
  </si>
  <si>
    <t xml:space="preserve">6.17% dibandingkan 5.02%</t>
  </si>
  <si>
    <t xml:space="preserve">Typo/Grammar, Format</t>
  </si>
  <si>
    <t xml:space="preserve">Text: Bali Tw III-2016 tumbuh 6,17% (yoy), masih lebih tinggi dibandingkan nasional 5,02% (yoy).</t>
  </si>
  <si>
    <t xml:space="preserve">The values are correct, but the question is awkward ('terhadap ... sebesar berapa') and the answer lacks a comparison statement and the yoy unit.</t>
  </si>
  <si>
    <t xml:space="preserve">Bagaimana pertumbuhan ekonomi Bali dibandingkan pertumbuhan nasional pada triwulan III 2016?</t>
  </si>
  <si>
    <t xml:space="preserve">Pertumbuhan ekonomi Bali pada triwulan III 2016 sebesar 6,17% (yoy), lebih tinggi dibandingkan pertumbuhan ekonomi nasional yang sebesar 5,02% (yoy).</t>
  </si>
  <si>
    <t xml:space="preserve">QA0094</t>
  </si>
  <si>
    <t xml:space="preserve">Kajian 20Ekonomi 20dan 20Keuangan 20Regional 20Provinsi 20Bali 20November 202016_p035.png</t>
  </si>
  <si>
    <t xml:space="preserve">Bagaimana pertumbuhan nilai impor Bali pada tahun 2016?</t>
  </si>
  <si>
    <t xml:space="preserve">Pertumbuhan nilai impor Bali pada tahun 2016 sebesar 26,95% (yoy).</t>
  </si>
  <si>
    <t xml:space="preserve">Temporal, Factual/Numerical</t>
  </si>
  <si>
    <t xml:space="preserve">Text: nilai impor luar negeri Tw III 2016 tumbuh 38,62% (yoy), lebih tinggi dari Tw II 2016 26,95% (yoy).</t>
  </si>
  <si>
    <t xml:space="preserve">26,95% is the Tw II 2016 figure; latest (Tw III 2016) growth is 38,62%. Question's 'tahun 2016' is imprecise.</t>
  </si>
  <si>
    <t xml:space="preserve">Bagaimana pertumbuhan nilai impor luar negeri Bali pada triwulan III 2016?</t>
  </si>
  <si>
    <t xml:space="preserve">Pertumbuhan nilai impor luar negeri Bali pada triwulan III 2016 sebesar 38,62% (yoy), lebih tinggi dibanding triwulan II 2016 sebesar 26,95% (yoy).</t>
  </si>
  <si>
    <t xml:space="preserve">QA0095</t>
  </si>
  <si>
    <t xml:space="preserve">Bagaimana kontribusi raw material dan konsumsi pada impor Bali pada tahun 2016?</t>
  </si>
  <si>
    <t xml:space="preserve">Raw material dan konsumsi mengkontribusi sebesar 57% dan 5% pada impor Bali pada tahun 2016.</t>
  </si>
  <si>
    <t xml:space="preserve">Grafik 1.27 Pangsa Impor BEC: Raw Material &amp; Auxiliary Goods 57%, Consumption Goods 5%, Capital Goods 14%.</t>
  </si>
  <si>
    <t xml:space="preserve">Values match the donut chart labels.</t>
  </si>
  <si>
    <t xml:space="preserve">QA0096</t>
  </si>
  <si>
    <t xml:space="preserve">Bagaimana pertumbuhan impor raw material dan konsumsi pada tahun 2016?</t>
  </si>
  <si>
    <t xml:space="preserve">Pertumbuhan impor raw material sebesar 10,73% (yoy) dan konsumsi sebesar 0,35% (yoy) pada tahun 2016.</t>
  </si>
  <si>
    <t xml:space="preserve">Text: raw material tumbuh 10,73% (yoy) Tw III 2016 (Tw II 0,35%); barang konsumsi Tw III 2016 tumbuh 4,18% (yoy) vs -34,36%.</t>
  </si>
  <si>
    <t xml:space="preserve">Raw material 10,73% correct, but 0,35% is raw material's Tw II rate; consumption grew 4,18% in Tw III 2016. Values are from text, no calculation.</t>
  </si>
  <si>
    <t xml:space="preserve">Bagaimana pertumbuhan impor raw material dan barang konsumsi Bali pada triwulan III 2016?</t>
  </si>
  <si>
    <t xml:space="preserve">Impor raw material tumbuh 10,73% (yoy) dan impor barang konsumsi tumbuh 4,18% (yoy) pada triwulan III 2016.</t>
  </si>
  <si>
    <t xml:space="preserve">QA0097</t>
  </si>
  <si>
    <t xml:space="preserve">Kajian 20Ekonomi 20dan 20Keuangan 20Regional 20Provinsi 20Bali 20November 202016_p039.png</t>
  </si>
  <si>
    <t xml:space="preserve">Bagaimana perkembangan ekonomi Macroeconomi pada triwulan III 2016?</t>
  </si>
  <si>
    <t xml:space="preserve">Perkembangan ekonomi Macroeconomi pada triwulan III 2016 menunjukkan perubahan dengan Inggris dan Jerman masuk ke dalam lima negara asal wisman dengan share masing-masing sebesar 5% dan 4%.</t>
  </si>
  <si>
    <t xml:space="preserve">Text: perkembangan negara asal wisman Tw III 2016 menunjukkan perubahan dengan Inggris dan Jerman masuk lima negara utama asal wisman, share 5% dan 4%.</t>
  </si>
  <si>
    <t xml:space="preserve">Answer fact is correct, but the question is garbled ('ekonomi Macroeconomi') and does not match the answer's topic (negara asal wisman).</t>
  </si>
  <si>
    <t xml:space="preserve">Bagaimana perkembangan negara asal wisman ke Bali pada triwulan III 2016?</t>
  </si>
  <si>
    <t xml:space="preserve">Terjadi perubahan, yaitu Inggris dan Jerman masuk ke dalam lima negara utama asal wisman dengan share masing-masing 5% dan 4%.</t>
  </si>
  <si>
    <t xml:space="preserve">QA0098</t>
  </si>
  <si>
    <t xml:space="preserve">Bagaimana perkembangan negara asal wisman pada triwulan IV 2016?</t>
  </si>
  <si>
    <t xml:space="preserve">Pertumbuhan negara asal wisman pada triwulan IV 2016 meningkat dengan Amerika Serikat, Jerman, dan Jepang, dengan peningkatan sebesar 5% dan 4%.</t>
  </si>
  <si>
    <t xml:space="preserve">Hallucination, Temporal, Factual/Numerical</t>
  </si>
  <si>
    <t xml:space="preserve">Grafik 1.34/1.35 and text cover wisman origins only through Tw III 2016; Tw IV 2016 only mentioned for akomodasi outlook. USA share only 3%.</t>
  </si>
  <si>
    <t xml:space="preserve">No Tw IV 2016 wisman-origin data on the page; answer invents a rise for USA/Germany/Japan.</t>
  </si>
  <si>
    <t xml:space="preserve">QA0099</t>
  </si>
  <si>
    <t xml:space="preserve">Bagaimana perkembangan negara asal wisman pada triwulan II 2016?</t>
  </si>
  <si>
    <t xml:space="preserve">Pertumbuhan negara asal wisman pada triwulan II 2016 meningkat dengan Amerika Serikat, Jerman, dan Jepang, dengan peningkatan sebesar 21,84% (yoy).</t>
  </si>
  <si>
    <t xml:space="preserve">Text: total wisman Tw II 2016 tumbuh 21,84% (yoy); Australia 17,97% (yoy) Tw II 2016; Jerman 26,19% (yoy) Tw II 2016. Grafik 1.34 has country series.</t>
  </si>
  <si>
    <t xml:space="preserve">21,84% is total wisman growth, not USA/Germany/Japan; USA is not in Grafik 1.34. No calculation involved.</t>
  </si>
  <si>
    <t xml:space="preserve">Pada triwulan II 2016 kunjungan wisman tumbuh 21,84% (yoy); wisman Australia tumbuh 17,97% (yoy) dan wisman Jerman 26,19% (yoy).</t>
  </si>
  <si>
    <t xml:space="preserve">QA0100</t>
  </si>
  <si>
    <t xml:space="preserve">Kajian 20Ekonomi 20dan 20Keuangan 20Regional 20Provinsi 20Bali 20November 202016_p040.png</t>
  </si>
  <si>
    <t xml:space="preserve">Bagaimana perubahan kinerja kulinerama peningkatan kinerja penumpang di triwulan III 2016?</t>
  </si>
  <si>
    <t xml:space="preserve">Kinerja penumpang meningkat 19,88% pada triwulan III 2016.</t>
  </si>
  <si>
    <t xml:space="preserve">Typo/Grammar, Instruction-following, Unit</t>
  </si>
  <si>
    <t xml:space="preserve">Text (Transportasi Udara): pertumbuhan keberangkatan penumpang naik dari 5,71% (yoy) Tw II 2016 menjadi 19,88% (yoy) Tw III 2016; Grafik 1.36 line ~19%.</t>
  </si>
  <si>
    <t xml:space="preserve">19,88% is correct, but question is garbled ('kulinerama'), yoy missing, and it is a text lookup, not a calculation.</t>
  </si>
  <si>
    <t xml:space="preserve">Berapa pertumbuhan jumlah keberangkatan penumpang pesawat udara di Bali pada triwulan III 2016?</t>
  </si>
  <si>
    <t xml:space="preserve">Pertumbuhan keberangkatan penumpang meningkat dari 5,71% (yoy) pada triwulan II 2016 menjadi 19,88% (yoy) pada triwulan III 2016.</t>
  </si>
  <si>
    <t xml:space="preserve">QA0101</t>
  </si>
  <si>
    <t xml:space="preserve">Bagaimana perubahan kinerja kargo internasional di triwulan III 2016?</t>
  </si>
  <si>
    <t xml:space="preserve">Kinerja kargo internasional meningkat 8,26% pada triwulan III 2016.</t>
  </si>
  <si>
    <t xml:space="preserve">Text + Grafik 1.37: pertumbuhan kargo internasional naik dari 0,26% (yoy) Tw II 2016 menjadi 0,87% (yoy) Tw III 2016. 8,26% is sea passenger growth.</t>
  </si>
  <si>
    <t xml:space="preserve">8,26% belongs to sea transport passengers; international cargo growth was 0,87% yoy in Tw III 2016.</t>
  </si>
  <si>
    <t xml:space="preserve">Pertumbuhan kargo internasional meningkat dari 0,26% (yoy) pada triwulan II 2016 menjadi 0,87% (yoy) pada triwulan III 2016.</t>
  </si>
  <si>
    <t xml:space="preserve">QA0102</t>
  </si>
  <si>
    <t xml:space="preserve">Bagaimana perubahan kinerja penumpang di triwulan II 2016?</t>
  </si>
  <si>
    <t xml:space="preserve">Kinerja penumpang meningkat 5,71% pada triwulan II 2016.</t>
  </si>
  <si>
    <t xml:space="preserve">Typo/Grammar, Unit</t>
  </si>
  <si>
    <t xml:space="preserve">Text: pertumbuhan keberangkatan penumpang udara 5,71% (yoy) Tw II 2016; sea passenger growth Tw II 2016 was -4,60% (yoy).</t>
  </si>
  <si>
    <t xml:space="preserve">Value correct for air passengers but question does not specify air vs sea (sea was -4,60%), and yoy growth framing missing.</t>
  </si>
  <si>
    <t xml:space="preserve">Berapa pertumbuhan keberangkatan penumpang pesawat udara di Bali pada triwulan II 2016?</t>
  </si>
  <si>
    <t xml:space="preserve">Pertumbuhan keberangkatan penumpang pesawat udara pada triwulan II 2016 sebesar 5,71% (yoy).</t>
  </si>
  <si>
    <t xml:space="preserve">QA0103</t>
  </si>
  <si>
    <t xml:space="preserve">Kajian 20Ekonomi 20dan 20Keuangan 20Regional 20Provinsi 20Bali 20November 202016_p043.png</t>
  </si>
  <si>
    <t xml:space="preserve">Bagaimana perkembangan lapangan usaha di masa lalu?</t>
  </si>
  <si>
    <t xml:space="preserve">Perkembangan lapangan usaha di masa lalu meningkatkan, dengan peningkatan yang terkonfirmasi oleh hasil survei penjualan eceran.</t>
  </si>
  <si>
    <t xml:space="preserve">Text: LU perdagangan besar dan eceran Tw IV 2016 meningkat, terkonfirmasi survei penjualan eceran: -4,31% (yoy) Tw III -&gt; -2,89% (yoy) Tw IV 2016.</t>
  </si>
  <si>
    <t xml:space="preserve">Question is vague ('lapangan usaha di masa lalu' - no sector/period); answer direction right but lacks sector and figures.</t>
  </si>
  <si>
    <t xml:space="preserve">Bagaimana perkembangan lapangan usaha perdagangan besar dan eceran di Bali pada triwulan IV 2016?</t>
  </si>
  <si>
    <t xml:space="preserve">Lapangan usaha perdagangan besar dan eceran meningkat, terkonfirmasi survei penjualan eceran yang membaik dari -4,31% (yoy) pada triwulan III 2016 menjadi -2,89% (yoy) pada triwulan IV 2016, didorong membaiknya daya beli dan perayaan hari keagamaan.</t>
  </si>
  <si>
    <t xml:space="preserve">QA0104</t>
  </si>
  <si>
    <t xml:space="preserve">Bagaimana perubahan produksi perikanan di tahun 2016?</t>
  </si>
  <si>
    <t xml:space="preserve">Produksi perikanan meningkat dari 24,22 ribu ton pada trw III 2016 menjadi 26,87 ribu ton pada trw IV 2016.</t>
  </si>
  <si>
    <t xml:space="preserve">Grafik 1.45 total produksi perikanan 2016: 51,14 (Tw I), 54,53 (Tw II), 56,65 (Tw III) ribu ton. 24,22-&gt;26,87 is perikanan TANGKAP Tw II-&gt;Tw III 2016 (Grafik 1.46). No Tw IV 2016.</t>
  </si>
  <si>
    <t xml:space="preserve">Values belong to the tangkap sub-series and Tw II-&gt;III, not total production Tw III-&gt;IV (no Tw IV data). No calculation performed; trend question.</t>
  </si>
  <si>
    <t xml:space="preserve">Produksi perikanan pada 2016 meningkat dari 51,14 ribu ton (triwulan I) menjadi 54,53 ribu ton (triwulan II) dan 56,65 ribu ton (triwulan III 2016).</t>
  </si>
  <si>
    <t xml:space="preserve">QA0105</t>
  </si>
  <si>
    <t xml:space="preserve">Bagaimana perubahan kredit pertanian di tahun 2016?</t>
  </si>
  <si>
    <t xml:space="preserve">Kredit pertanian meningkat dari 1,400 miliar pada trw III 2015 menjadi 1,600 miliar pada trw IV 2016.</t>
  </si>
  <si>
    <t xml:space="preserve">Temporal, Factual/Numerical, Reasoning</t>
  </si>
  <si>
    <t xml:space="preserve">Grafik 1.47: Kr. Pertanian 2016 approx Rp1.450 M (I), 1.540 M (II), 1.560 M (III); growth ~18% (I), 19% (II), 14,72% (III) yoy. No Tw IV 2016; Tw III 2015 ~1.360 M.</t>
  </si>
  <si>
    <t xml:space="preserve">Chart ends at Tw III 2016 (no Tw IV); starting point is 2015 not 2016 and misread; misses that credit growth slowed.</t>
  </si>
  <si>
    <t xml:space="preserve">Bagaimana perkembangan kredit pertanian di Bali pada tahun 2016 (triwulan I-III)?</t>
  </si>
  <si>
    <t xml:space="preserve">Nilai kredit pertanian meningkat dari sekitar Rp1.450 miliar (triwulan I 2016) menjadi sekitar Rp1.560 miliar (triwulan III 2016), namun pertumbuhannya melambat dari 19% (yoy) pada triwulan II menjadi 14,72% (yoy) pada triwulan III 2016.</t>
  </si>
  <si>
    <t xml:space="preserve">QA0106</t>
  </si>
  <si>
    <t xml:space="preserve">Kajian 20Ekonomi 20dan 20Keuangan 20Regional 20Provinsi 20Bali 20November 202016_p053.png</t>
  </si>
  <si>
    <t xml:space="preserve">Beriapa pendapatan asli dan asli daerah pada periode triwulan III 2016 Provinisi Bali?</t>
  </si>
  <si>
    <t xml:space="preserve">Pendapatan asli 2,840.93 milyar, pendapatan asli daerah 4.608.61 milyar</t>
  </si>
  <si>
    <t xml:space="preserve">Tabel 2.1: Realisasi TW III 2016 PAD 2.165,75; Pendapatan Daerah 3.721,41 (Rp miliar). 2.840,93/4.608,61 are APBD-P 2015 budget.</t>
  </si>
  <si>
    <t xml:space="preserve">Answer gives APBD-P 2015 budget values instead of TW III 2016 realization; question garbled; PAD value is table-only (lookup, no exact label).</t>
  </si>
  <si>
    <t xml:space="preserve">Berapa realisasi Pendapatan Asli Daerah (PAD) dan Pendapatan Daerah Provinsi Bali pada triwulan III 2016?</t>
  </si>
  <si>
    <t xml:space="preserve">Realisasi PAD triwulan III 2016 sebesar Rp2.165,75 miliar dan Pendapatan Daerah sebesar Rp3.721,41 miliar.</t>
  </si>
  <si>
    <t xml:space="preserve">QA0107</t>
  </si>
  <si>
    <t xml:space="preserve">Bagaimana berubah pendapatan asli dan asli daerah dari periode triwulan III 2015 ke III 2016 Provinisi Bali?</t>
  </si>
  <si>
    <t xml:space="preserve">Pendapatan asli meningkat 52.90%, pendapatan asli daerah meningkat 81.04%</t>
  </si>
  <si>
    <t xml:space="preserve">Calculation, Factual/Numerical, Reasoning, Instruction-following, Typo/Grammar</t>
  </si>
  <si>
    <t xml:space="preserve">Tabel 2.1 realisasi TW III 2015 vs 2016: PAD 2.184,04 -&gt; 2.165,75; Pendapatan Daerah 3.569,11 -&gt; 3.721,41 (text: naik 4,27%).</t>
  </si>
  <si>
    <t xml:space="preserve">52,90% and 81,04% are unrelated % cells (belanja, transfer). Actual: PAD -0,84%, Pendapatan Daerah +4,27%. Data is a table, not chart.</t>
  </si>
  <si>
    <t xml:space="preserve">Bagaimana perubahan realisasi PAD dan Pendapatan Daerah Provinsi Bali dari triwulan III 2015 ke triwulan III 2016?</t>
  </si>
  <si>
    <t xml:space="preserve">PAD turun sekitar 0,84% (dari Rp2.184,04 miliar menjadi Rp2.165,75 miliar), sedangkan Pendapatan Daerah naik 4,27% (dari Rp3.569,11 miliar menjadi Rp3.721,41 miliar).</t>
  </si>
  <si>
    <t xml:space="preserve">QA0108</t>
  </si>
  <si>
    <t xml:space="preserve">Jumlah surplus pada periode triwulan III 2016 Provinisi Bali berapa?</t>
  </si>
  <si>
    <t xml:space="preserve">Surplus 470.48 milyar</t>
  </si>
  <si>
    <t xml:space="preserve">Text: surplus TW III 2016 Rp470,48 miliar (Tabel 2.1 shows 470,68). No chart on page.</t>
  </si>
  <si>
    <t xml:space="preserve">Value matches the text, but there is no chart; category should be text-based.</t>
  </si>
  <si>
    <t xml:space="preserve">Surplus Provinsi Bali pada triwulan III 2016 sebesar Rp470,48 miliar (menurut teks; Tabel 2.1 mencatat Rp470,68 miliar).</t>
  </si>
  <si>
    <t xml:space="preserve">QA0109</t>
  </si>
  <si>
    <t xml:space="preserve">Kajian 20Ekonomi 20dan 20Keuangan 20Regional 20Provinsi 20Bali 20November 202016_p054.png</t>
  </si>
  <si>
    <t xml:space="preserve">Bagaimana perubahan anggaran Pendapatan Daerah dan Pendapatan Transfer pada tahun 2016 dibandingkan dengan tahun 2015?</t>
  </si>
  <si>
    <t xml:space="preserve">Anggaran Pendapatan Daerah pada tahun 2016 meningkat 2,54 miliar dari tahun 2015, sementara anggaran Pendapatan Transfer meningkat 5,74 miliar.</t>
  </si>
  <si>
    <t xml:space="preserve">Text: pendapatan 2016 Rp5,62 triliun, naik 21,93% vs APBD-P 2015; pendapatan transfer naik 89,71%. Tabel 2.2: 4.608,61-&gt;5.619,45; transfer 1.025,95-&gt;1.946,34 (Rp miliar).</t>
  </si>
  <si>
    <t xml:space="preserve">Increases of 2,54 and 5,74 miliar are fabricated; actual increases are 21,93% (+Rp1.010,84 miliar) and 89,71% (+Rp920,39 miliar).</t>
  </si>
  <si>
    <t xml:space="preserve">Anggaran Pendapatan Daerah 2016 sebesar Rp5,62 triliun, naik 21,93% dibandingkan APBD-P 2015 (dari Rp4.608,61 miliar menjadi Rp5.619,45 miliar), sedangkan Pendapatan Transfer naik 89,71% (dari Rp1.025,95 miliar menjadi Rp1.946,34 miliar).</t>
  </si>
  <si>
    <t xml:space="preserve">QA0110</t>
  </si>
  <si>
    <t xml:space="preserve">Bagaimana berubah rata-rata realisasi penyerapan pembelan PAD di tahun 2016 dibandingkan dengan tahun 2015?</t>
  </si>
  <si>
    <t xml:space="preserve">Rata-rata realisasi penyerapan PAD pada tahun 2016 meningkat 2,85 persen dibandingkan tahun 2015.</t>
  </si>
  <si>
    <t xml:space="preserve">Calculation, Reasoning, Instruction-following, Typo/Grammar</t>
  </si>
  <si>
    <t xml:space="preserve">Tabel 2.2 PAD realisasi: 76,88% (Tw III 2015) vs 64,09% (Tw III 2016).</t>
  </si>
  <si>
    <t xml:space="preserve">PAD absorption fell by 12,79 percentage points, not rose 2,85%. Data from a table, not chart. 'pembelan' garbled.</t>
  </si>
  <si>
    <t xml:space="preserve">Bagaimana perubahan persentase realisasi penyerapan PAD Provinsi Bali pada triwulan III 2016 dibandingkan triwulan III 2015?</t>
  </si>
  <si>
    <t xml:space="preserve">Realisasi penyerapan PAD turun dari 76,88% pada triwulan III 2015 menjadi 64,09% pada triwulan III 2016, atau turun 12,79 poin persentase.</t>
  </si>
  <si>
    <t xml:space="preserve">QA0111</t>
  </si>
  <si>
    <t xml:space="preserve">Bagaimana berubah rata-rata realisasi penyerapan pembelan PAD dan DAU di tahun 2016 dibandingkan dengan tahun 2015?</t>
  </si>
  <si>
    <t xml:space="preserve">Rata-rata realisasi penyerapan PAD di tahun 2016 mencapai 66,22 persen, sementara DAU mencapai 64,09 persen.</t>
  </si>
  <si>
    <t xml:space="preserve">Factual/Numerical, Incomplete, Instruction-following, Typo/Grammar</t>
  </si>
  <si>
    <t xml:space="preserve">Tabel 2.2: PAD 76,88% (Tw III 2015) -&gt; 64,09% (Tw III 2016); DAU 83,33% -&gt; 74,28%; 66,22% is total Pendapatan Daerah 2016.</t>
  </si>
  <si>
    <t xml:space="preserve">Misattributed: PAD 2016 = 64,09% (66,22% is total revenue), DAU 2016 = 74,28% (64,09% is PAD). No 2015 comparison given. Source is table, not chart.</t>
  </si>
  <si>
    <t xml:space="preserve">Bagaimana perubahan persentase realisasi penyerapan PAD dan DAU pada triwulan III 2016 dibandingkan triwulan III 2015?</t>
  </si>
  <si>
    <t xml:space="preserve">Realisasi PAD turun dari 76,88% (Tw III 2015) menjadi 64,09% (Tw III 2016), sedangkan realisasi DAU turun dari 83,33% menjadi 74,28%.</t>
  </si>
  <si>
    <t xml:space="preserve">QA0112</t>
  </si>
  <si>
    <t xml:space="preserve">Kajian 20Ekonomi 20dan 20Keuangan 20Regional 20Provinsi 20Bali 20November 202016_p057.png</t>
  </si>
  <si>
    <t xml:space="preserve">Bagaimana berubah nilai penyerapan sebelumnya dari APBD 2015 ke APBD 2016 di Bali?</t>
  </si>
  <si>
    <t xml:space="preserve">Nilai penyerapan sebelumnya dari APBD 2015 ke APBD 2016 di Bali meningkat dari 65,97% menjadi 74,64%.</t>
  </si>
  <si>
    <t xml:space="preserve">Text (top-left): penyerapan 74,64% dari pagu APBD 2015; secara nominal realisasi penyerapan komponen ini turun 65,97% dibanding triwulan yang sama 2015.</t>
  </si>
  <si>
    <t xml:space="preserve">65,97% is a nominal decline, not the 2015 absorption rate, and 74,64% is the 2015 absorption rate, not 2016. Realization fell rather than rose.</t>
  </si>
  <si>
    <t xml:space="preserve">Bagaimana perubahan realisasi penyerapan komponen tersebut pada triwulan III 2016 dibandingkan triwulan III 2015?</t>
  </si>
  <si>
    <t xml:space="preserve">Secara nominal realisasi penyerapan komponen tersebut turun 65,97% dibandingkan triwulan III 2015, ketika penyerapannya mencapai 74,64% dari pagu APBD 2015.</t>
  </si>
  <si>
    <t xml:space="preserve">QA0113</t>
  </si>
  <si>
    <t xml:space="preserve">Bagaimana berubah nilai penyerapan dari komponen belanja dalam APBD 2016?</t>
  </si>
  <si>
    <t xml:space="preserve">Pada tahun 2016, komponen belanja yang mengalami peningkatan terbesar adalah Belanja Pemeliharaan dengan 65,84%.</t>
  </si>
  <si>
    <t xml:space="preserve">Tabel 2.3 % Perubahan pagu 2015-2016: Belanja Hibah 65,84% (highest); Belanja Modal 50,59%; no 'Belanja Pemeliharaan' row. Shows pagu, not penyerapan.</t>
  </si>
  <si>
    <t xml:space="preserve">65,84% belongs to Belanja Hibah; 'Belanja Pemeliharaan' is not on the page. Table shows budget (pagu) change, not absorption; ranking from table, not chart calculation.</t>
  </si>
  <si>
    <t xml:space="preserve">Komponen belanja apa yang mengalami kenaikan pagu anggaran terbesar dalam APBD 2016 dibandingkan APBD-P 2015?</t>
  </si>
  <si>
    <t xml:space="preserve">Belanja Hibah, yang pagunya naik 65,84% dari Rp734,61 miliar menjadi Rp1.218,24 miliar, diikuti Belanja Modal (50,59%).</t>
  </si>
  <si>
    <t xml:space="preserve">QA0114</t>
  </si>
  <si>
    <t xml:space="preserve">Bagaimana berubah nilai penyerapan dari komponen belanja dalam APBD 2015?</t>
  </si>
  <si>
    <t xml:space="preserve">Pada tahun 2015, komponen belanja yang mengalami peningkatan terbesar adalah Belanja Pemeliharaan dengan 12,72%.</t>
  </si>
  <si>
    <t xml:space="preserve">Tabel 2.3 gives APBD-P 2015 levels and 2015-2016 % change only; 12,72% is Belanja Bantuan Sosial change 2015-2016; no 'Belanja Pemeliharaan'.</t>
  </si>
  <si>
    <t xml:space="preserve">No within-2015 change of spending components is on the page and 'Belanja Pemeliharaan' does not exist; the answer is fabricated from a misattributed value.</t>
  </si>
  <si>
    <t xml:space="preserve">QA0115</t>
  </si>
  <si>
    <t xml:space="preserve">Kajian 20Ekonomi 20dan 20Keuangan 20Regional 20Provinsi 20Bali 20November 202016_p065.png</t>
  </si>
  <si>
    <t xml:space="preserve">Realisasi nominal APBN di wilayah Provinsi Bali pada triwulan III 2016 berapa?</t>
  </si>
  <si>
    <t xml:space="preserve">Rp 5,30 triliun</t>
  </si>
  <si>
    <t xml:space="preserve">Text: serapan realisasi belanja APBN di triwulan III 2016 tercatat sebesar Rp 5,30 triliun.</t>
  </si>
  <si>
    <t xml:space="preserve">Value matches text.</t>
  </si>
  <si>
    <t xml:space="preserve">QA0116</t>
  </si>
  <si>
    <t xml:space="preserve">Bagaimana perubahan realisasi nominal APBN di Provinsi Bali antara triwulan III 2015 dan III 2016?</t>
  </si>
  <si>
    <t xml:space="preserve">Realisasi nominal meningkat sekitar 7,66% (yoy)</t>
  </si>
  <si>
    <t xml:space="preserve">Text: Rp 5,30 triliun (Tw III 2016), meningkat 7,66% (yoy) dibandingkan Tw III 2015 Rp 4,93 triliun. Only chart is Grafik 2.4 pangsa belanja 2015.</t>
  </si>
  <si>
    <t xml:space="preserve">Answer correct, but the figure is stated in text; the only chart (APBN 2015 shares) doesn't contain it.</t>
  </si>
  <si>
    <t xml:space="preserve">Realisasi nominal belanja APBN meningkat 7,66% (yoy), dari Rp4,93 triliun pada triwulan III 2015 menjadi Rp5,30 triliun pada triwulan III 2016.</t>
  </si>
  <si>
    <t xml:space="preserve">QA0117</t>
  </si>
  <si>
    <t xml:space="preserve">Persentase realisasi nominal APBN di Provinsi Bali pada triwulan III 2016 berapa?</t>
  </si>
  <si>
    <t xml:space="preserve">78,80%</t>
  </si>
  <si>
    <t xml:space="preserve">Text: realisasi belanja APBN Tw III 2016 mencapai 62,90% (vs 52,49% Tw III 2015); 78,80% is belanja pegawai realization.</t>
  </si>
  <si>
    <t xml:space="preserve">78,80% belongs to belanja pegawai, not total APBN (62,90%). Evidence is text, not a chart.</t>
  </si>
  <si>
    <t xml:space="preserve">Realisasi belanja APBN di Provinsi Bali pada triwulan III 2016 mencapai 62,90% dari pagu, lebih tinggi dari 52,49% pada triwulan III 2015.</t>
  </si>
  <si>
    <t xml:space="preserve">QA0118</t>
  </si>
  <si>
    <t xml:space="preserve">Kajian 20Ekonomi 20dan 20Keuangan 20Regional 20Provinsi 20Bali 20November 202016_p097.png</t>
  </si>
  <si>
    <t xml:space="preserve">Jumlah bank umum di Bali pada triwulan III 2016 berapa?</t>
  </si>
  <si>
    <t xml:space="preserve">53 bank</t>
  </si>
  <si>
    <t xml:space="preserve">Text 4.3.1: pada triwulan III 2016 jumlah bank umum di Bali bertambah menjadi 53 bank (also Tabel 4.11).</t>
  </si>
  <si>
    <t xml:space="preserve">Correct value and period, stated in running text.</t>
  </si>
  <si>
    <t xml:space="preserve">QA0119</t>
  </si>
  <si>
    <t xml:space="preserve">Bagaimana perkembangan kredit umum di Bali pada periode 2014-2016?</t>
  </si>
  <si>
    <t xml:space="preserve">Kredit umum meningkat dari 138 BPR pada periode 2014 menjadi 138 BPR pada periode 2016</t>
  </si>
  <si>
    <t xml:space="preserve">Factual/Numerical, Temporal, Unit, Instruction-following</t>
  </si>
  <si>
    <t xml:space="preserve">Tabel 4.12 Kredit (Rp miliar): 65.295 (Tw I 2015) ... 71.135 (Tw IV 2015) ... 75.764 (Tw III 2016). No 2014 credit data; 138 is BPR count.</t>
  </si>
  <si>
    <t xml:space="preserve">Answer reports BPR count (138) instead of credit; 2014 credit is not on page. Credit data is in a table, not a chart.</t>
  </si>
  <si>
    <t xml:space="preserve">Bagaimana perkembangan kredit bank umum dan BPR di Bali pada periode 2015-2016?</t>
  </si>
  <si>
    <t xml:space="preserve">Kredit meningkat dari Rp65.295 miliar pada triwulan I 2015 menjadi Rp75.764 miliar pada triwulan III 2016, dengan pertumbuhan melambat dari 15,39% menjadi 9,92% (yoy).</t>
  </si>
  <si>
    <t xml:space="preserve">QA0120</t>
  </si>
  <si>
    <t xml:space="preserve">Pertumbuhan kredit umum di Bali pada periode 2015-2016 berapa?</t>
  </si>
  <si>
    <t xml:space="preserve">Pertumbuhan kredit umum di Bali pada periode 2015-2016 adalah 7,751</t>
  </si>
  <si>
    <t xml:space="preserve">Tabel 4.12: Kredit 68.924 (Tw III 2015) -&gt; 75.764 miliar (Tw III 2016), pertumbuhan 9,92% yoy.</t>
  </si>
  <si>
    <t xml:space="preserve">'7,751' is not on page and has no unit. Credit growth Tw III 2016 is 9,92% yoy (75.764/68.924). Data from table, not chart.</t>
  </si>
  <si>
    <t xml:space="preserve">Berapa pertumbuhan kredit bank umum dan BPR di Bali pada triwulan III 2016 dibandingkan triwulan III 2015?</t>
  </si>
  <si>
    <t xml:space="preserve">Kredit tumbuh 9,92% (yoy), dari Rp68.924 miliar pada triwulan III 2015 menjadi Rp75.764 miliar pada triwulan III 2016.</t>
  </si>
  <si>
    <t xml:space="preserve">QA0121</t>
  </si>
  <si>
    <t xml:space="preserve">Kajian 20Ekonomi 20dan 20Keuangan 20Regional 20Provinsi 20Bali 20November 202016_p101.png</t>
  </si>
  <si>
    <t xml:space="preserve">Bagaimana perubahan kualitas kredit BPR pada Bali selama periode tiga tahun terakhir?</t>
  </si>
  <si>
    <t xml:space="preserve">Kualitas kredit BPR meningkat, dengan peningkatan NPL dari 2,35% pada tahun 2016 menjadi 2,67% pada tahun 2017, dan 10,61% pada tahun 2018.</t>
  </si>
  <si>
    <t xml:space="preserve">Text/Tabel 4.14: NPL gross BPR 4,75% (Tw II 2016) -&gt; 5,19% (Tw III 2016), kualitas risiko kredit menurun; 2,35%-&gt;2,67% is bank umum NPL; 10,61% is BPR credit growth Tw II 2016.</t>
  </si>
  <si>
    <t xml:space="preserve">Page covers 2015-2016 only (no 2017/2018). 2,35/2,67 are bank umum NPL, 10,61 is credit growth. Rising BPR NPL means quality deteriorated, not improved.</t>
  </si>
  <si>
    <t xml:space="preserve">Bagaimana perubahan kualitas kredit BPR di Bali pada triwulan III 2016?</t>
  </si>
  <si>
    <t xml:space="preserve">Kualitas kredit BPR menurun, tercermin dari NPL gross yang naik dari 4,75% pada triwulan II 2016 menjadi 5,19% pada triwulan III 2016.</t>
  </si>
  <si>
    <t xml:space="preserve">QA0122</t>
  </si>
  <si>
    <t xml:space="preserve">Bagaimana berubah nilai aset BPR pada Bali selama periode tiga tahun terakhir?</t>
  </si>
  <si>
    <t xml:space="preserve">Nilai aset BPR meningkat dari 12,44 triliun pada tahun 2016 menjadi 12,75 triliun pada tahun 2018.</t>
  </si>
  <si>
    <t xml:space="preserve">Tabel 4.14 Aset BPR (Rp milyar): Tw III 2015 10.534; Tw III 2016 12.442 (g 18,11% yoy); Tw I 2015 9.604. No 2017/2018 data; no chart.</t>
  </si>
  <si>
    <t xml:space="preserve">12,44 triliun is Tw III 2016 assets, not 2016-&gt;2018; 12,75 triliun does not exist on page. Data are in a table, not chart.</t>
  </si>
  <si>
    <t xml:space="preserve">Bagaimana perubahan nilai aset BPR di Bali dari triwulan III 2015 ke triwulan III 2016?</t>
  </si>
  <si>
    <t xml:space="preserve">Aset BPR meningkat dari Rp10.534 miliar (Tw III 2015) menjadi Rp12.442 miliar (Tw III 2016), tumbuh sekitar 18,11% (yoy).</t>
  </si>
  <si>
    <t xml:space="preserve">QA0123</t>
  </si>
  <si>
    <t xml:space="preserve">Bagaimana berubah peningkatan kinerja kredit BPR pada Bali selama periode tiga tahun terakhir?</t>
  </si>
  <si>
    <t xml:space="preserve">Kinerja kredit BPR meningkat dari 7,53% pada tahun 2016 menjadi 7,53% pada tahun 2018.</t>
  </si>
  <si>
    <t xml:space="preserve">Temporal, Factual/Numerical, Reasoning, Instruction-following</t>
  </si>
  <si>
    <t xml:space="preserve">Text/Tabel 4.14: g kredit BPR 10,61% (Tw II 2016) -&gt; 9,72% yoy (Tw III 2016); 7,53% is g modal kerja Tw III 2016. No chart, no 2018.</t>
  </si>
  <si>
    <t xml:space="preserve">Answer is self-contradictory (7,53% to 7,53% 'meningkat'), uses non-existent 2018 and the modal kerja growth figure; BPR credit growth actually slowed.</t>
  </si>
  <si>
    <t xml:space="preserve">Bagaimana perkembangan pertumbuhan kredit BPR di Bali pada triwulan III 2016?</t>
  </si>
  <si>
    <t xml:space="preserve">Pertumbuhan kredit BPR melambat dari 10,61% (yoy) pada triwulan II 2016 menjadi 9,72% (yoy) pada triwulan III 2016 (nominal Rp8,73 triliun), terutama karena kredit modal kerja hanya tumbuh 7,53% (yoy).</t>
  </si>
  <si>
    <t xml:space="preserve">QA0124</t>
  </si>
  <si>
    <t xml:space="preserve">Kajian 20Ekonomi 20dan 20Keuangan 20Regional 20Provinsi 20Bali 20November 202016_p103.png</t>
  </si>
  <si>
    <t xml:space="preserve">Bagaimana peningkatan keuangan di Indonesia pada periode 2013-2016 terdiri dari berbagai sektor?</t>
  </si>
  <si>
    <t xml:space="preserve">Sebesar 70% peningkatan keuangan di Indonesia pada periode 2013-2016 terdiri dari sektor keuangan, perusahaan, pertanian, dan jasa-jasa, sementara sektor ekonomi lainnya memiliki pangsa relatif rendah dibawah 5%.</t>
  </si>
  <si>
    <t xml:space="preserve">Factual/Numerical, Typo/Grammar, Temporal</t>
  </si>
  <si>
    <t xml:space="preserve">Text (top-left): a leading sector 'sebesar 70%', diikuti sektor keuangan, jasa perusahaan, pertanian dan jasa-jasa dengan pangsa 9%, 6% dan 7%; sektor lain di bawah 5%. Bali, no 2013-2016.</t>
  </si>
  <si>
    <t xml:space="preserve">70% is the leading sector's share, not keuangan/jasa perusahaan/pertanian/jasa-jasa combined (9%, 6%, 7%). The question is garbled, says Indonesia instead of Bali, and adds a 2013-2016 period that is not stated.</t>
  </si>
  <si>
    <t xml:space="preserve">Bagaimana komposisi pangsa sektoral kredit UMKM di Bali pada periode laporan?</t>
  </si>
  <si>
    <t xml:space="preserve">Sektor utama memiliki pangsa sebesar 70%, diikuti oleh sektor keuangan, jasa perusahaan, pertanian dan jasa-jasa dengan pangsa sebesar 9%, 6% dan 7%, sementara sektor ekonomi lainnya memiliki pangsa relatif rendah di bawah 5%.</t>
  </si>
  <si>
    <t xml:space="preserve">QA0125</t>
  </si>
  <si>
    <t xml:space="preserve">Bagaimana berbagai sektor di Indonesia mengkontribusi pada NPL credit pada periode 2013-2016?</t>
  </si>
  <si>
    <t xml:space="preserve">Sektor keuangan, perusahaan, pertanian, dan jasa-jasa mengkontribusi sebesar 70% pada NPL credit, sementara sektor ekonomi lainnya memiliki pangsa relatif rendah dibawah 5%.</t>
  </si>
  <si>
    <t xml:space="preserve">Text: rising NPL of UMKM credit caused by higher NPL in konstruksi, perdagangan hotel dan restoran, pengangkutan dan akomodasi, industri dan perdagangan. 70%/9%/6%/7% are credit shares.</t>
  </si>
  <si>
    <t xml:space="preserve">The answer uses sector credit shares as NPL contributions and names the wrong sectors. The page gives no NPL percentages by sector or a 2013-2016 view, and the source is text, not a chart.</t>
  </si>
  <si>
    <t xml:space="preserve">Sektor apa saja yang mendorong peningkatan tingkat NPL kredit UMKM di Bali pada periode laporan?</t>
  </si>
  <si>
    <t xml:space="preserve">Peningkatan tingkat NPL kredit UMKM disebabkan oleh peningkatan NPL pada beberapa sektor utama, yaitu konstruksi, perdagangan hotel dan restoran, pengangkutan dan akomodasi, industri dan perdagangan.</t>
  </si>
  <si>
    <t xml:space="preserve">QA0126</t>
  </si>
  <si>
    <t xml:space="preserve">Bagaimana rasio rekening DPK terhadap penduduk di Bali pada periode 2013-2016?</t>
  </si>
  <si>
    <t xml:space="preserve">Rasio rekening DPK terhadap penduduk di Bali meningkat dari 146,48% pada bulan Agustus 2013 menjadi 27,20% pada bulan Agustus 2016.</t>
  </si>
  <si>
    <t xml:space="preserve">Grafik 4.31: rasio rekening DPK per penduduk bekerja ~117 (Agu 2013) naik ke 136,59 (Feb 2016) dan 146,48 (Agu 2016). 27,20% is the kredit ratio (Grafik 4.32).</t>
  </si>
  <si>
    <t xml:space="preserve">146,48% is the August 2016 DPK value, not August 2013. 27,20% belongs to the credit-account ratio. The DPK ratio rose from about 117%. This is a trend task, not a calculation.</t>
  </si>
  <si>
    <t xml:space="preserve">Rasio rekening DPK terhadap penduduk bekerja di Bali cenderung meningkat, dari sekitar 117% pada Agustus 2013 menjadi 136,59% pada Februari 2016 dan 146,48% pada Agustus 2016.</t>
  </si>
  <si>
    <t xml:space="preserve">QA0127</t>
  </si>
  <si>
    <t xml:space="preserve">Kajian 20Ekonomi 20dan 20Keuangan 20Regional 20Provinsi 20Bali 20November 202016_p122.png</t>
  </si>
  <si>
    <t xml:space="preserve">Bagaimana kondisi ketergagalan kerja pada bulan Februari 2016 di Bali?</t>
  </si>
  <si>
    <t xml:space="preserve">Tingkat ketergagalan kerja pada bulan Februari 2016 di Bali adalah 1,89%.</t>
  </si>
  <si>
    <t xml:space="preserve">Grafik 6.1 / Tabel 6.1: TPT Feb 2016 = 2,12%; Ags 2016 = 1,89%. Text: TPT Ags 2016 1,89% lower than Feb 2016 2,12%.</t>
  </si>
  <si>
    <t xml:space="preserve">1,89% is Agustus 2016; Februari 2016 TPT was 2,12%. 'Ketergagalan kerja' garbled for pengangguran. Single-point lookup, not time-sensitive.</t>
  </si>
  <si>
    <t xml:space="preserve">Berapa tingkat pengangguran terbuka (TPT) di Bali pada Februari 2016?</t>
  </si>
  <si>
    <t xml:space="preserve">Tingkat pengangguran terbuka di Bali pada Februari 2016 sebesar 2,12%.</t>
  </si>
  <si>
    <t xml:space="preserve">QA0128</t>
  </si>
  <si>
    <t xml:space="preserve">Bagaimana perubahan jumlah penduduk usia 15 tahun ke atas di Bali antara bulan Februari 2016 dan Agustus 2016?</t>
  </si>
  <si>
    <t xml:space="preserve">Jumlah penduduk usia 15 tahun ke atas di Bali meningkat dari 3,189,02 pada bulan Februari 2016 menjadi 3,463,04 pada bulan Agustus 2016.</t>
  </si>
  <si>
    <t xml:space="preserve">Tabel 6.1 Penduduk Usia 15+ (ribu orang): Feb 2016 3.164,65; Ags 2016 3.189,02.</t>
  </si>
  <si>
    <t xml:space="preserve">Start value is Ags 2016 figure and end value 3.463,04 does not exist; unit (ribu orang) missing. Data is in the table.</t>
  </si>
  <si>
    <t xml:space="preserve">Jumlah penduduk usia 15 tahun ke atas di Bali meningkat dari 3.164,65 ribu orang pada Februari 2016 menjadi 3.189,02 ribu orang pada Agustus 2016.</t>
  </si>
  <si>
    <t xml:space="preserve">QA0129</t>
  </si>
  <si>
    <t xml:space="preserve">Bagaimana perubahan TPAK di Bali antara bulan Februari 2016 dan Agustus 2016?</t>
  </si>
  <si>
    <t xml:space="preserve">TPAK di Bali meningkat dari 1,89% pada bulan Februari 2016 menjadi 7,7% pada bulan Agustus 2016.</t>
  </si>
  <si>
    <t xml:space="preserve">Text &amp; Tabel 6.1: TPAK Feb 2016 75,28%, Ags 2016 77,24%. 1,89% is TPT Ags 2016.</t>
  </si>
  <si>
    <t xml:space="preserve">Values are wrong (1,89% is TPT; 7,7% is decline in unemployed persons). TPAK is in text/table, not the chart.</t>
  </si>
  <si>
    <t xml:space="preserve">TPAK di Bali meningkat dari 75,28% pada Februari 2016 menjadi 77,24% pada Agustus 2016.</t>
  </si>
  <si>
    <t xml:space="preserve">QA0130</t>
  </si>
  <si>
    <t xml:space="preserve">Kajian 20Ekonomi 20dan 20Keuangan 20Regional 20Provinsi 20Bali 20November 202016_p124.png</t>
  </si>
  <si>
    <t xml:space="preserve">Jumlah penduduk dalam industri pada bulan Februari 2015 berapa?</t>
  </si>
  <si>
    <t xml:space="preserve">569,493</t>
  </si>
  <si>
    <t xml:space="preserve">Factual/Numerical, Instruction-following, Unit</t>
  </si>
  <si>
    <t xml:space="preserve">Tabel 6.2: Industri Februari 2015 = 398,873 orang; 569,493 is Pertanian Februari 2015.</t>
  </si>
  <si>
    <t xml:space="preserve">Wrong row (Pertanian instead of Industri); bare number without unit; pure table lookup, no chart or calculation (no exact label, closest table label suggested).</t>
  </si>
  <si>
    <t xml:space="preserve">Berapa jumlah penduduk usia 15 tahun ke atas yang bekerja di lapangan pekerjaan industri pada Februari 2015?</t>
  </si>
  <si>
    <t xml:space="preserve">398.873 orang.</t>
  </si>
  <si>
    <t xml:space="preserve">QA0131</t>
  </si>
  <si>
    <t xml:space="preserve">Penduduk yang bekerja pada industri pada bulan Februari 2016 berapa?</t>
  </si>
  <si>
    <t xml:space="preserve">511,861</t>
  </si>
  <si>
    <t xml:space="preserve">Tabel 6.2: Industri Februari 2016 = 329,478 orang; 511,861 is Pertanian Februari 2016.</t>
  </si>
  <si>
    <t xml:space="preserve">Wrong row (Pertanian instead of Industri); pure table lookup mislabelled as Chart-Time-Sensitive.</t>
  </si>
  <si>
    <t xml:space="preserve">329.478 orang.</t>
  </si>
  <si>
    <t xml:space="preserve">QA0132</t>
  </si>
  <si>
    <t xml:space="preserve">Persentase pertumbuhan penduduk penduduk bekerja di Bali antara Februari 2015 dan Februari 2016 berapa?</t>
  </si>
  <si>
    <t xml:space="preserve">1,36 juta atau 1,84 juta orang</t>
  </si>
  <si>
    <t xml:space="preserve">Calculation, Factual/Numerical, Instruction-following</t>
  </si>
  <si>
    <t xml:space="preserve">Tabel 6.2 TOTAL: Feb 2015 = 2,425,173; Feb 2016 = 2,332,064 -&gt; change -93,109 (-3,84%). 1,36/1,84 juta are full-time worker counts (text).</t>
  </si>
  <si>
    <t xml:space="preserve">Asked for % growth but answer gives unrelated full-time worker counts; correct result is a decline of about 3,84%, computed from table.</t>
  </si>
  <si>
    <t xml:space="preserve">Berapa persentase pertumbuhan jumlah penduduk bekerja di Bali antara Februari 2015 dan Februari 2016?</t>
  </si>
  <si>
    <t xml:space="preserve">Turun sekitar 3,84%, dari 2.425.173 orang (Februari 2015) menjadi 2.332.064 orang (Februari 2016).</t>
  </si>
  <si>
    <t xml:space="preserve">QA0133</t>
  </si>
  <si>
    <t xml:space="preserve">Kajian 20Ekonomi 20dan 20Keuangan 20Regional 20Provinsi 20Bali 20November 202016_p125.png</t>
  </si>
  <si>
    <t xml:space="preserve">Jumlah penduduk yang bekerja di SMA/SMK pada bulan Februari 2016 berapa?</t>
  </si>
  <si>
    <t xml:space="preserve">1,759,929</t>
  </si>
  <si>
    <t xml:space="preserve">Factual/Numerical, Calculation, Instruction-following</t>
  </si>
  <si>
    <t xml:space="preserve">Tabel 6.5 Feb 2016: SMA 400.619 + SMK 294.369 = 694.988 orang. 1,759,298 is Pekerja Penuh Aug 2014 (Tabel 6.4). No chart.</t>
  </si>
  <si>
    <t xml:space="preserve">Answer 1,759,929 does not match SMA/SMK; correct sum is 694.988 orang. Page has tables, not charts.</t>
  </si>
  <si>
    <t xml:space="preserve">Berapa jumlah penduduk bekerja berpendidikan SMA dan SMK pada Februari 2016?</t>
  </si>
  <si>
    <t xml:space="preserve">SMA 400.619 orang + SMK 294.369 orang = 694.988 orang pada Februari 2016.</t>
  </si>
  <si>
    <t xml:space="preserve">QA0134</t>
  </si>
  <si>
    <t xml:space="preserve">Bagaimana perubahan penduduk bekerja di SMA/SMK di tahun 2015 dibandingkan tahun 2016?</t>
  </si>
  <si>
    <t xml:space="preserve">Pada tahun 2015, penduduk SMA/SMK sebesar 8,14% lebih banyak dibandingkan tahun 2016.</t>
  </si>
  <si>
    <t xml:space="preserve">Reasoning, Temporal, Instruction-following</t>
  </si>
  <si>
    <t xml:space="preserve">Text: penduduk bekerja tingkat SMA/SMK ke atas meningkat 8,14% pada Agustus 2016 dibanding Februari 2016. No chart.</t>
  </si>
  <si>
    <t xml:space="preserve">8,14% is an increase Feb 2016 -&gt; Aug 2016, not '2015 higher than 2016'; direction and periods wrong; evidence is text, no chart.</t>
  </si>
  <si>
    <t xml:space="preserve">Bagaimana perubahan penduduk bekerja berpendidikan SMA/SMK ke atas pada Agustus 2016 dibanding Februari 2016?</t>
  </si>
  <si>
    <t xml:space="preserve">Penduduk bekerja dengan pendidikan SMA/SMK ke atas meningkat sebesar 8,14% pada Agustus 2016 dibanding Februari 2016.</t>
  </si>
  <si>
    <t xml:space="preserve">QA0135</t>
  </si>
  <si>
    <t xml:space="preserve">Tingkat penduduk NTP pada bulan Februari 2016 berapa?</t>
  </si>
  <si>
    <t xml:space="preserve">2,416,555</t>
  </si>
  <si>
    <t xml:space="preserve">NTP (Nilai Tukar Petani) is given only for Tw II/III 2016 by subsector (e.g. perkebunan 105,95); 2,416,555 is total workers Aug 2016 (Tabel 6.4).</t>
  </si>
  <si>
    <t xml:space="preserve">'Penduduk NTP Februari 2016' does not exist on the page; premise is nonsensical and answer is an unrelated table value.</t>
  </si>
  <si>
    <t xml:space="preserve">QA0136</t>
  </si>
  <si>
    <t xml:space="preserve">Kajian Ekonomi dan Keuangan Regional Provinsi Banten Triwulan II-2015</t>
  </si>
  <si>
    <t xml:space="preserve">Kajian 20Ekonomi 20dan 20Keuangan 20Regional 20Provinsi 20Banten 20Triwulan 20II-2015_p013.png</t>
  </si>
  <si>
    <t xml:space="preserve">Bagaimana pertumbuhan ekonomi Banten di komparasi dengan nasional selama periode I-2015?</t>
  </si>
  <si>
    <t xml:space="preserve">Pertumbuhan ekonomi Banten lebih tinggi dari nasional selama periode I-2015, dengan rata-rata pertumbuhan 5.43% dibandingkan 5.11% nasional.</t>
  </si>
  <si>
    <t xml:space="preserve">Grafik I.1 table: Tw I-2015 Banten 5,43%, Nasional 4,71%. 5,11% in text is household consumption growth Tw I-2015.</t>
  </si>
  <si>
    <t xml:space="preserve">Direction (Banten higher) is right, but national growth is 4,71%, not 5,11% (that is konsumsi RT), and these are not averages. National figure only in the chart.</t>
  </si>
  <si>
    <t xml:space="preserve">Bagaimana pertumbuhan ekonomi Banten dibandingkan nasional pada triwulan I-2015?</t>
  </si>
  <si>
    <t xml:space="preserve">Pada triwulan I-2015 pertumbuhan ekonomi Banten sebesar 5,43% (yoy), lebih tinggi dibandingkan nasional sebesar 4,71% (yoy).</t>
  </si>
  <si>
    <t xml:space="preserve">QA0137</t>
  </si>
  <si>
    <t xml:space="preserve">Bagaimana kontribusi industri dalam pertumbuhan ekonomi Banten di periode II-2015?</t>
  </si>
  <si>
    <t xml:space="preserve">Kontribusi industri dalam pertumbuhan ekonomi Banten di periode II-2015 adalah 4.67%.</t>
  </si>
  <si>
    <t xml:space="preserve">Hallucination, Factual/Numerical</t>
  </si>
  <si>
    <t xml:space="preserve">Page gives no contribution of industri to Banten growth; text only says industri pengolahan melambat. 4,67% in Grafik I.1 is national growth Tw II-2015.</t>
  </si>
  <si>
    <t xml:space="preserve">The metric asked (industry contribution to growth) is not on the page; the answer reuses the national GDP growth figure.</t>
  </si>
  <si>
    <t xml:space="preserve">QA0138</t>
  </si>
  <si>
    <t xml:space="preserve">Bagaimana pertumbuhan ekonomi Banten di periode II-2015 dibandingkan dengan periode I-2015?</t>
  </si>
  <si>
    <t xml:space="preserve">Pertumbuhan ekonomi Banten di periode II-2015 lebih tinggi dari periode I-2015, dengan rata-rata pertumbuhan 5.43% dibandingkan 5.11%.</t>
  </si>
  <si>
    <t xml:space="preserve">Reasoning, Factual/Numerical</t>
  </si>
  <si>
    <t xml:space="preserve">Text &amp; Grafik I.1: Banten 5,43% (yoy) Tw I-2015 -&gt; 5,26% (yoy) Tw II-2015 (perlambatan, -0,17 pp).</t>
  </si>
  <si>
    <t xml:space="preserve">Wrong direction: Tw II-2015 growth (5,26%) is lower than Tw I-2015 (5,43%); 5,11% is household consumption, not GDP growth.</t>
  </si>
  <si>
    <t xml:space="preserve">Pertumbuhan ekonomi Banten melambat dari 5,43% (yoy) pada triwulan I-2015 menjadi 5,26% (yoy) pada triwulan II-2015, atau turun 0,17 poin persen.</t>
  </si>
  <si>
    <t xml:space="preserve">QA0139</t>
  </si>
  <si>
    <t xml:space="preserve">Kajian 20Ekonomi 20dan 20Keuangan 20Regional 20Provinsi 20Banten 20Triwulan 20II-2015_p018.png</t>
  </si>
  <si>
    <t xml:space="preserve">Bagaimana perkembangan PMA di Kabupaten Tangerang selama periode II-2015?</t>
  </si>
  <si>
    <t xml:space="preserve">PMA di Kabupaten Tangerang meningkat 9,83% dari periode I-2015 ke II-2015</t>
  </si>
  <si>
    <t xml:space="preserve">Text: sebaran PMTB terbesar Tw II-2015 di Kab. Tangerang, 130 proyek PMA &amp; 22 PMDN; Tabel I.2: PMA US$96.283 ribu. 9,83% is suku bunga kredit investasi.</t>
  </si>
  <si>
    <t xml:space="preserve">No PMA growth for Kab. Tangerang is given; 9,83% is the investment-credit interest rate, misattributed.</t>
  </si>
  <si>
    <t xml:space="preserve">Pada triwulan II-2015, Kabupaten Tangerang memiliki sebaran PMTB terbesar berdasarkan jumlah proyek, yaitu 130 proyek PMA (senilai US$96.283 ribu) dan 22 proyek PMDN.</t>
  </si>
  <si>
    <t xml:space="preserve">QA0140</t>
  </si>
  <si>
    <t xml:space="preserve">Bagaimana perkembangan kredit investasi di Singapura dan Jepang selama periode II-2015?</t>
  </si>
  <si>
    <t xml:space="preserve">Kredit investasi di Singapura meningkat 7,55% dan di Jepang meningkat 6,97%</t>
  </si>
  <si>
    <t xml:space="preserve">Entity/region not on page</t>
  </si>
  <si>
    <t xml:space="preserve">Singapura/Jepang appear only as PMA origin (US$201 juta, US$29 juta). Kredit investasi Banten tumbuh 6,97% yoy; 7,55% is PMA growth.</t>
  </si>
  <si>
    <t xml:space="preserve">False premise: page has no kredit investasi data for Singapore or Japan; answer mixes PMA growth and Banten credit growth.</t>
  </si>
  <si>
    <t xml:space="preserve">QA0141</t>
  </si>
  <si>
    <t xml:space="preserve">Bagaimana banyaknya proyek PMA di Kabupaten Tangerang selama periode II-2015?</t>
  </si>
  <si>
    <t xml:space="preserve">130 proyek PMA</t>
  </si>
  <si>
    <t xml:space="preserve">Tabel I.2 and text: Kab. Tangerang 130 proyek PMA pada Tw II-2015.</t>
  </si>
  <si>
    <t xml:space="preserve">Value correct, but it is a single-cell lookup also stated in text, not a table calculation.</t>
  </si>
  <si>
    <t xml:space="preserve">Berapa banyak proyek PMA di Kabupaten Tangerang pada triwulan II-2015?</t>
  </si>
  <si>
    <t xml:space="preserve">Terdapat 130 proyek PMA di Kabupaten Tangerang pada triwulan II-2015.</t>
  </si>
  <si>
    <t xml:space="preserve">QA0142</t>
  </si>
  <si>
    <t xml:space="preserve">Kajian 20Ekonomi 20dan 20Keuangan 20Regional 20Provinsi 20Banten 20Triwulan 20II-2015_p021.png</t>
  </si>
  <si>
    <t xml:space="preserve">Kontribusi dari Amerika Serikat pada ekspor ke Banten pada tahun 2015 berapa?</t>
  </si>
  <si>
    <t xml:space="preserve">8,48%</t>
  </si>
  <si>
    <t xml:space="preserve">8,48% is Kimia share in Grafik I.15 (sector pie). Tabel I.4 USA 2015: 74.466.904,05 (Tw I) &amp; 83.287.014,18 (Tw II) of totals 1.168.810.369,99 &amp; 1.296.089.711,49.</t>
  </si>
  <si>
    <t xml:space="preserve">Answer takes the Kimia sector share from the pie; USA share must be computed from Tabel I.4: ~6,37% (Tw I-2015), ~6,43% (Tw II-2015), ~6,40% for H1-2015. 'ekspor ke Banten' should be 'ekspor Banten ke'.</t>
  </si>
  <si>
    <t xml:space="preserve">Berapa kontribusi ekspor Banten ke Amerika Serikat terhadap total ekspor pada semester I-2015 berdasarkan Tabel I.4?</t>
  </si>
  <si>
    <t xml:space="preserve">Kontribusi ekspor ke Amerika Serikat sekitar 6,37% pada triwulan I-2015 dan 6,43% pada triwulan II-2015, atau sekitar 6,40% dari total ekspor semester I-2015.</t>
  </si>
  <si>
    <t xml:space="preserve">QA0143</t>
  </si>
  <si>
    <t xml:space="preserve">Jumlah total ekspor ke Banten pada tahun 2015 berapa?</t>
  </si>
  <si>
    <t xml:space="preserve">1,296,089,711,14</t>
  </si>
  <si>
    <t xml:space="preserve">Factual/Numerical, Calculation, Temporal, Typo/Grammar</t>
  </si>
  <si>
    <t xml:space="preserve">Tabel I.4 Total ekspor 2015: Tw I 1.168.810.369,99; Tw II 1.296.089.711,49 (only Tw I-II available).</t>
  </si>
  <si>
    <t xml:space="preserve">Answer gives only the Tw II-2015 total with misread decimals (',14' vs '.49') and no summation; total 2015 (Tw I+II) = 2.464.900.081,48. 'ekspor ke Banten' should be 'ekspor Banten'.</t>
  </si>
  <si>
    <t xml:space="preserve">Berapa jumlah total volume ekspor Provinsi Banten pada triwulan I dan II tahun 2015?</t>
  </si>
  <si>
    <t xml:space="preserve">Total ekspor Banten pada triwulan I-II 2015 adalah 1.168.810.369,99 + 1.296.089.711,49 = 2.464.900.081,48.</t>
  </si>
  <si>
    <t xml:space="preserve">QA0144</t>
  </si>
  <si>
    <t xml:space="preserve">Negara-negara yang meningkatkan ekspor ke Banten pada tahun 2015 terbesar?</t>
  </si>
  <si>
    <t xml:space="preserve">Kina, Amerika Serikat, Jepang</t>
  </si>
  <si>
    <t xml:space="preserve">Text: ekspor ke AS dan Jepang turun di Tw II-2015; ekspor ke Tiongkok kembali turun; hanya ekspor ke Eropa yang membaik, tumbuh 1,39% (yoy).</t>
  </si>
  <si>
    <t xml:space="preserve">China, US and Japan are named as declining destinations; only Europe improved. Answer inverts the text ('Kina' typo).</t>
  </si>
  <si>
    <t xml:space="preserve">Negara tujuan ekspor mana yang menunjukkan perbaikan pada triwulan II-2015?</t>
  </si>
  <si>
    <t xml:space="preserve">Hanya ekspor ke Eropa yang menunjukkan perbaikan, tumbuh 1,39% (yoy); ekspor ke Amerika Serikat, Jepang, dan Tiongkok justru menurun.</t>
  </si>
  <si>
    <t xml:space="preserve">QA0145</t>
  </si>
  <si>
    <t xml:space="preserve">Kajian 20Ekonomi 20dan 20Keuangan 20Regional 20Provinsi 20Banten 20Triwulan 20II-2015_p036.png</t>
  </si>
  <si>
    <t xml:space="preserve">Bagaimana inflasi bulanan pada bulan April 2015 di Banteng?</t>
  </si>
  <si>
    <t xml:space="preserve">0,71 mtr</t>
  </si>
  <si>
    <t xml:space="preserve">Text 2.2.1: Pada bulan April 2015, inflasi Banten sebesar 0,71% (mtm); Tabel II.1 Umum Apr = 0,71.</t>
  </si>
  <si>
    <t xml:space="preserve">Value 0,71 is correct, but 'Banteng' should be Banten and unit written 'mtr' without %; should be 0,71% (mtm).</t>
  </si>
  <si>
    <t xml:space="preserve">Berapa inflasi bulanan Provinsi Banten pada bulan April 2015?</t>
  </si>
  <si>
    <t xml:space="preserve">Inflasi Banten pada April 2015 sebesar 0,71% (mtm).</t>
  </si>
  <si>
    <t xml:space="preserve">QA0146</t>
  </si>
  <si>
    <t xml:space="preserve">Bagaimana perubahan inflasi bulanan di Banteng antara periode 2014 dan 2015?</t>
  </si>
  <si>
    <t xml:space="preserve">Pada bulan April 2015, inflasi bulanan di Banteng meningkat dari 0,08% pada tahun 2014 menjadi 0,71%</t>
  </si>
  <si>
    <t xml:space="preserve">Text 2.2.1: April 2015 inflasi 0,71% (mtm), lebih tinggi dari rata-rata empat tahun sebelumnya 0,08%. Tabel II.1: Tw II 2014 0,23 vs Tw II 2015 avg 0,68.</t>
  </si>
  <si>
    <t xml:space="preserve">0,08% is the average April inflation of the previous four years, not 2014. Evidence is text, not chart; 'Banteng' typo.</t>
  </si>
  <si>
    <t xml:space="preserve">Bagaimana inflasi bulanan Banten pada April 2015 dibandingkan rata-rata empat tahun sebelumnya?</t>
  </si>
  <si>
    <t xml:space="preserve">Inflasi April 2015 sebesar 0,71% (mtm), jauh lebih tinggi dibandingkan rata-rata April empat tahun sebelumnya yang sebesar 0,08%.</t>
  </si>
  <si>
    <t xml:space="preserve">QA0147</t>
  </si>
  <si>
    <t xml:space="preserve">Bagaimana inflasi bulanan pada kota Mimbar, Rokok, dan Tembakau pada bulan April 2015?</t>
  </si>
  <si>
    <t xml:space="preserve">0,77 mtr</t>
  </si>
  <si>
    <t xml:space="preserve">Factual/Numerical, Typo/Grammar, Unit</t>
  </si>
  <si>
    <t xml:space="preserve">Tabel II.1 &amp; Grafik II.6: Mamin, Rokok &amp; Tembakau Apr 2015 = 1,26 (mtm). 0,77 is Kesehatan Tw I 2015.</t>
  </si>
  <si>
    <t xml:space="preserve">April 2015 inflation of Makanan jadi, minuman, rokok &amp; tembakau is 1,26% (mtm), not 0,77. 'kota Mimbar' is garbled (it is a commodity group, not a city); unit 'mtr'.</t>
  </si>
  <si>
    <t xml:space="preserve">Berapa inflasi bulanan kelompok makanan jadi, minuman, rokok dan tembakau pada bulan April 2015?</t>
  </si>
  <si>
    <t xml:space="preserve">Inflasi kelompok makanan jadi, minuman, rokok dan tembakau pada April 2015 sebesar 1,26% (mtm).</t>
  </si>
  <si>
    <t xml:space="preserve">QA0148</t>
  </si>
  <si>
    <t xml:space="preserve">Kajian 20Ekonomi 20dan 20Keuangan 20Regional 20Provinsi 20Banten 20Triwulan 20II-2015_p040.png</t>
  </si>
  <si>
    <t xml:space="preserve">Jika ditemukan bahwa kontribusi inflasi pada sub kelompok barang jadi lebih tinggi, berapa kontribusi inflasi pada sub kelompok barang ini pada bulan Juni 2015?</t>
  </si>
  <si>
    <t xml:space="preserve">0,70%</t>
  </si>
  <si>
    <t xml:space="preserve">0,70% (mtm) is the 4-year average Juni inflation (text). No 'sub kelompok barang jadi' is labelled in Grafik II.13; text says makanan jadi inflation weakened.</t>
  </si>
  <si>
    <t xml:space="preserve">Garbled hypothetical question about an unlabelled 'barang jadi' subgroup whose premise (higher contribution) contradicts the text; 0,70% is unrelated. Not supportable from page.</t>
  </si>
  <si>
    <t xml:space="preserve">QA0149</t>
  </si>
  <si>
    <t xml:space="preserve">Bagaimana perubahan kontribusi inflasi pada sub kelompok barang ini antara periode Juni 2011-2014 dan Juni 2015?</t>
  </si>
  <si>
    <t xml:space="preserve">Kontribusi inflasi pada bulan Juni 2015 lebih tinggi dibandingkan periode sebelumnya, mencapai 2,05% (qte)</t>
  </si>
  <si>
    <t xml:space="preserve">Grafik II.13 vs II.14: Bumbu-bumbuan andil ~0,15 (inflasi ~6,5%) Juni 2015 vs rata-rata ~0,09 (inflasi ~5,2%) Juni 2011-2014. 2,05% is IHK Tw II 2015 qtq.</t>
  </si>
  <si>
    <t xml:space="preserve">'Sub kelompok barang ini' is undefined; 2,05% (qtq, misspelt 'qte') is quarterly IHK change, not a subgroup contribution. Comparison is possible for a named subgroup, e.g. bumbu-bumbuan.</t>
  </si>
  <si>
    <t xml:space="preserve">Bagaimana perubahan andil inflasi sub kelompok bumbu-bumbuan pada Juni 2015 dibandingkan rata-rata Juni 2011-2014?</t>
  </si>
  <si>
    <t xml:space="preserve">Andil bumbu-bumbuan pada Juni 2015 sekitar 0,15%, lebih tinggi dibandingkan rata-rata Juni 2011-2014 sekitar 0,09%, disebabkan kenaikan harga cabai merah.</t>
  </si>
  <si>
    <t xml:space="preserve">QA0150</t>
  </si>
  <si>
    <t xml:space="preserve">Katakan satu faktor yang dapat mempengaruhi tingkat inflasi pada sub kelompok barang ini</t>
  </si>
  <si>
    <t xml:space="preserve">Ketersediaan dan ketersediaan produk</t>
  </si>
  <si>
    <t xml:space="preserve">Incomplete, Typo/Grammar, Instruction-following</t>
  </si>
  <si>
    <t xml:space="preserve">Text: bumbu-bumbuan lebih tinggi karena kenaikan harga cabai merah; harga pangan naik menjelang puasa akibat beberapa pemasok libur.</t>
  </si>
  <si>
    <t xml:space="preserve">Referent 'sub kelompok barang ini' undefined; answer is repetitive ('ketersediaan dan ketersediaan') and not a stated factor. Factors are in text, not chart.</t>
  </si>
  <si>
    <t xml:space="preserve">Sebutkan satu faktor yang menyebabkan tingginya kontribusi inflasi bumbu-bumbuan pada Juni 2015.</t>
  </si>
  <si>
    <t xml:space="preserve">Kenaikan harga cabai merah; selain itu harga pangan naik menjelang puasa karena beberapa pemasok libur.</t>
  </si>
  <si>
    <t xml:space="preserve">QA0151</t>
  </si>
  <si>
    <t xml:space="preserve">Kajian 20Ekonomi 20dan 20Keuangan 20Regional 20Provinsi 20Banten 20Triwulan 20II-2015_p043.png</t>
  </si>
  <si>
    <t xml:space="preserve">Bagaimana perubahan nilai kenaiakan harga bawang merah di Banten selama periode 2014 dan 2015?</t>
  </si>
  <si>
    <t xml:space="preserve">Kenaiakan harga bawang merah meningkat dari 102,7% pada periode 2014 menjadi 47,28% pada periode 2015.</t>
  </si>
  <si>
    <t xml:space="preserve">Factual/Numerical, Temporal, Instruction-following, Typo/Grammar</t>
  </si>
  <si>
    <t xml:space="preserve">Text: kenaikan harga bawang putih 102,7% (Tw II 2015 vs Tw II 2014); cabai merah 62,56%; bawang merah 47,28%.</t>
  </si>
  <si>
    <t xml:space="preserve">102,7% belongs to bawang putih, and both figures are Tw II 2015 yoy increases, not 2014 vs 2015 levels; 'meningkat' to a lower number is illogical. Evidence is text, not chart.</t>
  </si>
  <si>
    <t xml:space="preserve">Berapa kenaikan harga bawang merah di Banten pada triwulan II 2015 dibandingkan triwulan II 2014?</t>
  </si>
  <si>
    <t xml:space="preserve">Harga bawang merah naik sebesar 47,28% (yoy) pada triwulan II 2015 dibandingkan triwulan II 2014.</t>
  </si>
  <si>
    <t xml:space="preserve">QA0152</t>
  </si>
  <si>
    <t xml:space="preserve">Bagaimana perubahan nilai kenaiakan harga cabai di Banten selama periode 2014 dan 2015?</t>
  </si>
  <si>
    <t xml:space="preserve">Kenaiakan harga cabai meningkat sebesar 62,56% pada periode 2014 dan meningkat lagi pada periode 2015.</t>
  </si>
  <si>
    <t xml:space="preserve">Temporal, Reasoning, Typo/Grammar</t>
  </si>
  <si>
    <t xml:space="preserve">Text: kenaikan harga cabai merah sebesar 62,56% pada triwulan II 2015 dibandingkan triwulan II 2014.</t>
  </si>
  <si>
    <t xml:space="preserve">62,56% is the Tw II 2015 yoy increase, not a 2014 figure; 'meningkat lagi pada 2015' is unsupported.</t>
  </si>
  <si>
    <t xml:space="preserve">Berapa kenaikan harga cabai merah di Banten pada triwulan II 2015 dibandingkan triwulan II 2014?</t>
  </si>
  <si>
    <t xml:space="preserve">Harga cabai merah naik sebesar 62,56% (yoy) pada triwulan II 2015 dibandingkan triwulan II 2014.</t>
  </si>
  <si>
    <t xml:space="preserve">QA0153</t>
  </si>
  <si>
    <t xml:space="preserve">Bagaimana perubahan nilai kenaiakan harga gas dan bahan bakar di Banten selama periode 2014 dan 2015?</t>
  </si>
  <si>
    <t xml:space="preserve">Kenaiakan harga gas dan bahan bakar meningkat sebesar 47,28% pada periode 2014 dan meningkat lagi pada periode 2015.</t>
  </si>
  <si>
    <t xml:space="preserve">Tabel II.3 Perumahan, Air, Listrik, Gas &amp; Bahan Bakar inflasi yoy: Tw II 2014 = 6,50%, Tw II 2015 = 7,72%. 47,28% is bawang merah.</t>
  </si>
  <si>
    <t xml:space="preserve">47,28% is the bawang merah price rise, not housing/fuel group inflation; no change computed. Values come from Tabel II.3.</t>
  </si>
  <si>
    <t xml:space="preserve">Bagaimana perubahan inflasi kelompok Perumahan, Air, Listrik, Gas &amp; Bahan Bakar di Banten pada triwulan II 2015 dibandingkan triwulan II 2014?</t>
  </si>
  <si>
    <t xml:space="preserve">Inflasi kelompok tersebut naik dari 6,50% (yoy) pada triwulan II 2014 menjadi 7,72% (yoy) pada triwulan II 2015, atau meningkat 1,22 poin persen.</t>
  </si>
  <si>
    <t xml:space="preserve">QA0154</t>
  </si>
  <si>
    <t xml:space="preserve">Kajian 20Ekonomi 20dan 20Keuangan 20Regional 20Provinsi 20Banten 20Triwulan 20II-2015_p044.png</t>
  </si>
  <si>
    <t xml:space="preserve">Bagaimana kenaikan harga kiriningan pada bulan November 2014?</t>
  </si>
  <si>
    <t xml:space="preserve">Rp5.000,- menjadi Rp7.500,-</t>
  </si>
  <si>
    <t xml:space="preserve">Text: Nopember 2014 biaya transfer antar bank naik dari Rp5000,- menjadi Rp7.500,-.</t>
  </si>
  <si>
    <t xml:space="preserve">Values correct, but they come from text, not a table, and no calculation is done; 'harga kiriningan' is a garbled term for the interbank transfer fee.</t>
  </si>
  <si>
    <t xml:space="preserve">Bagaimana kenaikan biaya transfer antar bank pada bulan November 2014?</t>
  </si>
  <si>
    <t xml:space="preserve">Biaya transfer antar bank naik dari Rp5.000,- menjadi Rp7.500,-.</t>
  </si>
  <si>
    <t xml:space="preserve">QA0155</t>
  </si>
  <si>
    <t xml:space="preserve">Bagaimana perubahan kenaikan harga kiriningan pada bulan November 2014?</t>
  </si>
  <si>
    <t xml:space="preserve">Kenaikan harga kiriningan menjadi Rp7.500,-</t>
  </si>
  <si>
    <t xml:space="preserve">Garbled term 'harga kiriningan' (interbank transfer fee); answer gives only the new level and omits the prior Rp5.000 for a 'perubahan' question.</t>
  </si>
  <si>
    <t xml:space="preserve">Bagaimana perubahan biaya transfer antar bank pada bulan November 2014?</t>
  </si>
  <si>
    <t xml:space="preserve">QA0156</t>
  </si>
  <si>
    <t xml:space="preserve">Bagaimana kenaikan harga kiriningan pada bulan November 2014 dibandingkan dengan bulan November 2015?</t>
  </si>
  <si>
    <t xml:space="preserve">Kenaikan harga kiriningan pada bulan November 2014 lebih tinggi</t>
  </si>
  <si>
    <t xml:space="preserve">Page only mentions the Nov 2014 transfer fee increase and June 2015 SKNBI/pagu Rp5.000; no November 2015 fee data; charts are inflation radar charts.</t>
  </si>
  <si>
    <t xml:space="preserve">Comparison with November 2015 is not supported; no such data exists on the page.</t>
  </si>
  <si>
    <t xml:space="preserve">QA0157</t>
  </si>
  <si>
    <t xml:space="preserve">Kajian 20Ekonomi 20dan 20Keuangan 20Regional 20Provinsi 20Banten 20Triwulan 20II-2015_p047.png</t>
  </si>
  <si>
    <t xml:space="preserve">Bagaimana inflasi pada komponen Volatile Foods di periode II 2014 dan II 2015?</t>
  </si>
  <si>
    <t xml:space="preserve">Inflasi pada komponen Volatile Foods di periode II 2014 adalah 7,79% dan II 2015 adalah 8,57%</t>
  </si>
  <si>
    <t xml:space="preserve">Text 2.6.1: volatile foods Tw II 2015 13,06% (yoy) vs Tw II 2014 8,57%; 7,79% is Tw I 2015.</t>
  </si>
  <si>
    <t xml:space="preserve">7,79% is the Tw I 2015 value, not Tw II 2014, and Tw II 2015 is 13,06%, not 8,57%. The values are misattributed.</t>
  </si>
  <si>
    <t xml:space="preserve">Bagaimana inflasi komponen volatile foods pada triwulan II 2014 dan triwulan II 2015?</t>
  </si>
  <si>
    <t xml:space="preserve">Inflasi komponen volatile foods pada triwulan II 2014 sebesar 8,57% (yoy) dan meningkat menjadi 13,06% (yoy) pada triwulan II 2015.</t>
  </si>
  <si>
    <t xml:space="preserve">QA0158</t>
  </si>
  <si>
    <t xml:space="preserve">Bagaimana berlaku hubungan antara inflasi dan komponen Volatile Foods di periode II 2014?</t>
  </si>
  <si>
    <t xml:space="preserve">Inflasi di periode II 2014 adalah 13,06% dan komponen Volatile Foods adalah 7,79%</t>
  </si>
  <si>
    <t xml:space="preserve">Text: volatile foods Tw II 2014 = 8,57%, sumbangan terhadap inflasi Banten Tw II 2014 = 1,70% (Tw II 2015: 13,06%, sumbangan 2,58%).</t>
  </si>
  <si>
    <t xml:space="preserve">The question is garbled. 13,06% and 7,79% are the Tw II 2015 and Tw I 2015 VF values. For Tw II 2014 VF was 8,57% with a 1,70% contribution. These are text values, not a chart calculation.</t>
  </si>
  <si>
    <t xml:space="preserve">Berapa inflasi komponen volatile foods dan sumbangannya terhadap inflasi Banten pada triwulan II 2014?</t>
  </si>
  <si>
    <t xml:space="preserve">Pada triwulan II 2014, inflasi komponen volatile foods mencapai 8,57% (yoy) dengan sumbangan sebesar 1,70% terhadap inflasi Banten.</t>
  </si>
  <si>
    <t xml:space="preserve">QA0159</t>
  </si>
  <si>
    <t xml:space="preserve">Bagaimana berlaku perusahaan yang mengawal komoditas Volatile Foods?</t>
  </si>
  <si>
    <t xml:space="preserve">Perusahaan yang mengawal komoditas Volatile Foods adalah Bersasarkan anekdotal, harga DOC pada periode II 2014 adalah 40 persen, dan 10 persen dari total populasinya pada tanggal 6 April 2015</t>
  </si>
  <si>
    <t xml:space="preserve">Typo/Grammar, Factual/Numerical, Instruction-following</t>
  </si>
  <si>
    <t xml:space="preserve">Text: April 2015 agreement between perusahaan pembibit and peternak unggas: cut DOC 40% from 6 Apr 2015 for 2 weeks; early afkir of 10% parent stock from 6 Apr to max 31 May 2015.</t>
  </si>
  <si>
    <t xml:space="preserve">The question and answer are garbled; the answer mashes up facts (DOC is not a price of 40%, and it is not Tw II 2014). The agreement is on the page, so the QA can be fixed. The source is text, not a chart.</t>
  </si>
  <si>
    <t xml:space="preserve">Apa kesepakatan antara perusahaan pembibit dengan perwakilan peternak unggas pada April 2015 untuk mengendalikan harga DOC?</t>
  </si>
  <si>
    <t xml:space="preserve">Kesepakatannya adalah memotong jumlah DOC sebanyak 40 persen mulai 6 April 2015 selama dua minggu, melakukan afkir dini parent stock sebanyak 10 persen dari total populasi per 6 April 2015 sampai maksimum 31 Mei 2015, dan pemotongan DOC lebih banyak dilakukan di wilayah Jawa Tengah dan Sumatera.</t>
  </si>
  <si>
    <t xml:space="preserve">QA0160</t>
  </si>
  <si>
    <t xml:space="preserve">Kajian 20Ekonomi 20dan 20Keuangan 20Regional 20Provinsi 20Banten 20Triwulan 20II-2015_p048.png</t>
  </si>
  <si>
    <t xml:space="preserve">Bagaimana harga beras pada triwulan II 2014?</t>
  </si>
  <si>
    <t xml:space="preserve">5,86%</t>
  </si>
  <si>
    <t xml:space="preserve">Temporal, Format, Instruction-following</t>
  </si>
  <si>
    <t xml:space="preserve">Text &amp; Tabel II.7: harga beras pada triwulan ini (Tw II 2015) naik 5,86% dibandingkan Tw II 2014, andil inflasi 0,24%.</t>
  </si>
  <si>
    <t xml:space="preserve">5,86% is the Tw II 2015 yoy increase vs Tw II 2014, not the Tw II 2014 price. Bare number; no chart on page.</t>
  </si>
  <si>
    <t xml:space="preserve">Berapa kenaikan harga beras pada triwulan II 2015 dibandingkan triwulan II 2014?</t>
  </si>
  <si>
    <t xml:space="preserve">Harga beras pada triwulan II 2015 naik 5,86% dibandingkan triwulan II 2014, dengan andil inflasi 0,24%.</t>
  </si>
  <si>
    <t xml:space="preserve">QA0161</t>
  </si>
  <si>
    <t xml:space="preserve">Bagaimana harga beras pada triwulan I 2015?</t>
  </si>
  <si>
    <t xml:space="preserve">sehubungan dengan deflasi terbesar adalah 13,49% (yoy)</t>
  </si>
  <si>
    <t xml:space="preserve">Page has no rice price info for Tw I 2015; 13,49% (yoy) is administered price inflation in Tw II 2015; no chart.</t>
  </si>
  <si>
    <t xml:space="preserve">Rice price in Tw I 2015 is not on the page and the answer is unsupported/garbled.</t>
  </si>
  <si>
    <t xml:space="preserve">QA0162</t>
  </si>
  <si>
    <t xml:space="preserve">Bagaimana harga beras pada triwulan II 2015?</t>
  </si>
  <si>
    <t xml:space="preserve">di bawah harga minyak Goreng</t>
  </si>
  <si>
    <t xml:space="preserve">Factual/Numerical, Reasoning, Incomplete</t>
  </si>
  <si>
    <t xml:space="preserve">Text: harga beras triwulan ini (Tw II 2015) naik 5,86% yoy, andil 0,24%. Minyak goreng is the largest deflation contributor.</t>
  </si>
  <si>
    <t xml:space="preserve">Answer 'di bawah harga minyak goreng' is unsupported; page says beras price rose 5,86% yoy and contributed 0,24% to inflation.</t>
  </si>
  <si>
    <t xml:space="preserve">Harga beras pada triwulan II 2015 naik 5,86% dibandingkan triwulan II 2014 dan menyumbang inflasi cukup besar yaitu 0,24%.</t>
  </si>
  <si>
    <t xml:space="preserve">QA0163</t>
  </si>
  <si>
    <t xml:space="preserve">Kajian 20Ekonomi 20dan 20Keuangan 20Regional 20Provinsi 20Banten 20Triwulan 20II-2015_p049.png</t>
  </si>
  <si>
    <t xml:space="preserve">Bagaimana berubah inflasi komponen core dari tahun 2014 ke tahun 2015?</t>
  </si>
  <si>
    <t xml:space="preserve">Inflasi komponen core meningkat dari 5,63% pada tahun 2014 menjadi 5,93% pada tahun 2015.</t>
  </si>
  <si>
    <t xml:space="preserve">Text 2.6.3: inflasi core Tw II 2015 sebesar 5,93% (yoy), naik dibanding Tw I 2015 yaitu 5,63%.</t>
  </si>
  <si>
    <t xml:space="preserve">Values and direction correct, but periods are Tw I 2015 -&gt; Tw II 2015, not year 2014 -&gt; 2015.</t>
  </si>
  <si>
    <t xml:space="preserve">Bagaimana perubahan inflasi komponen core dari triwulan I 2015 ke triwulan II 2015?</t>
  </si>
  <si>
    <t xml:space="preserve">Inflasi komponen core naik dari 5,63% (yoy) pada triwulan I 2015 menjadi 5,93% (yoy) pada triwulan II 2015.</t>
  </si>
  <si>
    <t xml:space="preserve">QA0164</t>
  </si>
  <si>
    <t xml:space="preserve">Bagaimana berubah harga komoditas yang menjadi faktor base effect pada tahun 2015?</t>
  </si>
  <si>
    <t xml:space="preserve">Harga komoditas yang menjadi faktor base effect meningkat 8,72 persen pada tahun 2015.</t>
  </si>
  <si>
    <t xml:space="preserve">Text: base effect = kenaikan tarif listrik selama 2014; Tabel II.8: Tarip Listrik inflasi 26,15, andil 0,84. 8,72% is kenaikan tarif cukai rokok per Januari 2015.</t>
  </si>
  <si>
    <t xml:space="preserve">8,72% refers to tobacco excise, not the base-effect commodity (tarif listrik, inflasi 26,15%). No calculation involved.</t>
  </si>
  <si>
    <t xml:space="preserve">Komoditas apa yang dipengaruhi faktor base effect dan berapa inflasinya pada triwulan II 2015?</t>
  </si>
  <si>
    <t xml:space="preserve">Tarif listrik, yang dipengaruhi base effect kenaikan tarif listrik selama 2014; inflasinya 26,15% dengan andil 0,84.</t>
  </si>
  <si>
    <t xml:space="preserve">QA0165</t>
  </si>
  <si>
    <t xml:space="preserve">Bagaimana berubah harga kokomoditas kretek filter?</t>
  </si>
  <si>
    <t xml:space="preserve">Harga kokomoditas kretek filter meningkat 0,01 pada tahun 2015.</t>
  </si>
  <si>
    <t xml:space="preserve">Tabel II.8: Rokok Kretek Filter inflasi 13,52, andil 0,30; 0,01 is Solar andil. Text: kenaikan harga karena PPN dan cukai.</t>
  </si>
  <si>
    <t xml:space="preserve">0,01 is from the Solar row; kretek filter inflation 13,52 (andil 0,30). Source is a table, not a chart; 'kokomoditas' typo.</t>
  </si>
  <si>
    <t xml:space="preserve">Bagaimana perubahan harga komoditas rokok kretek filter?</t>
  </si>
  <si>
    <t xml:space="preserve">Harga rokok kretek filter naik dengan inflasi 13,52% dan andil 0,30, akibat penerapan tarif PPN yang lebih tinggi serta tarif cukai.</t>
  </si>
  <si>
    <t xml:space="preserve">QA0166</t>
  </si>
  <si>
    <t xml:space="preserve">Kajian 20Ekonomi 20dan 20Keuangan 20Regional 20Provinsi 20Banten 20Triwulan 20II-2015_p052.png</t>
  </si>
  <si>
    <t xml:space="preserve">Bagaimana peningkatan aset perbankan di Provinsi Banten pada tahun 2015 berbanding dengan tahun sebelumnya?</t>
  </si>
  <si>
    <t xml:space="preserve">Peningkatan aset perbankan di Provinsi Banten pada tahun 2015 berbanding dengan tahun sebelumnya meningkat 8,04%.</t>
  </si>
  <si>
    <t xml:space="preserve">Text 3.1/Tabel III.1: aset Tw II 2015 Rp143,88 triliun, tumbuh 8,55% (yoy), lebih tinggi dari Tw I 2015 yang tumbuh 8,04%.</t>
  </si>
  <si>
    <t xml:space="preserve">8,04% is the previous quarter's growth; Tw II 2015 asset growth is 8,55% yoy. Period should be Tw II 2015, not 'tahun 2015'.</t>
  </si>
  <si>
    <t xml:space="preserve">Bagaimana pertumbuhan aset perbankan di Provinsi Banten pada triwulan II 2015 dibanding triwulan sebelumnya?</t>
  </si>
  <si>
    <t xml:space="preserve">Aset perbankan Banten pada triwulan II 2015 tercatat Rp143,88 triliun, tumbuh 8,55% (yoy), lebih tinggi dari triwulan I 2015 yang tumbuh 8,04% (yoy).</t>
  </si>
  <si>
    <t xml:space="preserve">QA0167</t>
  </si>
  <si>
    <t xml:space="preserve">Bagaimana berubahnya rasio kredit dan rasio non-performing loan (NPL) di Provinsi Banten pada tahun 2015?</t>
  </si>
  <si>
    <t xml:space="preserve">Rasio kredit di Provinsi Banten pada tahun 2015 adalah 8,55%, meningkat dari 8,04% sebelumnya. Rasio NPL meningkat dari 1,49% menjadi 2,13%.</t>
  </si>
  <si>
    <t xml:space="preserve">Text/Tabel III.1: kredit growth 13,26% -&gt; 13,92% (yoy); LDR 176,61% -&gt; 176,09%; NPL stabil 2,13% (Tw I &amp; II 2015). 8,04/8,55 are asset growth; 1,49 is NPL Tw I 2014.</t>
  </si>
  <si>
    <t xml:space="preserve">Credit ratio values are asset growth figures; NPL did not rise 1,49-&gt;2,13 but was stable at 2,13%. No chart on page.</t>
  </si>
  <si>
    <t xml:space="preserve">Bagaimana perubahan rasio LDR dan NPL perbankan di Provinsi Banten pada triwulan II 2015?</t>
  </si>
  <si>
    <t xml:space="preserve">LDR sedikit menurun dari 176,61% menjadi 176,09%, sedangkan NPL stabil pada level 2,13% pada triwulan II 2015.</t>
  </si>
  <si>
    <t xml:space="preserve">QA0168</t>
  </si>
  <si>
    <t xml:space="preserve">Bagaimana berubahnya aset perbankan konvensional di Provinsi Banten pada tahun 2015?</t>
  </si>
  <si>
    <t xml:space="preserve">Aset perbankan konvensional di Provinsi Banten pada tahun 2015 meningkat 8,62% menjadi 8,37%.</t>
  </si>
  <si>
    <t xml:space="preserve">Text: aset perbankan konvensional tumbuh 8,62%, lebih tinggi dari triwulan sebelumnya 8,37%, dengan nilai Rp136,66 triliun. No chart.</t>
  </si>
  <si>
    <t xml:space="preserve">Direction reversed: growth rose from 8,37% to 8,62% (not '8,62% to 8,37%'); evidence is text, not chart.</t>
  </si>
  <si>
    <t xml:space="preserve">Bagaimana pertumbuhan aset perbankan konvensional di Provinsi Banten pada triwulan II 2015?</t>
  </si>
  <si>
    <t xml:space="preserve">Aset perbankan konvensional tumbuh 8,62% pada triwulan II 2015, lebih tinggi dari triwulan sebelumnya 8,37%, dengan nilai mencapai Rp136,66 triliun.</t>
  </si>
  <si>
    <t xml:space="preserve">QA0169</t>
  </si>
  <si>
    <t xml:space="preserve">Kajian 20Ekonomi 20dan 20Keuangan 20Regional 20Provinsi 20Banten 20Triwulan 20II-2015_p055.png</t>
  </si>
  <si>
    <t xml:space="preserve">Bagaimana perubahan pertumbuhan konsumsi di Banten selama periode 2012-2015?</t>
  </si>
  <si>
    <t xml:space="preserve">Pertumbuhan konsumsi di Banten selama periode 2012-2015 meningkat dari 4,94% menjadi 5,14%</t>
  </si>
  <si>
    <t xml:space="preserve">Reasoning, Temporal</t>
  </si>
  <si>
    <t xml:space="preserve">Text: konsumsi RT PDRB Banten Tw II 2015 melambat menjadi 4,94% (yoy) dari 5,14% (yoy) pada triwulan sebelumnya (Tw I 2015). No 2012-2015 consumption series.</t>
  </si>
  <si>
    <t xml:space="preserve">Direction reversed (it slowed from 5,14% to 4,94%) and the period is Tw I-&gt;Tw II 2015, not 2012-2015.</t>
  </si>
  <si>
    <t xml:space="preserve">Bagaimana perubahan pertumbuhan konsumsi rumah tangga di Banten pada triwulan II 2015?</t>
  </si>
  <si>
    <t xml:space="preserve">Pertumbuhan konsumsi rumah tangga Banten melambat dari 5,14% (yoy) pada triwulan I 2015 menjadi 4,94% (yoy) pada triwulan II 2015.</t>
  </si>
  <si>
    <t xml:space="preserve">QA0170</t>
  </si>
  <si>
    <t xml:space="preserve">Bagaimana struktur DP di Banten pada tahun 2015?</t>
  </si>
  <si>
    <t xml:space="preserve">Struktur DP di Banten pada tahun 2015 terdiri dari deposit 42,57%, tabun 32,92%, dan giro 24,51%</t>
  </si>
  <si>
    <t xml:space="preserve">Grafik III.10 Struktur DPK: Deposito 42,57%, Tabungan 32,92%, Giro 24,51% (Tw II 2015 report).</t>
  </si>
  <si>
    <t xml:space="preserve">Shares are correct, but 'DP', 'deposit' and 'tabun' are garbled forms of DPK, deposito, tabungan.</t>
  </si>
  <si>
    <t xml:space="preserve">Bagaimana struktur DPK di Provinsi Banten pada triwulan II 2015?</t>
  </si>
  <si>
    <t xml:space="preserve">Struktur DPK di Banten didominasi deposito dengan pangsa 42,57%, diikuti tabungan 32,92% dan giro 24,51%.</t>
  </si>
  <si>
    <t xml:space="preserve">QA0171</t>
  </si>
  <si>
    <t xml:space="preserve">Bagaimana penyaluran kredit di Banten pada tahun 2015?</t>
  </si>
  <si>
    <t xml:space="preserve">Penyaluran kredit di Banten pada tahun 2015 meningkat dari Rp209,99 triliun menjadi Rp218,41 triliun</t>
  </si>
  <si>
    <t xml:space="preserve">Instruction-following, Temporal, Incomplete</t>
  </si>
  <si>
    <t xml:space="preserve">Text 3.3: kredit Tw II 2015 tumbuh 13,92% (yoy) vs 13,26% Tw I 2015; nilai Rp218,41 T, naik dari Rp209,99 T pada triwulan sebelumnya.</t>
  </si>
  <si>
    <t xml:space="preserve">Values correct but from text (no credit chart, no calculation); periods (Tw I-&gt;Tw II 2015) and growth rate omitted.</t>
  </si>
  <si>
    <t xml:space="preserve">Bagaimana penyaluran kredit di Banten pada triwulan II 2015?</t>
  </si>
  <si>
    <t xml:space="preserve">Kredit di Banten pada triwulan II 2015 tumbuh 13,92% (yoy), lebih tinggi dari 13,26% (yoy) pada triwulan I 2015, dengan nilai naik dari Rp209,99 triliun menjadi Rp218,41 triliun.</t>
  </si>
  <si>
    <t xml:space="preserve">QA0172</t>
  </si>
  <si>
    <t xml:space="preserve">Kajian 20Ekonomi 20dan 20Keuangan 20Regional 20Provinsi 20Banten 20Triwulan 20II-2015_p066.png</t>
  </si>
  <si>
    <t xml:space="preserve">Bagaimana berubah nilai Pendapatan Daerah dan Belanja Daerah dari periode II-2014 ke II-2015?</t>
  </si>
  <si>
    <t xml:space="preserve">Pendapatan Daerah meningkat dari 2,273,743 juta menjadi 3,627,101 juta, sementara Belanja Daerah meningkat dari 1,616,079 juta menjadi 2,349,162 juta.</t>
  </si>
  <si>
    <t xml:space="preserve">Tabel IV.1 realisasi (Rp juta): Total Pendapatan 3,250,415 (TW II-2014) -&gt; 3,627,101 (TW II-2015); Total Belanja 1,616,079 -&gt; 2,349,162. 2,273,743 is PAD 2014.</t>
  </si>
  <si>
    <t xml:space="preserve">Pendapatan 2014 value is the PAD row, not total pendapatan; belanja values correct. Data is from the table, not text.</t>
  </si>
  <si>
    <t xml:space="preserve">Realisasi Pendapatan Daerah meningkat dari Rp3.250.415 juta (s.d. TW II-2014) menjadi Rp3.627.101 juta (s.d. TW II-2015), sedangkan Belanja Daerah meningkat dari Rp1.616.079 juta menjadi Rp2.349.162 juta.</t>
  </si>
  <si>
    <t xml:space="preserve">QA0173</t>
  </si>
  <si>
    <t xml:space="preserve">Bagaimana berubah nilai Pemerintah Pembayaran Modal Pemerintah Daerah dari periode II-2014 ke II-2015?</t>
  </si>
  <si>
    <t xml:space="preserve">Pemerintah Pembayaran Modal Pemerintah Daerah meningkat dari 38,088 juta menjadi 3,163,933 juta.</t>
  </si>
  <si>
    <t xml:space="preserve">Tabel IV.1: Penyertaan Modal Pemerintah Daerah realisasi TW II-2014 '-' (APBD-P 38,088) -&gt; TW II-2015 22,000 (Rp juta). 3,163,933 is SILPA 2015.</t>
  </si>
  <si>
    <t xml:space="preserve">38,088 is the 2014 budget, and 3,163,933 is SILPA; actual realization went from nil to Rp22.000 juta. Row name garbled; no chart on page.</t>
  </si>
  <si>
    <t xml:space="preserve">Bagaimana perubahan realisasi Penyertaan Modal Pemerintah Daerah dari TW II-2014 ke TW II-2015?</t>
  </si>
  <si>
    <t xml:space="preserve">Realisasi Penyertaan Modal Pemerintah Daerah meningkat dari nihil (0%, pagu Rp38.088 juta) pada s.d. TW II-2014 menjadi Rp22.000 juta (100% dari pagu) pada s.d. TW II-2015.</t>
  </si>
  <si>
    <t xml:space="preserve">QA0174</t>
  </si>
  <si>
    <t xml:space="preserve">Bagaimana berubah nilai Sisa Lebih Pertihitkan Anggaran Tahun Sebelumnya dari periode II-2014 ke II-2015?</t>
  </si>
  <si>
    <t xml:space="preserve">Sisa Lebih Pertihitkan Anggaran Tahun Sebelumnya meningkat dari 1,069,802 juta menjadi 1,885,994 juta.</t>
  </si>
  <si>
    <t xml:space="preserve">Tabel IV.1: SiLPA Tahun Sebelumnya realisasi 1,069,802 (TW II-2014) -&gt; 1,907,994 (TW II-2015). 1,885,994 is Pembiayaan Netto.</t>
  </si>
  <si>
    <t xml:space="preserve">2015 value taken from the Pembiayaan Netto row; correct is 1,907,994. Row name misspelled; no chart.</t>
  </si>
  <si>
    <t xml:space="preserve">Bagaimana perubahan nilai Sisa Lebih Perhitungan Anggaran Tahun Sebelumnya dari TW II-2014 ke TW II-2015?</t>
  </si>
  <si>
    <t xml:space="preserve">Sisa Lebih Perhitungan Anggaran Tahun Sebelumnya meningkat dari Rp1.069.802 juta menjadi Rp1.907.994 juta.</t>
  </si>
  <si>
    <t xml:space="preserve">QA0175</t>
  </si>
  <si>
    <t xml:space="preserve">Kajian 20Ekonomi 20dan 20Keuangan 20Regional 20Provinsi 20Banten 20Triwulan 20II-2015_p067.png</t>
  </si>
  <si>
    <t xml:space="preserve">Bagaimana realisasi Pemerintah Provinsi Banten pada tahun 2014 dan 2015 untuk Pendapatan Asli Daerah (PAD)?</t>
  </si>
  <si>
    <t xml:space="preserve">Realisasi PAD pada tahun 2014 adalah 2,131,098 juta, dan pada tahun 2015 adalah 2,202,798 juta.</t>
  </si>
  <si>
    <t xml:space="preserve">Tabel IV.2 PAD realisasi: s.d. Tw II-2014 Rp2.273.743 juta; s.d. Tw II-2015 Rp2.346.051 juta. 2.131.098/2.202.798 are Pajak Daerah.</t>
  </si>
  <si>
    <t xml:space="preserve">Wrong row: values given are Pajak Daerah, not PAD; figures are cumulative to Tw II, not full-year. Pure table lookup, no calculation.</t>
  </si>
  <si>
    <t xml:space="preserve">Berapa realisasi Pendapatan Asli Daerah (PAD) Pemerintah Provinsi Banten sampai dengan triwulan II-2014 dan triwulan II-2015?</t>
  </si>
  <si>
    <t xml:space="preserve">Realisasi PAD sampai dengan triwulan II-2014 sebesar Rp2.273.743 juta (49% dari APBD-P) dan sampai dengan triwulan II-2015 sebesar Rp2.346.051 juta (46% dari APBD).</t>
  </si>
  <si>
    <t xml:space="preserve">QA0176</t>
  </si>
  <si>
    <t xml:space="preserve">Bagaimana perubahan realisasi PAD dari tahun 2014 ke tahun 2015? </t>
  </si>
  <si>
    <t xml:space="preserve">Realisasi PAD meningkat dari 2,131,098 juta pada tahun 2014 menjadi 2,202,798 juta pada tahun 2015.</t>
  </si>
  <si>
    <t xml:space="preserve">Tabel IV.2 PAD realisasi: 2.273.743 (s.d. Tw II-2014) -&gt; 2.346.051 (s.d. Tw II-2015) juta Rp; no chart on page.</t>
  </si>
  <si>
    <t xml:space="preserve">Direction (naik) right but values are Pajak Daerah row; PAD rose by Rp72.308 juta (~3,2%). Page has no chart; evidence is a table.</t>
  </si>
  <si>
    <t xml:space="preserve">Bagaimana perubahan realisasi PAD sampai dengan triwulan II dari tahun 2014 ke tahun 2015?</t>
  </si>
  <si>
    <t xml:space="preserve">Realisasi PAD meningkat dari Rp2.273.743 juta (s.d. triwulan II-2014) menjadi Rp2.346.051 juta (s.d. triwulan II-2015), naik sekitar Rp72.308 juta atau 3,2%.</t>
  </si>
  <si>
    <t xml:space="preserve">QA0177</t>
  </si>
  <si>
    <t xml:space="preserve">Bagaimana banyaknya Pendapatan Asli Daerah (PAD) pada tahun 2015 dibandingkan dengan Pendapatan Hibah? </t>
  </si>
  <si>
    <t xml:space="preserve">Realisasi PAD pada tahun 2015 adalah 2,202,798 juta, sedangkan Pendapatan Hibah adalah 422 juta.</t>
  </si>
  <si>
    <t xml:space="preserve">Tabel IV.2 s.d. Tw II-2015 realisasi: PAD Rp2.346.051 juta; Pendapatan Hibah Rp437 juta (422 is 2014).</t>
  </si>
  <si>
    <t xml:space="preserve">PAD value is from Pajak Daerah row (2.202.798) and hibah value 422 is 2014; correct 2015 values are 2.346.051 and 437 juta.</t>
  </si>
  <si>
    <t xml:space="preserve">Realisasi PAD s.d. triwulan II-2015 sebesar Rp2.346.051 juta, jauh lebih besar dibandingkan realisasi Pendapatan Hibah yang hanya Rp437 juta.</t>
  </si>
  <si>
    <t xml:space="preserve">QA0178</t>
  </si>
  <si>
    <t xml:space="preserve">Kajian Ekonomi dan Keuangan Regional Provinsi NTT Agustus 2018</t>
  </si>
  <si>
    <t xml:space="preserve">Kajian 20Ekonomi 20dan 20Keuangan 20Regional 20Provinsi 20NTT 20Agustus 202018_p031.png</t>
  </si>
  <si>
    <t xml:space="preserve">Bagaimana pertumbuhan lapangan usaha administrasi pemerintah di komparasi dengan pertumbuhan lapangan usaha perbankan pada periode I dan II 2018?</t>
  </si>
  <si>
    <t xml:space="preserve">Pada periode I 2018, pertumbuhan lapangan usaha administrasi pemerintah lebih tinggi dibandingkan pertumbuhan lapangan usaha perbankan. Pada periode II 2018, pertumbuhan lapangan usaha administrasi pemerintah lebih tinggi dibandingkan pertumbuhan lapangan usaha perbankan.</t>
  </si>
  <si>
    <t xml:space="preserve">Text: LU administrasi pemerintahan tumbuh 6,99% (Tw I) and 7,46% (Tw II 2018). No 'lapangan usaha perbankan' growth; only simpanan pemerintah di perbankan (-11,08%, -13,97%).</t>
  </si>
  <si>
    <t xml:space="preserve">The page has no growth figure for a banking business sector, so the comparison cannot be supported; answer gives no numbers.</t>
  </si>
  <si>
    <t xml:space="preserve">QA0179</t>
  </si>
  <si>
    <t xml:space="preserve">Bagaimana kontribusi pertumbuhan lapangan usaha administrasi pemerintah pada periode II 2018 terbagi antara sektor-besarnya dan sektor-mobil dan sepeda motor?</t>
  </si>
  <si>
    <t xml:space="preserve">Pada periode II 2018, pertumbuhan lapangan usaha administrasi pemerintah sebesar 7,19% (yoy). Dari ini, kontribusi pertumbuhan pada sektor-besarnya adalah 6,82% (yoy), dan kontribusi pertumbuhan pada sektor-mobil dan sepeda motor adalah 4,72% (yoy).</t>
  </si>
  <si>
    <t xml:space="preserve">Hallucination, Factual/Numerical, Typo/Grammar</t>
  </si>
  <si>
    <t xml:space="preserve">Text: LU admin pemerintahan Tw II 2018 7,46% (yoy); 7,19%, 6,82%, 4,72% are growth of LU Perdagangan Besar dan Eceran (Tw II-18, Tw I-18, Tw II-17).</t>
  </si>
  <si>
    <t xml:space="preserve">Premise is false and garbled: government administration growth is not split into trade sub-sectors; answer mixes figures from the trade sector section.</t>
  </si>
  <si>
    <t xml:space="preserve">QA0180</t>
  </si>
  <si>
    <t xml:space="preserve">Text: LU admin pemerintahan 6,99% (Tw I) -&gt; 7,46% (Tw II 2018). No banking business-sector growth on page; Grafik 1.21 is government deposits.</t>
  </si>
  <si>
    <t xml:space="preserve">Duplicate of IV-0: compares with a 'lapangan usaha perbankan' that is not on the page; no numbers given.</t>
  </si>
  <si>
    <t xml:space="preserve">QA0181</t>
  </si>
  <si>
    <t xml:space="preserve">Kajian 20Ekonomi 20dan 20Keuangan 20Regional 20Provinsi 20NTT 20Agustus 202018_p033.png</t>
  </si>
  <si>
    <t xml:space="preserve">Bagaimana konstruksi proyek dalam periode 2015-2018 di NTT?</t>
  </si>
  <si>
    <t xml:space="preserve">Konstruksi proyek di NTT selama periode 2015-2018 mencapai 99% penuh, melalui periode III dan IV 2018.</t>
  </si>
  <si>
    <t xml:space="preserve">Factual/Numerical, Temporal, Typo/Grammar</t>
  </si>
  <si>
    <t xml:space="preserve">Text: proyek multiyears Bendungan Rotiklot (Belu) progress 99%, rencana diresmikan Tw III/IV 2018; konstruksi tumbuh 5,31% (yoy) Tw II 2018. No 2015-2018 construction info.</t>
  </si>
  <si>
    <t xml:space="preserve">99% is the progress of Bendungan Rotiklot only, not all NTT construction 2015-2018; answer is garbled ('melalui periode III dan IV').</t>
  </si>
  <si>
    <t xml:space="preserve">Bagaimana progres proyek Bendungan Rotiklot di Kabupaten Belu?</t>
  </si>
  <si>
    <t xml:space="preserve">Bendungan Rotiklot telah mencapai tahap penyelesaian dengan progres 99% dan rencananya diresmikan Presiden RI pada triwulan III atau IV 2018.</t>
  </si>
  <si>
    <t xml:space="preserve">QA0182</t>
  </si>
  <si>
    <t xml:space="preserve">Bagaimana banyaknya proyek baru dalam periode 2018 di NTT?</t>
  </si>
  <si>
    <t xml:space="preserve">Pada periode 2018, ada 6 proyek baru di NTT, yaitu Pelabuhan Ndho, Bekasi, Daerah Irigasi, Bekasi, Jembatan Sungai, dan Pemecahan Gelombang Pantai.</t>
  </si>
  <si>
    <t xml:space="preserve">Factual/Numerical, Hallucination, Instruction-following</t>
  </si>
  <si>
    <t xml:space="preserve">Tabel 1.9 (Semester I 2018): 10 proyek, mis. Pelabuhan Ndao, Bendungan Temef, Daerah Irigasi, Bendungan Tefmo/Manikin, 2 Jembatan, Normalisasi Sungai, Pemecah Gelombang Pantai, Pelabuhan Wuring.</t>
  </si>
  <si>
    <t xml:space="preserve">Table lists 10 projects, not 6; 'Bekasi' and 'Pelabuhan Ndho' are hallucinated names. Data is in a table, not a chart.</t>
  </si>
  <si>
    <t xml:space="preserve">Berapa banyak proyek infrastruktur baru di NTT pada Semester I 2018 menurut Tabel 1.9?</t>
  </si>
  <si>
    <t xml:space="preserve">Terdapat 10 proyek, antara lain Pelabuhan Ndao, Bendungan Temef, Daerah Irigasi, Bendungan Tefmo/Manikin, dua Jembatan, Normalisasi Sungai, Pemecah Gelombang Pantai, Bendungan Lambo/Mbay, dan Pelabuhan Wuring.</t>
  </si>
  <si>
    <t xml:space="preserve">QA0183</t>
  </si>
  <si>
    <t xml:space="preserve">Bagaimana banyaknya investasi dalam periode 2018 di NTT?</t>
  </si>
  <si>
    <t xml:space="preserve">Investasi dalam periode 2018 di NTT mencapai Rp520,35 miliar.</t>
  </si>
  <si>
    <t xml:space="preserve">Text: proyek baru triwulan II 2018 senilai Rp520,35 miliar, lebih sedikit dari triwulan I 2018 Rp1,49 triliun (sum of Apr-Jun rows in Tabel 1.9).</t>
  </si>
  <si>
    <t xml:space="preserve">Rp520,35 miliar is new projects in Tw II 2018 only, not all of 2018; value stated in text (no chart).</t>
  </si>
  <si>
    <t xml:space="preserve">Berapa nilai proyek baru yang dikerjakan di NTT pada triwulan II 2018?</t>
  </si>
  <si>
    <t xml:space="preserve">Nilai proyek baru pada triwulan II 2018 sebesar Rp520,35 miliar, lebih sedikit dibandingkan triwulan I 2018 sebesar Rp1,49 triliun.</t>
  </si>
  <si>
    <t xml:space="preserve">QA0184</t>
  </si>
  <si>
    <t xml:space="preserve">Kajian 20Ekonomi 20dan 20Keuangan 20Regional 20Provinsi 20NTT 20Agustus 202018_p041.png</t>
  </si>
  <si>
    <t xml:space="preserve">Bagaimana realisasi belanja APBN pada tahun 2018?</t>
  </si>
  <si>
    <t xml:space="preserve">Realisasi belanja APBN pada tahun 2018 sebesar 31,16% dari total pagu anggaran sebesar Rp 16 triliun.</t>
  </si>
  <si>
    <t xml:space="preserve">Temporal, Incomplete</t>
  </si>
  <si>
    <t xml:space="preserve">Text 2.3.1: hingga triwulan II 2018 realisasi belanja APBN baru Rp5,12 triliun (31,16%) dari total pagu Rp16 triliun; relatif sama dengan 2017 (31,06%).</t>
  </si>
  <si>
    <t xml:space="preserve">31,16% and Rp16 triliun pagu are correct, but figure is as of Tw II 2018 (not full-year 2018) and the nominal Rp5,12 triliun is omitted.</t>
  </si>
  <si>
    <t xml:space="preserve">Bagaimana realisasi belanja APBN di NTT hingga triwulan II 2018?</t>
  </si>
  <si>
    <t xml:space="preserve">Hingga triwulan II 2018, realisasi belanja APBN baru mencapai Rp5,12 triliun (31,16%) dari total pagu Rp16 triliun, relatif sama dengan periode yang sama 2017 (31,06%).</t>
  </si>
  <si>
    <t xml:space="preserve">QA0185</t>
  </si>
  <si>
    <t xml:space="preserve">Bagaimana berubah realisasi belanja Pemerintah Provinsi NTT pada tahun 2018 dibandingkan tahun 2017?</t>
  </si>
  <si>
    <t xml:space="preserve">Realisasi belanja Pemerintah Provinsi NTT pada tahun 2018 sebesar 44,39% dari total pagu anggaran sebesar Rp 4,96 triliun, berbeda dengan tahun 2017 sebesar 46,64% dari total pagu anggaran sebesar Rp 4,98 triliun.</t>
  </si>
  <si>
    <t xml:space="preserve">Factual/Numerical, Incomplete, Instruction-following</t>
  </si>
  <si>
    <t xml:space="preserve">Text 2.3.2: hingga Tw II 2018 realisasi Pemprov NTT Rp2,2 triliun atau 44,39% dari pagu Rp4,96 triliun; melambat dibanding periode sama 2017 sebesar 46,64%. No 2017 pagu given.</t>
  </si>
  <si>
    <t xml:space="preserve">2018 figures right, but 'pagu Rp4,98 triliun' for 2017 is fabricated and the slowdown is not stated; evidence is text, no chart or calculation.</t>
  </si>
  <si>
    <t xml:space="preserve">Bagaimana perubahan realisasi belanja Pemerintah Provinsi NTT hingga triwulan II 2018 dibandingkan periode yang sama tahun 2017?</t>
  </si>
  <si>
    <t xml:space="preserve">Realisasi belanja Pemprov NTT hingga triwulan II 2018 sebesar Rp2,2 triliun atau 44,39% dari pagu Rp4,96 triliun, melambat dibandingkan periode yang sama 2017 yang mencapai 46,64%.</t>
  </si>
  <si>
    <t xml:space="preserve">QA0186</t>
  </si>
  <si>
    <t xml:space="preserve">Text 2.3.2: 44,39% of pagu Rp4,96 triliun (Tw II 2018) vs 46,64% (Tw II 2017), described as perlambatan. No 2017 pagu on page; no chart.</t>
  </si>
  <si>
    <t xml:space="preserve">Same as IV-1: fabricated 2017 pagu (Rp4,98 triliun), slowdown direction not stated, and no chart exists for a Chart-Time-Sensitive label.</t>
  </si>
  <si>
    <t xml:space="preserve">Realisasi belanja Pemprov NTT melambat, dari 46,64% pada triwulan II 2017 menjadi 44,39% dari pagu Rp4,96 triliun (Rp2,2 triliun) pada triwulan II 2018.</t>
  </si>
  <si>
    <t xml:space="preserve">QA0187</t>
  </si>
  <si>
    <t xml:space="preserve">Kajian 20Ekonomi 20dan 20Keuangan 20Regional 20Provinsi 20NTT 20Agustus 202018_p042.png</t>
  </si>
  <si>
    <t xml:space="preserve">Bagaimana realisasi belanja Pemerintah Kabupaten/Kota di Provinsi Nusa Tenggara Timur pada tahun 2017?</t>
  </si>
  <si>
    <t xml:space="preserve">Realisasi belanja Pemerintah Kabupaten/Kota di Provinsi Nusa Tenggara Timur pada tahun 2017 mencapai Rp 303,4 miliar, yang mencapai 4,95% dari total belanja pemerintah.</t>
  </si>
  <si>
    <t xml:space="preserve">Text: Tw II 2018 realisasi belanja Pemerintah Kab/Kota Rp6,12 triliun (27,40% dari pagu Rp22,36 triliun); Rp303,4 miliar (4,95%) is belanja hibah Tw II 2018. No 2017 total.</t>
  </si>
  <si>
    <t xml:space="preserve">Page reports Tw II 2018, not 2017; Rp303,4 miliar/4,95% is only the grant (hibah) component. Total realization is stated in text.</t>
  </si>
  <si>
    <t xml:space="preserve">Bagaimana realisasi belanja Pemerintah Kabupaten/Kota di NTT pada triwulan II 2018?</t>
  </si>
  <si>
    <t xml:space="preserve">Realisasi belanja Pemerintah Kabupaten/Kota mencapai Rp6,12 triliun atau 27,40% dari total pagu belanja Rp22,36 triliun.</t>
  </si>
  <si>
    <t xml:space="preserve">QA0188</t>
  </si>
  <si>
    <t xml:space="preserve">Bagaimana berubah realisasi belanja Pemerintah Kabupaten/Kota di Provinsi Nusa Tenggara Timur dari tahun 2017 ke tahun 2018?</t>
  </si>
  <si>
    <t xml:space="preserve">Pada tahun 2018, realisasi belanja Pemerintah Kabupaten/Kota mencapai Rp 390,37 miliar, yang mencapai 34,86% dari total belanja pemerintah.</t>
  </si>
  <si>
    <t xml:space="preserve">Text: Rp390,37 miliar (34,86%) is realisasi Kab. Alor (highest). Belanja konsumsi Kab/Kota Tw II 2018 32,52% (Rp5,77 triliun), sedikit lebih rendah dibanding triwulan yang sama tahun sebelumnya.</t>
  </si>
  <si>
    <t xml:space="preserve">Rp390,37 miliar/34,86% is Kab. Alor only, not total Kab/Kota, and not a year-on-year change. Evidence is text; charts give no 2017 comparison.</t>
  </si>
  <si>
    <t xml:space="preserve">Bagaimana realisasi belanja konsumsi Pemerintah Kabupaten/Kota di NTT pada triwulan II 2018 dibandingkan periode yang sama tahun sebelumnya?</t>
  </si>
  <si>
    <t xml:space="preserve">Realisasi belanja konsumsi Kab/Kota mencapai 32,52% atau Rp5,77 triliun, sedikit lebih rendah dibandingkan triwulan yang sama tahun sebelumnya, antara lain karena pelaksanaan Pilkada serentak.</t>
  </si>
  <si>
    <t xml:space="preserve">QA0189</t>
  </si>
  <si>
    <t xml:space="preserve">Bagaimana berubah persentase realisasi belanja Pemerintah Kabupaten/Kota di Provinsi Nusa Tenggara Timur dari tahun 2017 ke tahun 2018?</t>
  </si>
  <si>
    <t xml:space="preserve">Persentase realisasi belanja Pemerintah Kabupaten/Kota di Provinsi Nusa Tenggara Timur meningkat dari 4,95% pada tahun 2017 menjadi 34,86% pada tahun 2018.</t>
  </si>
  <si>
    <t xml:space="preserve">Factual/Numerical, Temporal, Reasoning, Instruction-following</t>
  </si>
  <si>
    <t xml:space="preserve">4,95% = pangsa belanja hibah Kab/Kota Tw II 2018 (Grafik 2.9/text); 34,86% = realisasi Kab. Alor Tw II 2018. Text: konsumsi Kab/Kota 32,52%, sedikit lebih rendah dari tahun sebelumnya.</t>
  </si>
  <si>
    <t xml:space="preserve">Both figures are Tw II 2018 but different metrics (hibah share vs Alor realization); the claimed jump 4,95%-&gt;34,86% is fabricated. Page states realization slightly lower yoy, no 2017 value.</t>
  </si>
  <si>
    <t xml:space="preserve">Bagaimana persentase realisasi belanja konsumsi Pemerintah Kabupaten/Kota di NTT pada triwulan II 2018 dibandingkan tahun sebelumnya?</t>
  </si>
  <si>
    <t xml:space="preserve">Realisasi belanja konsumsi Kab/Kota pada triwulan II 2018 mencapai 32,52% (Rp5,77 triliun), sedikit lebih rendah dibandingkan triwulan yang sama tahun sebelumnya.</t>
  </si>
  <si>
    <t xml:space="preserve">QA0190</t>
  </si>
  <si>
    <t xml:space="preserve">Kajian 20Ekonomi 20dan 20Keuangan 20Regional 20Provinsi 20NTT 20Agustus 202018_p043.png</t>
  </si>
  <si>
    <t xml:space="preserve">Bagaimana banyak dana milik pemerintah di Indonesia pada tahun 2018?</t>
  </si>
  <si>
    <t xml:space="preserve">Rp 4,75 trillion</t>
  </si>
  <si>
    <t xml:space="preserve">Factual/Numerical, Temporal, Format, Instruction-following</t>
  </si>
  <si>
    <t xml:space="preserve">Text/Grafik 2.11 (NTT): total dana pemerintah di perbankan Tw II 2018 = Rp6,15 triliun; Rp4,75 triliun is only giro.</t>
  </si>
  <si>
    <t xml:space="preserve">4,75 is the giro component, not total government funds. The data is for NTT (not Indonesia) and for Tw II 2018. The answer mixes in English ('trillion'), and this is extraction, not time-sensitive.</t>
  </si>
  <si>
    <t xml:space="preserve">Berapa banyak dana milik pemerintah di NTT yang disimpan di perbankan pada triwulan II 2018?</t>
  </si>
  <si>
    <t xml:space="preserve">Dana milik pemerintah di NTT yang disimpan di perbankan pada triwulan II 2018 tercatat sebesar Rp6,15 triliun, dengan giro sebagai simpanan terbesar (Rp4,75 triliun).</t>
  </si>
  <si>
    <t xml:space="preserve">QA0191</t>
  </si>
  <si>
    <t xml:space="preserve">Bagaimana banyak dana milik pemerintah di Indonesia pada tahun 2017?</t>
  </si>
  <si>
    <t xml:space="preserve">Rp 6,15 trillion</t>
  </si>
  <si>
    <t xml:space="preserve">Grafik 2.11 (NTT, unlabeled 2017 points): ~5,0 (Tw I), ~6,8 (Tw II), ~5,6 (Tw III), ~1,8 (Tw IV) Rp triliun. 6,15 is Tw II 2018.</t>
  </si>
  <si>
    <t xml:space="preserve">6,15 is the Tw II 2018 value, not 2017. The chart is for NTT, not Indonesia. The answer is in English, and no calculation is involved.</t>
  </si>
  <si>
    <t xml:space="preserve">Bagaimana perkembangan dana pemerintah di perbankan NTT sepanjang tahun 2017?</t>
  </si>
  <si>
    <t xml:space="preserve">Sepanjang 2017 dana pemerintah di perbankan NTT berfluktuasi: sekitar Rp5,0 triliun (Tw I), naik ke puncak sekitar Rp6,8 triliun (Tw II), turun ke sekitar Rp5,6 triliun (Tw III) dan sekitar Rp1,8 triliun (Tw IV).</t>
  </si>
  <si>
    <t xml:space="preserve">QA0192</t>
  </si>
  <si>
    <t xml:space="preserve">Bagaimana banyak dana milik pemerintah di Indonesia pada tahun 2016?</t>
  </si>
  <si>
    <t xml:space="preserve">Rp 7,04 trillion</t>
  </si>
  <si>
    <t xml:space="preserve">Factual/Numerical, Instruction-following, Format</t>
  </si>
  <si>
    <t xml:space="preserve">Grafik 2.11 (NTT, unlabeled 2016 points): ~5,6 (Tw I), ~6,9 (Tw II), ~5,7 (Tw III), ~2,0 (Tw IV) Rp triliun; no 7,04 shown. Not in text.</t>
  </si>
  <si>
    <t xml:space="preserve">7,04 is not shown; the 2016 peak is about 6,9 (Tw II), and the page shows no single annual figure. The data is NTT, only in the chart (not text), and the answer is in English.</t>
  </si>
  <si>
    <t xml:space="preserve">Bagaimana perkembangan dana pemerintah di perbankan NTT sepanjang tahun 2016?</t>
  </si>
  <si>
    <t xml:space="preserve">Sepanjang 2016 dana pemerintah di perbankan NTT berfluktuasi: sekitar Rp5,6 triliun (Tw I), puncak sekitar Rp6,9 triliun (Tw II), sekitar Rp5,7 triliun (Tw III), lalu turun ke sekitar Rp2,0 triliun (Tw IV).</t>
  </si>
  <si>
    <t xml:space="preserve">QA0193</t>
  </si>
  <si>
    <t xml:space="preserve">Kajian 20Ekonomi 20dan 20Keuangan 20Regional 20Provinsi 20NTT 20Agustus 202018_p046.png</t>
  </si>
  <si>
    <t xml:space="preserve">Bagaimana berdasarkan data, berapa jumlah komoditas inflasi yang dihasilkan oleh provinsi NTT?</t>
  </si>
  <si>
    <t xml:space="preserve">10</t>
  </si>
  <si>
    <t xml:space="preserve">Tabel 3.1 lists 10 komoditas inflasi (Tembang, Beras, Kembung, Daging Ayam Ras, ... Rokok Kretek Filter).</t>
  </si>
  <si>
    <t xml:space="preserve">Count of 10 is correct, but question is garbled ('Bagaimana ... berapa', 'dihasilkan oleh') and answer is a bare number.</t>
  </si>
  <si>
    <t xml:space="preserve">Berdasarkan Tabel 3.1, berapa jumlah komoditas penyumbang inflasi tahunan utama di Provinsi NTT?</t>
  </si>
  <si>
    <t xml:space="preserve">Terdapat 10 komoditas utama penyumbang inflasi tahunan di Provinsi NTT.</t>
  </si>
  <si>
    <t xml:space="preserve">QA0194</t>
  </si>
  <si>
    <t xml:space="preserve">Bagaimana berdasarkan data, berapa jumlah komoditas deflasi yang dihasilkan oleh provinsi NTT?</t>
  </si>
  <si>
    <t xml:space="preserve">Komoditas deflasi yang dihasilkan oleh provinsi NTT adalah 10.</t>
  </si>
  <si>
    <t xml:space="preserve">Tabel 3.1 lists 10 komoditas deflasi (Angkutan Udara, Bawang Putih, ... Ekor Kuning).</t>
  </si>
  <si>
    <t xml:space="preserve">Count 10 is correct but it comes from the table, not text; question wording garbled.</t>
  </si>
  <si>
    <t xml:space="preserve">Berdasarkan Tabel 3.1, berapa jumlah komoditas penyumbang deflasi tahunan utama di Provinsi NTT?</t>
  </si>
  <si>
    <t xml:space="preserve">Terdapat 10 komoditas utama penyumbang deflasi tahunan di Provinsi NTT.</t>
  </si>
  <si>
    <t xml:space="preserve">QA0195</t>
  </si>
  <si>
    <t xml:space="preserve">Bagaimana berdasarkan data, berapa jumlah komoditas inflasi dan deflasi yang dihasilkan oleh provinsi NTT?</t>
  </si>
  <si>
    <t xml:space="preserve">Jumlah komoditas inflasi dan deflasi yang dihasilkan oleh provinsi NTT adalah 10 dan 10.</t>
  </si>
  <si>
    <t xml:space="preserve">Tabel 3.1: 10 komoditas inflasi and 10 komoditas deflasi.</t>
  </si>
  <si>
    <t xml:space="preserve">Answer correct (10 and 10) but evidence is a table, not a chart; question wording garbled.</t>
  </si>
  <si>
    <t xml:space="preserve">Berdasarkan Tabel 3.1, berapa jumlah komoditas penyumbang inflasi dan deflasi utama di Provinsi NTT?</t>
  </si>
  <si>
    <t xml:space="preserve">Masing-masing terdapat 10 komoditas penyumbang inflasi dan 10 komoditas penyumbang deflasi di Provinsi NTT.</t>
  </si>
  <si>
    <t xml:space="preserve">QA0196</t>
  </si>
  <si>
    <t xml:space="preserve">Kajian 20Ekonomi 20dan 20Keuangan 20Regional 20Provinsi 20NTT 20Agustus 202018_p052.png</t>
  </si>
  <si>
    <t xml:space="preserve">Bagaimana perubahan harga pasukan dalam periode April dan Mei 2018?</t>
  </si>
  <si>
    <t xml:space="preserve">Harga pasukan meningkat di bulan April sebesar 0,89% dan meningkat di bulan Mei sebesar 2,23%.</t>
  </si>
  <si>
    <t xml:space="preserve">Reasoning, Typo/Grammar, Unit</t>
  </si>
  <si>
    <t xml:space="preserve">Text: secara bulanan volatile food mengalami deflasi di April sebesar -0,89% (mtm), kembali inflasi Mei 2,23% (mtm) dan Juni 0,87% (mtm).</t>
  </si>
  <si>
    <t xml:space="preserve">April was a deflation (-0,89% mtm), not an increase; 'harga pasukan' is garbled (volatile food).</t>
  </si>
  <si>
    <t xml:space="preserve">Bagaimana perubahan harga kelompok volatile food di NTT pada bulan April dan Mei 2018?</t>
  </si>
  <si>
    <t xml:space="preserve">Volatile food mengalami deflasi -0,89% (mtm) pada April 2018, lalu kembali inflasi 2,23% (mtm) pada Mei 2018.</t>
  </si>
  <si>
    <t xml:space="preserve">QA0197</t>
  </si>
  <si>
    <t xml:space="preserve">Bagaimana perubahan inflasi dalam periode April dan Mei 2018?</t>
  </si>
  <si>
    <t xml:space="preserve">Inflasi pada bulan April sebesar 0,89% dan pada bulan Mei sebesar 2,23%.</t>
  </si>
  <si>
    <t xml:space="preserve">Reasoning, Factual/Numerical, Unit, Instruction-following</t>
  </si>
  <si>
    <t xml:space="preserve">Text: volatile food deflasi April -0,89% (mtm), inflasi Mei 2,23% (mtm). Grafik 3.12 has no value labels.</t>
  </si>
  <si>
    <t xml:space="preserve">The figures are volatile food mtm, not headline inflation, and April is deflation (-0,89%). Values come from text, not chart.</t>
  </si>
  <si>
    <t xml:space="preserve">Bagaimana perubahan inflasi volatile food NTT pada bulan April dan Mei 2018?</t>
  </si>
  <si>
    <t xml:space="preserve">Volatile food mengalami deflasi -0,89% (mtm) pada April 2018 dan inflasi 2,23% (mtm) pada Mei 2018.</t>
  </si>
  <si>
    <t xml:space="preserve">QA0198</t>
  </si>
  <si>
    <t xml:space="preserve">Harga pasukan meningkat 0,89% pada bulan April dan meningkat 2,23% pada bulan Mei.</t>
  </si>
  <si>
    <t xml:space="preserve">Reasoning, Instruction-following, Typo/Grammar, Unit</t>
  </si>
  <si>
    <t xml:space="preserve">Text: volatile food deflasi April -0,89% (mtm), inflasi Mei 2,23% (mtm).</t>
  </si>
  <si>
    <t xml:space="preserve">April was deflation, not increase; garbled 'harga pasukan'; no calculation or chart reading involved.</t>
  </si>
  <si>
    <t xml:space="preserve">Harga volatile food turun (deflasi -0,89% mtm) pada April 2018 dan naik (inflasi 2,23% mtm) pada Mei 2018.</t>
  </si>
  <si>
    <t xml:space="preserve">QA0199</t>
  </si>
  <si>
    <t xml:space="preserve">Kajian 20Ekonomi 20dan 20Keuangan 20Regional 20Provinsi 20NTT 20Agustus 202018_p053.png</t>
  </si>
  <si>
    <t xml:space="preserve">Bagaimana peningkatan harga kembang/gembung/barayar/gembo/Aso-Aso di tahun 2018?</t>
  </si>
  <si>
    <t xml:space="preserve">Tingkat 6,06% (yoy)</t>
  </si>
  <si>
    <t xml:space="preserve">Tabel 3.5: Kembung/Gembung/Banyar/Gembolo/Aso-Aso inflasi 32,83% (yoy), andil 0,30 (sum yoy), Tw II 2018. 6,06% (yoy) is administered prices group inflation.</t>
  </si>
  <si>
    <t xml:space="preserve">6,06% belongs to the administered prices group; kembung inflation was 32,83% yoy. Single-cell lookup, not a calculation; commodity name garbled.</t>
  </si>
  <si>
    <t xml:space="preserve">Berapa inflasi komoditas Kembung/Gembung/Banyar/Gembolo/Aso-Aso di NTT pada triwulan II 2018?</t>
  </si>
  <si>
    <t xml:space="preserve">Inflasi komoditas Kembung/Gembung/Banyar/Gembolo/Aso-Aso sebesar 32,83% (yoy) dengan andil 0,30% (sum yoy).</t>
  </si>
  <si>
    <t xml:space="preserve">QA0200</t>
  </si>
  <si>
    <t xml:space="preserve">Jelaskan bagaimana pemerintah mengelola harga kembang dan kemudian mengurangi biaya transportasi</t>
  </si>
  <si>
    <t xml:space="preserve">Pemerintah meningkatkan harga kembang dan mengurangi biaya transportasi untuk mengurangi biaya pengoperasian dan meningkatkan efisiensi pembayaran.</t>
  </si>
  <si>
    <t xml:space="preserve">Page discusses fish inflation (Tabel 3.5), administered prices deflation due to low transport prices, rokok excise, and no electricity tariff increase; no government policy on fish prices or transport costs.</t>
  </si>
  <si>
    <t xml:space="preserve">Premise (government managing fish prices and cutting transport costs) and answer are not on the page.</t>
  </si>
  <si>
    <t xml:space="preserve">QA0201</t>
  </si>
  <si>
    <t xml:space="preserve">Bagaimana pengelolaan kemodis dalam kota dan daerah di tahun 2018?</t>
  </si>
  <si>
    <t xml:space="preserve">Kemodis dalam kota dan daerah meningkat 2,63% (yoy) pada tahun 2018.</t>
  </si>
  <si>
    <t xml:space="preserve">'Kemodis dalam kota dan daerah' does not exist; 2,63% (yoy) is core (inti) inflation Tw II 2018 in text. No chart on page.</t>
  </si>
  <si>
    <t xml:space="preserve">Question is unintelligible and refers to nothing on the page; answer is an unrelated core inflation figure.</t>
  </si>
  <si>
    <t xml:space="preserve">QA0202</t>
  </si>
  <si>
    <t xml:space="preserve">LAPKEU OJK 2015 audited</t>
  </si>
  <si>
    <t xml:space="preserve">LAPKEU 20OJK 202015 20audited_p013.png</t>
  </si>
  <si>
    <t xml:space="preserve">Jumlah pembayaran gajinya pada bulan Desember 2015 bagi PJK?</t>
  </si>
  <si>
    <t xml:space="preserve">3.651 juta</t>
  </si>
  <si>
    <t xml:space="preserve">Hallucination, Unit</t>
  </si>
  <si>
    <t xml:space="preserve">Page shows only OJK headcount table (Jumlah 3.651 orang at 31 Des 2015); no salary payment amounts. Text only says BI pays gaji of seconded staff.</t>
  </si>
  <si>
    <t xml:space="preserve">Salary payment amounts are not on the page; 3.651 is the number of employees, not Rp juta.</t>
  </si>
  <si>
    <t xml:space="preserve">QA0203</t>
  </si>
  <si>
    <t xml:space="preserve">Bagaimana perubahan jumlah pembayaran gajinya pada bulan Desember 2015 dan 2014?</t>
  </si>
  <si>
    <t xml:space="preserve">Jumlah pembayaran gajinya pada bulan Desember 2015 adalah 3.651 juta, berbanding dengan 3.322 juta pada bulan Desember 2014, meningkat 329 juta</t>
  </si>
  <si>
    <t xml:space="preserve">Table: Jumlah pegawai 3.651 (31 Des 2015) vs 3.323 (31 Des 2014). No salary data on page.</t>
  </si>
  <si>
    <t xml:space="preserve">Question asks about salary payments, which do not exist on the page; the answer relabels headcounts as 'juta' (and misreads 3.323 as 3.322).</t>
  </si>
  <si>
    <t xml:space="preserve">QA0204</t>
  </si>
  <si>
    <t xml:space="preserve">Nomor rekening bank yang digunakan untuk pembayaran gajinya pada bulan Desember 2015?</t>
  </si>
  <si>
    <t xml:space="preserve">Nomor rekening bank adalah 44</t>
  </si>
  <si>
    <t xml:space="preserve">No bank account number anywhere; '44' is from KDK OJK Nomor 44/KDK.02/2014 (budget decree).</t>
  </si>
  <si>
    <t xml:space="preserve">Bank account number for salary is not on the page; answer misuses a decree number.</t>
  </si>
  <si>
    <t xml:space="preserve">QA0205</t>
  </si>
  <si>
    <t xml:space="preserve">LAPKEU 20OJK 202015 20audited_p014.png</t>
  </si>
  <si>
    <t xml:space="preserve">Jumlah keuangan pada tahun 2013, 2014, dan 2015 bagaimana?</t>
  </si>
  <si>
    <t xml:space="preserve">Rp 1,645,293.987.000,00 pada tahun 2013; Rp 2,408,282.840.000,00 pada tahun 2014; Rp 1,745.300.000.000,00 pada tahun 2015.</t>
  </si>
  <si>
    <t xml:space="preserve">Factual/Numerical, Typo/Grammar, Format, Instruction-following</t>
  </si>
  <si>
    <t xml:space="preserve">Tabel pagu sumber pendanaan: Jumlah 2013 Rp1.645.293.987.000; 2014 Rp2.408.282.840.000; 2015 Rp3.754.626.213.485 (APBN 1.745.300.000.000 + pungutan).</t>
  </si>
  <si>
    <t xml:space="preserve">2015 value is only the APBN portion, not the total (jumlah); question vague; mixed separators. Data is from the table, not text.</t>
  </si>
  <si>
    <t xml:space="preserve">Berapa jumlah pagu sumber pendanaan OJK pada tahun 2013, 2014, dan 2015?</t>
  </si>
  <si>
    <t xml:space="preserve">Jumlah pagu pendanaan OJK sebesar Rp1.645.293.987.000 (2013), Rp2.408.282.840.000 (2014), dan Rp3.754.626.213.485 (2015; terdiri dari APBN Rp1.745.300.000.000 dan pungutan Rp2.009.326.213.485).</t>
  </si>
  <si>
    <t xml:space="preserve">QA0206</t>
  </si>
  <si>
    <t xml:space="preserve">Perubahan persenatase keuangan dari tahun 2013 ke tahun 2015 berapa?</t>
  </si>
  <si>
    <t xml:space="preserve">Perubahan persenatase keuangan adalah 54% (100% - 46%).</t>
  </si>
  <si>
    <t xml:space="preserve">Typo/Grammar, Incomplete, Unit, Instruction-following</t>
  </si>
  <si>
    <t xml:space="preserve">Table: porsi APBN 100% (2013) -&gt; 46% (2015); pungutan 54% in 2015. Total pagu 1,645 T -&gt; 3,755 T (+128,2%).</t>
  </si>
  <si>
    <t xml:space="preserve">Garbled/ambiguous question; answer reads as APBN share drop of 54 percentage points but omits direction and pp unit. Table data, no chart.</t>
  </si>
  <si>
    <t xml:space="preserve">Berapa perubahan porsi pendanaan APBN OJK dari tahun 2013 ke tahun 2015?</t>
  </si>
  <si>
    <t xml:space="preserve">Porsi APBN turun 54 poin persen, dari 100% pada 2013 menjadi 46% pada 2015 (sisanya 54% dari pungutan).</t>
  </si>
  <si>
    <t xml:space="preserve">QA0207</t>
  </si>
  <si>
    <t xml:space="preserve">Realisasi dana pada tahun 2015 berapa?</t>
  </si>
  <si>
    <t xml:space="preserve">Rp 1,745.300.000.000,00.</t>
  </si>
  <si>
    <t xml:space="preserve">Text: realisasi dana APBN s.d. 31 Desember 2015 Rp1.728.158.549.000,00 (99,02%); Rp1.745.300.000.000 is the budget (pagu).</t>
  </si>
  <si>
    <t xml:space="preserve">Answer gives the budget amount, not the realization. Source is text, no chart.</t>
  </si>
  <si>
    <t xml:space="preserve">Berapa realisasi dana APBN OJK pada tahun 2015?</t>
  </si>
  <si>
    <t xml:space="preserve">Realisasi dana APBN sampai dengan 31 Desember 2015 sebesar Rp1.728.158.549.000,00 atau 99,02% dari anggaran.</t>
  </si>
  <si>
    <t xml:space="preserve">QA0208</t>
  </si>
  <si>
    <t xml:space="preserve">LAPKEU 20OJK 202015 20audited_p038.png</t>
  </si>
  <si>
    <t xml:space="preserve">Bagaimana jumlah pendapatan Pertarungan pada tanggal 31 Desember 2015?</t>
  </si>
  <si>
    <t xml:space="preserve">Rp5.655.273.293.711,00</t>
  </si>
  <si>
    <t xml:space="preserve">Text &amp; table: Pendapatan OJK s.d. 31 Des 2015 Rp5.655.273.293.711,00 (Pungutan 3.924.646.956.260; APBN 1.730.626.337.451; Lainnya -).</t>
  </si>
  <si>
    <t xml:space="preserve">'Pendapatan Pertarungan' is not a line item (garbled); answer matches total OJK revenue, which is stated in text, so no calculation is needed. If 'Pungutan' was meant, answer would be 3.924.646.956.260.</t>
  </si>
  <si>
    <t xml:space="preserve">Berapa jumlah pendapatan OJK sampai dengan tanggal 31 Desember 2015?</t>
  </si>
  <si>
    <t xml:space="preserve">Pendapatan OJK sampai dengan 31 Desember 2015 sebesar Rp5.655.273.293.711,00.</t>
  </si>
  <si>
    <t xml:space="preserve">QA0209</t>
  </si>
  <si>
    <t xml:space="preserve">Bagaimana perubahan keteranggan pada koreksi saldo awal pendapatan diregulasi diantara periode 31 Desember 2014 dan 31 Desember 2015?</t>
  </si>
  <si>
    <t xml:space="preserve">Koreksi saldo awal pendapatan diregulasi mengurangi sebesar 24.598.105 rupiah</t>
  </si>
  <si>
    <t xml:space="preserve">Perubahan Aset Neto table: Reklas saldo awal Pendapatan Diterima Dimuka 10.568.268.678 (2015), - (2014); (24.598.105) is Koreksi Piutang Lain-lain.</t>
  </si>
  <si>
    <t xml:space="preserve">Question is garbled; no 'koreksi saldo awal pendapatan diregulasi'. Answer takes the Koreksi Piutang Lain-lain row. Closest item is the reclass of unearned revenue opening balance. Evidence is a table.</t>
  </si>
  <si>
    <t xml:space="preserve">Berapa nilai reklas saldo awal Pendapatan Diterima Dimuka ke Kas yang dibatasi penggunaannya pada 31 Desember 2015 dibandingkan 31 Desember 2014?</t>
  </si>
  <si>
    <t xml:space="preserve">Reklas saldo awal Pendapatan Diterima Dimuka ke Kas yang dibatasi penggunaannya sebesar Rp10.568.268.678 pada 31 Desember 2015, sedangkan pada 31 Desember 2014 tidak ada (nihil).</t>
  </si>
  <si>
    <t xml:space="preserve">QA0210</t>
  </si>
  <si>
    <t xml:space="preserve">Bagaimana jumlah pendapatan pada tanggal 31 Desember 2014?</t>
  </si>
  <si>
    <t xml:space="preserve">Rp4.179.633.938.717,00</t>
  </si>
  <si>
    <t xml:space="preserve">Text: Pendapatan OJK s.d. 31 Des 2014 Rp4.179.633.938.717,00 (also table Jumlah 2014). No chart on page.</t>
  </si>
  <si>
    <t xml:space="preserve">Value correct, but page has no chart; the figure is stated in text.</t>
  </si>
  <si>
    <t xml:space="preserve">Pendapatan OJK sampai dengan 31 Desember 2014 sebesar Rp4.179.633.938.717,00.</t>
  </si>
  <si>
    <t xml:space="preserve">QA0211</t>
  </si>
  <si>
    <t xml:space="preserve">LAPKEU 20OJK 202015 20audited_p039.png</t>
  </si>
  <si>
    <t xml:space="preserve">Pada tanggal 31 Desember 2015, berapa nilai total jumlah pembayaran Pendapatan APBN dan Pendapatan Lainnya?</t>
  </si>
  <si>
    <t xml:space="preserve">Rp3,634.649.516.341,00</t>
  </si>
  <si>
    <t xml:space="preserve">Tabel Pendapatan APBN: Jumlah Rp1.730.626.337.451; text: 2015 tidak terdapat Pendapatan Lainnya. Rp3.634.649.516.341 is total Beban 31 Des 2015.</t>
  </si>
  <si>
    <t xml:space="preserve">Answer gives total expenses (beban), not revenue. APBN revenue 1.730.626.337.451 + other revenue 0 = Rp1.730.626.337.451. Number formatting is also mixed.</t>
  </si>
  <si>
    <t xml:space="preserve">Pada tanggal 31 Desember 2015, berapa total Pendapatan APBN dan Pendapatan Lainnya OJK?</t>
  </si>
  <si>
    <t xml:space="preserve">Rp1.730.626.337.451, seluruhnya berasal dari Pendapatan APBN (pencairan dana APBN Rp1.728.158.549.000 dan jasa giro Rp2.467.788.451); pada 2015 tidak terdapat Pendapatan Lainnya.</t>
  </si>
  <si>
    <t xml:space="preserve">QA0212</t>
  </si>
  <si>
    <t xml:space="preserve">Bagaimana berubah nilai total pembayaran dari 31 Desember 2014 ke 31 Desember 2015?</t>
  </si>
  <si>
    <t xml:space="preserve">Pada tanggal 31 Desember 2015, nilai total pembayaran menjadi Rp2.576.890.361.791,00 yang lebih tinggi dari 31 Desember 2014</t>
  </si>
  <si>
    <t xml:space="preserve">Factual/Numerical, Temporal, Incomplete</t>
  </si>
  <si>
    <t xml:space="preserve">Beban table/text: Jumlah 31 Des 2015 Rp3.634.649.516.341; 31 Des 2014 Rp2.576.890.361.791.</t>
  </si>
  <si>
    <t xml:space="preserve">Rp2.576.890.361.791 is the 2014 value, not 2015. 2015 total is Rp3.634.649.516.341, up Rp1.057.759.154.550 (~41,05%). 'Pembayaran' should be 'beban'.</t>
  </si>
  <si>
    <t xml:space="preserve">Bagaimana perubahan jumlah beban OJK dari 31 Desember 2014 ke 31 Desember 2015?</t>
  </si>
  <si>
    <t xml:space="preserve">Jumlah beban naik dari Rp2.576.890.361.791 (2014) menjadi Rp3.634.649.516.341 (2015), bertambah sekitar Rp1.057,76 miliar atau 41,05%.</t>
  </si>
  <si>
    <t xml:space="preserve">QA0213</t>
  </si>
  <si>
    <t xml:space="preserve">Pada tanggal 31 Desember 2015, bagaimana berubah nilai total pembayaran dari Pendapatan APBN?</t>
  </si>
  <si>
    <t xml:space="preserve">Pada tanggal 31 Desember 2015, nilai total pembayaran dari Pendapatan APBN menjadi Rp3.634.649.516.341,00</t>
  </si>
  <si>
    <t xml:space="preserve">Tabel Pendapatan APBN: Pencairan Dana APBN 1.728.158.549.000 + Jasa giro 2.467.788.451 = Jumlah 1.730.626.337.451. No 2014 value for APBN revenue.</t>
  </si>
  <si>
    <t xml:space="preserve">Answer gives total expenses (3.634.649.516.341) instead of APBN revenue (Rp1.730.626.337.451); 'berubah' cannot be answered (no prior year). Figure is from the table.</t>
  </si>
  <si>
    <t xml:space="preserve">Berapa jumlah Pendapatan APBN OJK pada tanggal 31 Desember 2015?</t>
  </si>
  <si>
    <t xml:space="preserve">Pendapatan APBN per 31 Desember 2015 sebesar Rp1.730.626.337.451, terdiri dari pencairan dana APBN Rp1.728.158.549.000 dan jasa giro rekening dana APBN Rp2.467.788.451.</t>
  </si>
  <si>
    <t xml:space="preserve">QA0214</t>
  </si>
  <si>
    <t xml:space="preserve">LAPORAN KEUANGAN TAHUN 2020 (AUDITED)</t>
  </si>
  <si>
    <t xml:space="preserve">LAPORAN 20KEUANGAN 20TAHUN 202020 20(AUDITED)_p017.png</t>
  </si>
  <si>
    <t xml:space="preserve">Jumlah pembayaran APBN pada tahun 2013 dan 2014 berapa?</t>
  </si>
  <si>
    <t xml:space="preserve">Rp 3,094,543,287,000</t>
  </si>
  <si>
    <t xml:space="preserve">Calculation, Instruction-following</t>
  </si>
  <si>
    <t xml:space="preserve">Tabel sumber pendanaan: APBN 2013 Rp1.645.293.987.000; 2014 Rp2.408.282.840.000; sum Rp4.053.576.827.000. No chart.</t>
  </si>
  <si>
    <t xml:space="preserve">Sum is wrong (3.094.543.287.000 not derivable); correct total is Rp4.053.576.827.000. Data is a table, not a chart.</t>
  </si>
  <si>
    <t xml:space="preserve">Berapa jumlah anggaran OJK dari APBN pada tahun 2013 dan 2014?</t>
  </si>
  <si>
    <t xml:space="preserve">Rp4.053.576.827.000 (2013: Rp1.645.293.987.000 + 2014: Rp2.408.282.840.000).</t>
  </si>
  <si>
    <t xml:space="preserve">QA0215</t>
  </si>
  <si>
    <t xml:space="preserve">Kuantitas pembayaran OJK pada tahun 2019 dan 2020 berapa?</t>
  </si>
  <si>
    <t xml:space="preserve">Tahun 2019: 3,631, Tahun 2020: 3,731</t>
  </si>
  <si>
    <t xml:space="preserve">3.631 (2019) and 3.731 (2020) are Pegawai Tetap counts. Funding table: pungutan 2019 Rp5.529.742.476.307; 2020 Rp5.992.017.790.800.</t>
  </si>
  <si>
    <t xml:space="preserve">Answer gives permanent-employee counts, not OJK funding/payments; the relevant values are in the funding table. Question wording 'kuantitas pembayaran' is garbled.</t>
  </si>
  <si>
    <t xml:space="preserve">Berapa jumlah pendanaan OJK dari pungutan pada tahun 2019 dan 2020?</t>
  </si>
  <si>
    <t xml:space="preserve">Tahun 2019: Rp5.529.742.476.307; tahun 2020: Rp5.992.017.790.800 (100% dari pungutan).</t>
  </si>
  <si>
    <t xml:space="preserve">QA0216</t>
  </si>
  <si>
    <t xml:space="preserve">Persentase pembayaran APBN pada tahun 2015 berapa?</t>
  </si>
  <si>
    <t xml:space="preserve">46 %</t>
  </si>
  <si>
    <t xml:space="preserve">Funding table 2015: APBN Rp1.745.300.000.000 = 46%; Pungutan 54%.</t>
  </si>
  <si>
    <t xml:space="preserve">46% is correct, but this is a single table-cell lookup, not a chart (no exact label; table label suggested).</t>
  </si>
  <si>
    <t xml:space="preserve">Berapa persentase anggaran OJK yang bersumber dari APBN pada tahun 2015?</t>
  </si>
  <si>
    <t xml:space="preserve">46% (Rp1.745.300.000.000), sisanya 54% dari pungutan.</t>
  </si>
  <si>
    <t xml:space="preserve">QA0217</t>
  </si>
  <si>
    <t xml:space="preserve">LAPORAN 20KEUANGAN 20TAHUN 202020 20(AUDITED)_p048.png</t>
  </si>
  <si>
    <t xml:space="preserve">Penggunaan sumber daya perusahaan pada tahun 2020 berapa?</t>
  </si>
  <si>
    <t xml:space="preserve">Rp15.677.466.268,00</t>
  </si>
  <si>
    <t xml:space="preserve">Tabel mutasi persediaan 2020: Saldo 31 Des 2019 Rp15.677.466.268; Beban Persediaan (usage) Rp17.038.767.555; Pembelian Rp23.547.503.971.</t>
  </si>
  <si>
    <t xml:space="preserve">Vague question; answer gives the 31 Dec 2019 opening balance, not 2020 usage. Inventory used in 2020 (Beban Persediaan) is Rp17.038.767.555. Single lookup, no comparison/sorting.</t>
  </si>
  <si>
    <t xml:space="preserve">Berapa beban persediaan (persediaan yang digunakan) OJK pada tahun 2020?</t>
  </si>
  <si>
    <t xml:space="preserve">Beban persediaan tahun 2020 sebesar Rp17.038.767.555.</t>
  </si>
  <si>
    <t xml:space="preserve">QA0218</t>
  </si>
  <si>
    <t xml:space="preserve">Bagaimana perubahan nilai saldo persediaan dari tahun 2019 ke 2020?</t>
  </si>
  <si>
    <t xml:space="preserve">Saldo persediaan pada 31 Desember 2020 adalah Rp22.018.773.994,00 dan pada 31 Desember 2019 adalah Rp22.186.202.684,00</t>
  </si>
  <si>
    <t xml:space="preserve">Factual/Numerical, Calculation</t>
  </si>
  <si>
    <t xml:space="preserve">Saldo persediaan 31 Des 2019 Rp15.677.466.268; 31 Des 2020 Rp22.186.202.684 (text and mutasi table). 22.018.773.994 = portion financed by Pungutan.</t>
  </si>
  <si>
    <t xml:space="preserve">Both balances wrong (2020 uses the Pungutan-financed portion; 2019 uses the 2020 total) and the change is not computed. Correct increase is Rp6.508.736.416.</t>
  </si>
  <si>
    <t xml:space="preserve">Saldo persediaan naik dari Rp15.677.466.268 (31 Desember 2019) menjadi Rp22.186.202.684 (31 Desember 2020), atau bertambah Rp6.508.736.416.</t>
  </si>
  <si>
    <t xml:space="preserve">QA0219</t>
  </si>
  <si>
    <t xml:space="preserve">Bagaimana pembelian persediaan di tahun 2020?</t>
  </si>
  <si>
    <t xml:space="preserve">Rp1.957.248.891,00</t>
  </si>
  <si>
    <t xml:space="preserve">Mutasi persediaan 2020 table: Pembelian Persediaan Rp23.547.503.971. Rp1.957.248.891 is Kantor Regional inventory location.</t>
  </si>
  <si>
    <t xml:space="preserve">Wrong row: answer is Kantor Regional inventory balance, not purchases. Value is in a table, not running text.</t>
  </si>
  <si>
    <t xml:space="preserve">Pembelian persediaan pada tahun 2020 sebesar Rp23.547.503.971.</t>
  </si>
  <si>
    <t xml:space="preserve">QA0220</t>
  </si>
  <si>
    <t xml:space="preserve">LAPORAN 20KEUANGAN 20TAHUN 202020 20(AUDITED)_p050.png</t>
  </si>
  <si>
    <t xml:space="preserve">Bagaimana saldo Beban Dibayar Dimuka pada 31 Desember 2020 dan 31 Desember 2019?</t>
  </si>
  <si>
    <t xml:space="preserve">Saldo Beban Dibayar Dimuka pada 31 Desember 2020 adalah Rp85.568.345.511,00 dan pada 31 Desember 2019 adalah Rp356.626.494.298.</t>
  </si>
  <si>
    <t xml:space="preserve">Text + table 3.5: Saldo Beban Dibayar Dimuka 31 Des 2020 Rp85.568.345.511,00; 31 Des 2019 Rp356.626.494.298,00.</t>
  </si>
  <si>
    <t xml:space="preserve">Values correct, but this is a direct lookup stated in text (and table total), not a comparison/sorting task.</t>
  </si>
  <si>
    <t xml:space="preserve">Saldo Beban Dibayar Dimuka per 31 Desember 2020 sebesar Rp85.568.345.511,00 dan per 31 Desember 2019 sebesar Rp356.626.494.298,00.</t>
  </si>
  <si>
    <t xml:space="preserve">QA0221</t>
  </si>
  <si>
    <t xml:space="preserve">Bagaimana banyaknya aset hak guna pada periode 1 Januari 2020 s/d 31 Desember 2020?</t>
  </si>
  <si>
    <t xml:space="preserve">Aset hak guna pada periode 1 Januari 2020 s/d 31 Desember 2020 adalah Rp340.133.665.496,00.</t>
  </si>
  <si>
    <t xml:space="preserve">Text: Pengukuran Aset Hak Guna per 1 Januari 2020 sebesar Rp340.133.665.496,00; mutasi table: Reklasifikasi per 1 Januari 2020 ke Aset Hak Guna. No chart.</t>
  </si>
  <si>
    <t xml:space="preserve">Value correct but it is the right-of-use asset measured as of 1 January 2020 (reclassification), not over the full year; no chart or calculation involved.</t>
  </si>
  <si>
    <t xml:space="preserve">Berapa pengukuran Aset Hak Guna per 1 Januari 2020 yang berasal dari reklasifikasi sewa dibayar dimuka?</t>
  </si>
  <si>
    <t xml:space="preserve">Rp340.133.665.496,00.</t>
  </si>
  <si>
    <t xml:space="preserve">QA0222</t>
  </si>
  <si>
    <t xml:space="preserve">Bagaimana banyaknya aset pembelian pada periode 31 Desember 2019?</t>
  </si>
  <si>
    <t xml:space="preserve">Aset pembelian pada periode 31 Desember 2019 adalah Rp259.008.534.428.</t>
  </si>
  <si>
    <t xml:space="preserve">Table 3.5: Sewa Kantor 31 Des 2019 = 259.008.534.428. No item named 'aset pembelian' on the page.</t>
  </si>
  <si>
    <t xml:space="preserve">259.008.534.428 is prepaid office rent (Sewa Kantor) at 31 Dec 2019, not 'aset pembelian'; misattributed entity. Pure single-cell lookup, no calculation.</t>
  </si>
  <si>
    <t xml:space="preserve">Berapa saldo beban dibayar dimuka untuk Sewa Kantor per 31 Desember 2019?</t>
  </si>
  <si>
    <t xml:space="preserve">Rp259.008.534.428.</t>
  </si>
  <si>
    <t xml:space="preserve">QA0223</t>
  </si>
  <si>
    <t xml:space="preserve">LAPORAN 20KEUANGAN 20TAHUN 202020 20(AUDITED)_p057.png</t>
  </si>
  <si>
    <t xml:space="preserve">Jumlah nilai aset hak guna pada tanggal 31 Desember 2020 berapa?</t>
  </si>
  <si>
    <t xml:space="preserve">Rp189.810.211.020,00</t>
  </si>
  <si>
    <t xml:space="preserve">Text 3.8: Saldo Nilai Buku Aset Hak Guna per 31 Desember 2020 sebesar Rp189.810.211.020,00.</t>
  </si>
  <si>
    <t xml:space="preserve">Correct, matches the text and the table total.</t>
  </si>
  <si>
    <t xml:space="preserve">QA0224</t>
  </si>
  <si>
    <t xml:space="preserve">Bagaimana aset hak guna pada tanggal 31 Desember 2019 berbeda dengan tanggal 31 Desember 2020?</t>
  </si>
  <si>
    <t xml:space="preserve">Tanggal 31 Desember 2020: Rp189.810.211.020,00; Tanggal 31 Desember 2019: Rp161.401</t>
  </si>
  <si>
    <t xml:space="preserve">Text/table: Aset Hak Guna 31 Des 2019 = Rp0,00 ('-'); 31 Des 2020 = Rp189.810.211.020,00. 161.401 is a fragment of 7.998.161.401 (penyusutan Rumah Jabatan).</t>
  </si>
  <si>
    <t xml:space="preserve">The 2019 balance was Rp0 (the asset arose in 2020 under PSAK 73), not Rp161.401.</t>
  </si>
  <si>
    <t xml:space="preserve">Aset hak guna per 31 Desember 2019 sebesar Rp0,00, sedangkan per 31 Desember 2020 sebesar Rp189.810.211.020,00, sehingga seluruh saldo aset hak guna baru muncul pada tahun 2020.</t>
  </si>
  <si>
    <t xml:space="preserve">QA0225</t>
  </si>
  <si>
    <t xml:space="preserve">Bagaimana aset hak guna pada tanggal 31 Desember 2020 dibagi dengan aset hak guna pada tanggal 31 Desember 2019?</t>
  </si>
  <si>
    <t xml:space="preserve">Rp189.810.211.020,00 dibagi dengan Rp161.401 adalah 1,184.99</t>
  </si>
  <si>
    <t xml:space="preserve">Aset Hak Guna 31 Des 2019 = Rp0,00; 31 Des 2020 = Rp189.810.211.020,00 (text and table). No chart.</t>
  </si>
  <si>
    <t xml:space="preserve">The 2019 value is Rp0, not Rp161.401, so the ratio is undefined, and 1,184.99 is wrong either way. The source is a table/text, not a chart.</t>
  </si>
  <si>
    <t xml:space="preserve">Rasio tidak dapat dihitung karena saldo aset hak guna per 31 Desember 2019 adalah Rp0,00; saldo per 31 Desember 2020 sebesar Rp189.810.211.020,00 seluruhnya merupakan penambahan tahun 2020.</t>
  </si>
  <si>
    <t xml:space="preserve">QA0226</t>
  </si>
  <si>
    <t xml:space="preserve">LAPORAN 20KEUANGAN 20TAHUN 202020 20(AUDITED)_p058.png</t>
  </si>
  <si>
    <t xml:space="preserve">Berapa nilai aset takberwujud pada tanggal 31 Desember 2019?</t>
  </si>
  <si>
    <t xml:space="preserve">Rp71.890.826.573,00</t>
  </si>
  <si>
    <t xml:space="preserve">Text/table: saldo nilai buku Aset Takberwujud 31 Des 2020 Rp71.890.826.573,00; 31 Des 2019 Rp88.817.745.651,00.</t>
  </si>
  <si>
    <t xml:space="preserve">Rp71.890.826.573 is the 31 Dec 2020 value; 31 Dec 2019 book value is Rp88.817.745.651,00.</t>
  </si>
  <si>
    <t xml:space="preserve">Saldo nilai buku Aset Takberwujud per 31 Desember 2019 sebesar Rp88.817.745.651,00.</t>
  </si>
  <si>
    <t xml:space="preserve">QA0227</t>
  </si>
  <si>
    <t xml:space="preserve">Bagaimana nilai aset takberwujud pada tanggal 31 Desember 2020?</t>
  </si>
  <si>
    <t xml:space="preserve">Rp334.523.862.820,00</t>
  </si>
  <si>
    <t xml:space="preserve">Instruction-following, Incomplete</t>
  </si>
  <si>
    <t xml:space="preserve">Table: harga perolehan 31 Des 2020 = 334.523.862.820; saldo nilai buku (text) 31 Des 2020 = Rp71.890.826.573,00.</t>
  </si>
  <si>
    <t xml:space="preserve">334,52 M is the gross acquisition cost, not the book value stated in text; must specify. No chart on page.</t>
  </si>
  <si>
    <t xml:space="preserve">Berapa harga perolehan dan nilai buku Aset Takberwujud pada tanggal 31 Desember 2020?</t>
  </si>
  <si>
    <t xml:space="preserve">Harga perolehan Aset Takberwujud per 31 Desember 2020 sebesar Rp334.523.862.820,00, dengan saldo nilai buku sebesar Rp71.890.826.573,00.</t>
  </si>
  <si>
    <t xml:space="preserve">QA0228</t>
  </si>
  <si>
    <t xml:space="preserve">Bagaimana banyak aset takberwujud pada tanggal 31 Desember 2019?</t>
  </si>
  <si>
    <t xml:space="preserve">306.497.584.624,00</t>
  </si>
  <si>
    <t xml:space="preserve">Instruction-following, Unit, Typo/Grammar</t>
  </si>
  <si>
    <t xml:space="preserve">Table: harga perolehan 31 Des 2019 = 306.497.584.624; nilai buku 31 Des 2019 = Rp88.817.745.651,00 (text &amp; table).</t>
  </si>
  <si>
    <t xml:space="preserve">306,50 M is gross acquisition cost only, no 'Rp'; garbled question; the book value is in text. No chart on page.</t>
  </si>
  <si>
    <t xml:space="preserve">Berapa harga perolehan dan nilai buku Aset Takberwujud pada tanggal 31 Desember 2019?</t>
  </si>
  <si>
    <t xml:space="preserve">Harga perolehan Aset Takberwujud per 31 Desember 2019 sebesar Rp306.497.584.624,00, dengan saldo nilai buku Rp88.817.745.651,00.</t>
  </si>
  <si>
    <t xml:space="preserve">QA0229</t>
  </si>
  <si>
    <t xml:space="preserve">LAPORAN 20KEUANGAN 20TAHUN 202020 20(AUDITED)_p069.png</t>
  </si>
  <si>
    <t xml:space="preserve">Jumlah penempatan pada YKR pada periode 31 Desember 2019 berapa?</t>
  </si>
  <si>
    <t xml:space="preserve">1,571,084,484,181</t>
  </si>
  <si>
    <t xml:space="preserve">Penempatan pada YKP table shows only 'Per 31 Desember 2020' (Jumlah 1.571.084.484.181). No 31 Desember 2019 figure on page.</t>
  </si>
  <si>
    <t xml:space="preserve">The 2019 placement amount is not on the page; the answer is the 2020 total. 'YKR' is a typo for YKP.</t>
  </si>
  <si>
    <t xml:space="preserve">QA0230</t>
  </si>
  <si>
    <t xml:space="preserve">Saldo Utang Sewa pada periode 31 Desember 2020 berapa?</t>
  </si>
  <si>
    <t xml:space="preserve">Rp6,650,628,761,00</t>
  </si>
  <si>
    <t xml:space="preserve">Text 3.17: Saldo Utang Sewa per 31 Desember 2020 Rp53.567.094.220,00 (2019: Rp0,00). Beban bunga sewa 2020 Rp2.650.628.761,00.</t>
  </si>
  <si>
    <t xml:space="preserve">Answer is a garbled version of the interest expense, not the lease liability balance; value is in text, not a table comparison.</t>
  </si>
  <si>
    <t xml:space="preserve">Saldo Utang Sewa per 31 Desember 2020 sebesar Rp53.567.094.220,00.</t>
  </si>
  <si>
    <t xml:space="preserve">QA0231</t>
  </si>
  <si>
    <t xml:space="preserve">Penggunaan penerapan awal PSAK 73 pada periode 31 Desember 2019 berapa?</t>
  </si>
  <si>
    <t xml:space="preserve">Tidak ada</t>
  </si>
  <si>
    <t xml:space="preserve">Text 3.17: PSAK 73 diterapkan mulai 1 Januari 2020; Saldo Utang Sewa 31 Desember 2019 Rp0,00. No chart.</t>
  </si>
  <si>
    <t xml:space="preserve">'Tidak ada' is essentially right (PSAK 73 not yet applied; lease liability Rp0), but question is garbled, answer lacks support and evidence is text not chart.</t>
  </si>
  <si>
    <t xml:space="preserve">Berapa saldo Utang Sewa per 31 Desember 2019, sebelum penerapan awal PSAK 73?</t>
  </si>
  <si>
    <t xml:space="preserve">Rp0,00, karena PSAK 73 baru diterapkan mulai 1 Januari 2020.</t>
  </si>
  <si>
    <t xml:space="preserve">QA0232</t>
  </si>
  <si>
    <t xml:space="preserve">LAPORAN 20KEUANGAN 20TAHUN 202020 20(AUDITED)_p070.png</t>
  </si>
  <si>
    <t xml:space="preserve">Bagaimana berubah nilai aset pada periode 31 Desember 2020 dan 31 Desember 2019?</t>
  </si>
  <si>
    <t xml:space="preserve">Jumlah aset pada periode 31 Desember 2020 adalah Rp33,228,180,329,00, sedangkan pada periode 31 Desember 2019 adalah Rp191,722,160,255,00.</t>
  </si>
  <si>
    <t xml:space="preserve">Table 'Jumlah' row: (33.228.180.329) at 31 Des 2020 and (191.722.160.255) at 31 Des 2019 - totals of koreksi/penyesuaian (negative), not total aset.</t>
  </si>
  <si>
    <t xml:space="preserve">Figures are the (negative) totals of corrections/adjustments, not asset values; the negative sign and correct meaning are missing.</t>
  </si>
  <si>
    <t xml:space="preserve">Bagaimana perbandingan jumlah koreksi pada tabel antara 31 Desember 2020 dan 31 Desember 2019?</t>
  </si>
  <si>
    <t xml:space="preserve">Jumlah koreksi sebesar (Rp33.228.180.329) pada 31 Desember 2020, lebih kecil dibanding (Rp191.722.160.255) pada 31 Desember 2019.</t>
  </si>
  <si>
    <t xml:space="preserve">QA0233</t>
  </si>
  <si>
    <t xml:space="preserve">Bagaimana perubahan nilai aset dari BPHTB Kantor OJK Solo dan KR 4 Jawa Timur masing-masing?</t>
  </si>
  <si>
    <t xml:space="preserve">BPHTB Kantor OJK Solo meningkat Rp2,642,812,675,00, dan KR 4 Jawa Timur meningkat Rp7,697,000,000,00.</t>
  </si>
  <si>
    <t xml:space="preserve">Row 4: Koreksi Utang BPHTB KOJK Solo 7.534.500.000; Row 8: Koreksi Utang BPHTB KR 4 Jawa Timur 10.571.250.700 (31 Des 2020). 2.642.812.675 is row 9; 7.697.000.000 is KR 3 (text b).</t>
  </si>
  <si>
    <t xml:space="preserve">Values misattributed (row 9 and KR 3 figures), and these are corrections to BPHTB liabilities (utang), not asset changes; simple lookup, not calculation.</t>
  </si>
  <si>
    <t xml:space="preserve">Berapa koreksi utang BPHTB KOJK Solo dan KR 4 Jawa Timur per 31 Desember 2020?</t>
  </si>
  <si>
    <t xml:space="preserve">Koreksi utang BPHTB KOJK Solo sebesar Rp7.534.500.000 dan koreksi utang BPHTB KR 4 Jawa Timur sebesar Rp10.571.250.700 (disetujui sebagian pembebasan kewajiban).</t>
  </si>
  <si>
    <t xml:space="preserve">QA0234</t>
  </si>
  <si>
    <t xml:space="preserve">Bagaimana penyuaian aset pada periode 31 Desember 2020?</t>
  </si>
  <si>
    <t xml:space="preserve">Penyuaian aset pada periode 31 Desember 2020 adalah Rp57,263,993,354,00, melibatkan penyuaian sehubungan dengan perusahaan Pendapatan Daerah Kota Semarang dan Keterekanan Pembebasan dan Penjelasan Pembebasan.</t>
  </si>
  <si>
    <t xml:space="preserve">Factual/Numerical, Reasoning, Typo/Grammar</t>
  </si>
  <si>
    <t xml:space="preserve">Text a: penyesuaian penerapan PSAK 71 Instrumen Keuangan Rp57.263.993.354,00. Text b: surat Bapenda Kota Semarang -&gt; pembebasan utang BPHTB KR 3 Jateng &amp; DIY Rp7.697.000.000,00.</t>
  </si>
  <si>
    <t xml:space="preserve">Rp57,26 miliar is the PSAK 71 financial-instrument adjustment, unrelated to the Semarang BPHTB exemption; answer conflates items a and b and garbles names.</t>
  </si>
  <si>
    <t xml:space="preserve">Berapa penyesuaian sehubungan dengan penerapan PSAK 71 Instrumen Keuangan?</t>
  </si>
  <si>
    <t xml:space="preserve">Penyesuaian sehubungan dengan penerapan PSAK 71 Instrumen Keuangan sebesar Rp57.263.993.354,00.</t>
  </si>
  <si>
    <t xml:space="preserve">QA0235</t>
  </si>
  <si>
    <t xml:space="preserve">LAPORAN 20KEUANGAN 20TAHUN 202020 20(AUDITED)_p071.png</t>
  </si>
  <si>
    <t xml:space="preserve">Bagaimana perubahan pendapatan Pungutan pada 31 Desember 2020 dan 31 Desember 2019?</t>
  </si>
  <si>
    <t xml:space="preserve">Pendapatan Pungutan meningkat dari Rp6,027.949,391.897,00 menjadi Rp6,244,133,737,745,00</t>
  </si>
  <si>
    <t xml:space="preserve">Text &amp; table 3.19 Jumlah: Rp6.244.133.737.745 (31 Des 2020) vs Rp6.027.949.391.897 (31 Des 2019); +Rp216,18 miliar (+3,59%).</t>
  </si>
  <si>
    <t xml:space="preserve">Direction and digits are correct, but the numbers use garbled mixed separators (Rp6,027.949,391.897,00).</t>
  </si>
  <si>
    <t xml:space="preserve">Pendapatan Pungutan meningkat dari Rp6.027.949.391.897 (31 Desember 2019) menjadi Rp6.244.133.737.745 (31 Desember 2020), naik sekitar Rp216,18 miliar atau 3,59%.</t>
  </si>
  <si>
    <t xml:space="preserve">QA0236</t>
  </si>
  <si>
    <t xml:space="preserve">Bagaimana perubahan pendapatan Biaya Registrasi dan Akses di antara periode?</t>
  </si>
  <si>
    <t xml:space="preserve">Pendapatan Biaya Registrasi dan Akses meningkat dari Rp5,589.290.333,765,00 menjadi Rp5,796.941.830,043,00</t>
  </si>
  <si>
    <t xml:space="preserve">Table 3.19 row 1 'Pendapatan Biaya Registrasi dan Aksi Korporasi': Rp53.805.913.094 (2020) vs Rp53.487.861.598 (2019). Values in answer resemble Biaya Tahunan (5.891.290.333.765 / 5.596.941.830.043).</t>
  </si>
  <si>
    <t xml:space="preserve">Answer uses garbled Biaya Tahunan figures instead of the registration row; 'Akses' should be 'Aksi Korporasi'; periods unspecified; source is a table, not a chart.</t>
  </si>
  <si>
    <t xml:space="preserve">Bagaimana perubahan Pendapatan Biaya Registrasi dan Aksi Korporasi antara 31 Desember 2019 dan 31 Desember 2020?</t>
  </si>
  <si>
    <t xml:space="preserve">Pendapatan Biaya Registrasi dan Aksi Korporasi meningkat tipis dari Rp53.487.861.598 (2019) menjadi Rp53.805.913.094 (2020), naik sekitar Rp318 juta (0,59%).</t>
  </si>
  <si>
    <t xml:space="preserve">QA0237</t>
  </si>
  <si>
    <t xml:space="preserve">Bagaimana perubahan beban Kegiatan Operasional pada periode?</t>
  </si>
  <si>
    <t xml:space="preserve">Beban Kegiatan Operasional meningkat dari Rp245.934.412,380 menjadi Rp470.357.727,971</t>
  </si>
  <si>
    <t xml:space="preserve">Reasoning, Temporal, Format</t>
  </si>
  <si>
    <t xml:space="preserve">Text/table 3.20: Beban Kegiatan Operasional Rp245.934.412.380 (2020) vs Rp470.357.727.971 (2019).</t>
  </si>
  <si>
    <t xml:space="preserve">Direction reversed: expense fell from Rp470,36 miliar (2019) to Rp245,93 miliar (2020), not increased; periods not stated and separators garbled.</t>
  </si>
  <si>
    <t xml:space="preserve">Bagaimana perubahan beban Kegiatan Operasional OJK dari 2019 ke 2020?</t>
  </si>
  <si>
    <t xml:space="preserve">Beban Kegiatan Operasional turun dari Rp470.357.727.971 pada 31 Desember 2019 menjadi Rp245.934.412.380 pada 31 Desember 2020 (turun sekitar 47,7%).</t>
  </si>
  <si>
    <t xml:space="preserve">QA0238</t>
  </si>
  <si>
    <t xml:space="preserve">LAPORAN 20KEUANGAN 20TAHUN 202020 20(AUDITED)_p078.png</t>
  </si>
  <si>
    <t xml:space="preserve">Jumlah perkara yang telah dikeluarkan oleh OJK pada tanggal 31 Desember 2020</t>
  </si>
  <si>
    <t xml:space="preserve">334</t>
  </si>
  <si>
    <t xml:space="preserve">Instruction-following, Typo/Grammar, Format</t>
  </si>
  <si>
    <t xml:space="preserve">Text 3.24: sepanjang 2020 OJK menghadapi 334 perkara s.d. 31 Desember 2020; table Jumlah 334 perkara.</t>
  </si>
  <si>
    <t xml:space="preserve">334 is correct but stated in text/table, no chart or calculation; 'dikeluarkan' misstates (perkara dihadapi); bare number.</t>
  </si>
  <si>
    <t xml:space="preserve">Berapa jumlah perkara hukum yang dihadapi OJK sampai dengan 31 Desember 2020?</t>
  </si>
  <si>
    <t xml:space="preserve">OJK menghadapi 334 perkara hukum sepanjang tahun 2020 (s.d. 31 Desember 2020).</t>
  </si>
  <si>
    <t xml:space="preserve">QA0239</t>
  </si>
  <si>
    <t xml:space="preserve">Bagaimana perkara yang telah dikeluarkan oleh OJK pada tahun 2020 dibagi antara kantor regional?</t>
  </si>
  <si>
    <t xml:space="preserve">Kantor Regional 1 DKI Jakarta: 61 perkara, Kantor Regional 2 Jawa Barat: 35 perkara, Kantor Regional 3 Jawa Tengah dan DIY: 24 perkara, Kantor Regional 4 Jawa Timur: 10 perkara, Kantor Regional 5 Sumatera Bagian Utara: 12 perkara, Kantor Regional 6 Sulawesi, Maluku, dan Papua: 26 perkara, Kantor Regional 7 Sumatera Bagian Selatan: 26 perkara, Kantor Regional 8 Bali dan Nusa Tenggara: 10 perkara, Kantor Regional 9 Kalimantan: 10 perkara</t>
  </si>
  <si>
    <t xml:space="preserve">Table: KP &amp; KR1 DKI Jakarta &amp; Banten 132; KR2 Jabar 20; KR3 Jateng-DIY 61; KR4 Jatim 35; KR5 Sumbagut 14; KR6 Sulampua 24; KR7 Sumbagsel 10; KR8 Balinusra 12; KR9 Kalimantan 26.</t>
  </si>
  <si>
    <t xml:space="preserve">Most counts are shifted to wrong rows (e.g. KR1 given 61, KR2 35); only KR7 is right. 'dikeluarkan' misstates the table.</t>
  </si>
  <si>
    <t xml:space="preserve">Bagaimana sebaran perkara hukum yang dihadapi OJK pada tahun 2020 menurut wilayah kantor?</t>
  </si>
  <si>
    <t xml:space="preserve">Kantor Pusat dan KR 1 DKI Jakarta &amp; Banten 132 perkara, KR 2 Jawa Barat 20, KR 3 Jawa Tengah dan DIY 61, KR 4 Jawa Timur 35, KR 5 Sumatera Bagian Utara 14, KR 6 Sulawesi, Maluku, dan Papua 24, KR 7 Sumatera Bagian Selatan 10, KR 8 Bali dan Nusa Tenggara 12, KR 9 Kalimantan 26 perkara (total 334).</t>
  </si>
  <si>
    <t xml:space="preserve">QA0240</t>
  </si>
  <si>
    <t xml:space="preserve">Bagaimana perkara yang telah dikeluarkan oleh OJK pada tahun 2020 terbagi antara kantor regional dan kantor pusat?</t>
  </si>
  <si>
    <t xml:space="preserve">Kantor Pusat: 61 perkara, Kantor Regional 1 DKI Jakarta: 61 perkara, Kantor Regional 2 Jawa Barat: 35 perkara, Kantor Regional 3 Jawa Tengah dan DIY: 24 perkara, Kantor Regional 4 Jawa Timur: 10 perkara, Kantor Regional 5 Sumatera Bagian Utara: 12 perkara, Kantor Regional 6 Sulawesi, Maluku, dan Papua: 26 perkara, Kantor Regional 7 Sumatera Bagian Selatan: 26 perkara, Kantor Regional 8 Bali dan Nusa Tenggara: 10 perkara, Kantor Regional 9 Kalimantan: 10 perkara</t>
  </si>
  <si>
    <t xml:space="preserve">Table: Kantor Pusat is combined with KR1 DKI Jakarta &amp; Banten = 132 perkara; other rows KR2 20, KR3 61, KR4 35, KR5 14, KR6 24, KR7 10, KR8 12, KR9 26.</t>
  </si>
  <si>
    <t xml:space="preserve">Kantor Pusat is not listed separately (combined 132); values misassigned. Data is a table, not a chart.</t>
  </si>
  <si>
    <t xml:space="preserve">Bagaimana sebaran perkara hukum yang dihadapi OJK pada tahun 2020 antara kantor pusat dan kantor regional?</t>
  </si>
  <si>
    <t xml:space="preserve">Kantor Pusat dan KR 1 DKI Jakarta &amp; Banten (digabung) 132 perkara; KR 2 Jawa Barat 20; KR 3 Jawa Tengah dan DIY 61; KR 4 Jawa Timur 35; KR 5 Sumatera Bagian Utara 14; KR 6 Sulawesi, Maluku, dan Papua 24; KR 7 Sumatera Bagian Selatan 10; KR 8 Bali dan Nusa Tenggara 12; KR 9 Kalimantan 26.</t>
  </si>
  <si>
    <t xml:space="preserve">QA0241</t>
  </si>
  <si>
    <t xml:space="preserve">LKBI-Tw.I-2025</t>
  </si>
  <si>
    <t xml:space="preserve">LKBI-Tw.I-2025_p068.png</t>
  </si>
  <si>
    <t xml:space="preserve">Tanggal meluncurkan buku Kajian Stabilitas Keuangan No. 44 Bank Indonesia?</t>
  </si>
  <si>
    <t xml:space="preserve">5 Maret 2025</t>
  </si>
  <si>
    <t xml:space="preserve">Text: 'Pada 5 Maret 2025, Bank Indonesia meluncurkan buku Kajian Stabilitas Keuangan No. 44 (KSK 44), Februari 2025'.</t>
  </si>
  <si>
    <t xml:space="preserve">Launch date matches the text.</t>
  </si>
  <si>
    <t xml:space="preserve">QA0242</t>
  </si>
  <si>
    <t xml:space="preserve">Bagaimana kontribusi dari Bukul KSK 44 kepada keuangan Indonesia?</t>
  </si>
  <si>
    <t xml:space="preserve">Bukul KSK 44 mengambarkan kondisi keuangan pada 2024 yang tetap terjaga dan mendukung kinerja ekonomi Indonesia agar tetap bertumbuh.</t>
  </si>
  <si>
    <t xml:space="preserve">Text: KSK 44 menggambarkan SSK 2024 tetap terjaga; diharapkan jadi referensi mitra strategis memahami kondisi SSK, merumuskan mitigasi, membangun kepercayaan, bentuk transparansi &amp; akuntabilitas BI.</t>
  </si>
  <si>
    <t xml:space="preserve">No chart or calculation involved (text only). Answer restates content of the book, not its stated expected contribution; 'Bukul'/'mengambarkan' typos.</t>
  </si>
  <si>
    <t xml:space="preserve">Apa manfaat yang diharapkan dari peluncuran buku KSK 44 bagi sistem keuangan Indonesia?</t>
  </si>
  <si>
    <t xml:space="preserve">Buku KSK 44, yang menggambarkan stabilitas sistem keuangan 2024 tetap terjaga, diharapkan menjadi referensi bagi mitra strategis untuk memahami kondisi terkini SSK sehingga langkah mitigasi dapat dirumuskan, membangun kepercayaan pelaku sektor keuangan, serta menjadi bentuk transparansi dan akuntabilitas BI sebagai otoritas makroprudensial.</t>
  </si>
  <si>
    <t xml:space="preserve">QA0243</t>
  </si>
  <si>
    <t xml:space="preserve">Mengapa Bank Indonesia menentukan untuk menulis buku Kajian Stabilitas Keuangan No. 44?</t>
  </si>
  <si>
    <t xml:space="preserve">Untuk mendongor intermediasi suai dengan siklus keuangan melalui pengujian Kebijakan Insentif Likuiditas Makroprudensial atau dikenal KLM.</t>
  </si>
  <si>
    <t xml:space="preserve">Text: peluncuran KSK 44 diharapkan menjadi referensi mitra strategis...; KLM strengthening (4% -&gt; 5% DPK per 1 April 2025) is a macroprudential policy, not the purpose of the book.</t>
  </si>
  <si>
    <t xml:space="preserve">Answer gives the purpose of the KLM policy as the reason for the book (and garbles 'penguatan' as 'pengujian'). Page is text only, no chart.</t>
  </si>
  <si>
    <t xml:space="preserve">Apa tujuan peluncuran buku Kajian Stabilitas Keuangan No. 44 oleh Bank Indonesia?</t>
  </si>
  <si>
    <t xml:space="preserve">Peluncuran KSK 44 diharapkan menjadi referensi bagi mitra strategis untuk memahami kondisi terkini stabilitas sistem keuangan Indonesia sehingga langkah mitigasi dapat dirumuskan, membangun kepercayaan pelaku sektor keuangan, serta sebagai bentuk transparansi dan akuntabilitas BI sebagai otoritas makroprudensial.</t>
  </si>
  <si>
    <t xml:space="preserve">QA0244</t>
  </si>
  <si>
    <t xml:space="preserve">Laporan Perekonomian Provinsi Bali Agustus 2020</t>
  </si>
  <si>
    <t xml:space="preserve">Laporan 20Perekonomian 20Provinsi 20Bali 20Agustus 202020_p050.png</t>
  </si>
  <si>
    <t xml:space="preserve">Bagaimana realisasi belanja pemerintah di Bali pada tahun 2020 dibandingkan dengan tahun 2019?</t>
  </si>
  <si>
    <t xml:space="preserve">Realisasi belanja pemerintah di Bali pada tahun 2020 menurun 14,76% dibandingkan dengan tahun 2019.</t>
  </si>
  <si>
    <t xml:space="preserve">Text: realisasi belanja (APBD &amp; APBN) Tw II 2020 Rp11,43 T, tumbuh -6,61% (yoy) vs Tw II 2019 +11,78% (Rp12,24 T). -14,76% is growth of pagu 2020 (Rp34,30 T).</t>
  </si>
  <si>
    <t xml:space="preserve">-14,76% is the budget ceiling (pagu) growth, not realization. Realization in Tw II 2020 fell 6,61% (yoy); period is Q2, not full year.</t>
  </si>
  <si>
    <t xml:space="preserve">Bagaimana realisasi belanja pemerintah di Bali pada triwulan II 2020 dibandingkan triwulan II 2019?</t>
  </si>
  <si>
    <t xml:space="preserve">Realisasi belanja pemerintah (APBD &amp; APBN) triwulan II 2020 sebesar Rp11,43 triliun atau tumbuh -6,61% (yoy), lebih rendah dari triwulan II 2019 yang tumbuh 11,78% (yoy) dengan nominal Rp12,24 triliun.</t>
  </si>
  <si>
    <t xml:space="preserve">QA0245</t>
  </si>
  <si>
    <t xml:space="preserve">Bagaimana berubah nilai nominal belanja pemerintah di Bali pada tahun 2020 dibandingkan dengan tahun 2019?</t>
  </si>
  <si>
    <t xml:space="preserve">Nilai nominal belanja pemerintah di Bali pada tahun 2020 adalah Rp34,30 miliar, berbeda dengan tahun 2019 yang adalah Rp12,24 miliar.</t>
  </si>
  <si>
    <t xml:space="preserve">Tabel II.1 total pagu: 2019 Rp40.245 M, 2020 Rp34.303 M (-14,76%). Text: realisasi Tw II 2020 Rp11,43 T vs Tw II 2019 Rp12,24 T. No chart.</t>
  </si>
  <si>
    <t xml:space="preserve">Mixes 2020 pagu (Rp34,30 T) with 2019 Q2 realization (Rp12,24 T) and uses 'miliar' instead of triliun; data is text/table, not chart.</t>
  </si>
  <si>
    <t xml:space="preserve">Bagaimana perubahan nilai nominal pagu anggaran belanja pemerintah di Bali tahun 2020 dibandingkan tahun 2019?</t>
  </si>
  <si>
    <t xml:space="preserve">Pagu belanja pemerintah (APBD &amp; APBN) turun dari Rp40.245 miliar (2019) menjadi Rp34.303 miliar (2020), berkurang Rp5.942 miliar atau -14,76% (yoy).</t>
  </si>
  <si>
    <t xml:space="preserve">QA0246</t>
  </si>
  <si>
    <t xml:space="preserve">Bagaimana berubah realisasi belanja pemerintah di Bali pada tahun 2020 dibandingkan dengan tahun 2019?</t>
  </si>
  <si>
    <t xml:space="preserve">Text: realisasi belanja Tw II 2020 Rp11,43 T, -6,61% (yoy) vs Tw II 2019 +11,78% (Rp12,24 T). -14,76% is pagu growth. No chart on page.</t>
  </si>
  <si>
    <t xml:space="preserve">Same error as IV-0: -14,76% is budget (pagu) growth, not realization (-6,61% yoy in Q2 2020). No chart exists; evidence is text.</t>
  </si>
  <si>
    <t xml:space="preserve">Realisasi belanja pemerintah triwulan II 2020 sebesar Rp11,43 triliun, tumbuh -6,61% (yoy), melambat dibanding triwulan II 2019 yang tumbuh 11,78% (yoy) dengan nominal Rp12,24 triliun.</t>
  </si>
  <si>
    <t xml:space="preserve">QA0247</t>
  </si>
  <si>
    <t xml:space="preserve">Laporan 20Perekonomian 20Provinsi 20Bali 20Agustus 202020_p055.png</t>
  </si>
  <si>
    <t xml:space="preserve">Bukapaten dan kota di Bali berapa banyak?</t>
  </si>
  <si>
    <t xml:space="preserve">Bukapaten dan kota di Bali berjumlahu 9</t>
  </si>
  <si>
    <t xml:space="preserve">Tabel II.7/II.8 titles: '9 Kabupaten/Kota'; tables list Kota Denpasar and 8 kabupaten.</t>
  </si>
  <si>
    <t xml:space="preserve">Count 9 is correct but question and answer contain typos ('Bukapaten', 'berjumlahu').</t>
  </si>
  <si>
    <t xml:space="preserve">Berapa jumlah kabupaten dan kota di Bali?</t>
  </si>
  <si>
    <t xml:space="preserve">Kabupaten dan kota di Bali berjumlah 9 (8 kabupaten dan 1 kota).</t>
  </si>
  <si>
    <t xml:space="preserve">QA0248</t>
  </si>
  <si>
    <t xml:space="preserve">Target pembangunan daerah untuk Bali pada tahun 2020 berapa banyak?</t>
  </si>
  <si>
    <t xml:space="preserve">Rp 8,06 triliun</t>
  </si>
  <si>
    <t xml:space="preserve">Text: target pendapatan gabungan kab/kota 2020 Rp17,20 triliun; target belanja Rp18,57 triliun; Rp8,06 triliun is realisasi pendapatan Tw II 2020.</t>
  </si>
  <si>
    <t xml:space="preserve">Rp8,06 triliun is Tw II 2020 revenue realization, not a 2020 target; 'target pembangunan daerah' is not a page term. No chart; values in text/tables.</t>
  </si>
  <si>
    <t xml:space="preserve">Berapa target anggaran pendapatan daerah gabungan kabupaten/kota di Bali tahun 2020?</t>
  </si>
  <si>
    <t xml:space="preserve">Rp17,20 triliun, terkontraksi 16,39% (yoy).</t>
  </si>
  <si>
    <t xml:space="preserve">QA0249</t>
  </si>
  <si>
    <t xml:space="preserve">Pendapatan daerah di Bali pada tahun 2019 berapa banyak?</t>
  </si>
  <si>
    <t xml:space="preserve">Rp 81,81 triliun</t>
  </si>
  <si>
    <t xml:space="preserve">Text: pagu pendapatan 2019 Rp20,57 triliun (terkontraksi 0,79% yoy); Tabel II.7 Total Pendapatan 2019 = 20.571 miliar.</t>
  </si>
  <si>
    <t xml:space="preserve">Rp81,81 triliun does not appear; 2019 revenue target of combined kab/kota is Rp20,57 triliun. No chart on page.</t>
  </si>
  <si>
    <t xml:space="preserve">Berapa pagu pendapatan daerah gabungan kabupaten/kota di Bali tahun 2019?</t>
  </si>
  <si>
    <t xml:space="preserve">Rp20,57 triliun, terkontraksi 0,79% (yoy).</t>
  </si>
  <si>
    <t xml:space="preserve">QA0250</t>
  </si>
  <si>
    <t xml:space="preserve">Laporan 20Perekonomian 20Provinsi 20Bali 20Agustus 202020_p062.png</t>
  </si>
  <si>
    <t xml:space="preserve">Bagaimana realisasi inflasi Bali pada periode I 2020 dan II 2020?</t>
  </si>
  <si>
    <t xml:space="preserve">Realisasi inflasi Bali pada periode I 2020 adalah 3,04% dan periode II 2020 adalah 2,18%.</t>
  </si>
  <si>
    <t xml:space="preserve">Text: inflasi Bali Tw II 2020 2,18% (yoy), lebih rendah dari Tw I 2020 3,04% (yoy).</t>
  </si>
  <si>
    <t xml:space="preserve">Both values and periods correct, stated in text.</t>
  </si>
  <si>
    <t xml:space="preserve">QA0251</t>
  </si>
  <si>
    <t xml:space="preserve">Bagaimana perubahan realisasi inflasi Bali pada periode III 2020 dibandingkan dengan periode II 2020?</t>
  </si>
  <si>
    <t xml:space="preserve">Realisasi inflasi Bali pada periode III 2020 adalah 3,69% dan periode II 2020 adalah 2,18%.</t>
  </si>
  <si>
    <t xml:space="preserve">No Tw III 2020 realization on page; text: tekanan inflasi Tw III 2020 diprakirakan lebih rendah; Juli 2020 inflasi 1,06% (yoy), deflasi 0,39% (mtm). 3,69% = Singaraja Tw I 2020.</t>
  </si>
  <si>
    <t xml:space="preserve">3,69% is Singaraja's Tw I 2020 inflation, not Bali Tw III 2020. Page only projects Tw III lower than Tw II (July 1,06% yoy). No chart shows Tw III.</t>
  </si>
  <si>
    <t xml:space="preserve">Bagaimana prakiraan inflasi Bali pada triwulan III 2020 dibandingkan triwulan II 2020?</t>
  </si>
  <si>
    <t xml:space="preserve">Tekanan inflasi Bali pada triwulan III 2020 diprakirakan lebih rendah dari triwulan II 2020 (2,18% yoy); pada Juli 2020 inflasi tercatat 1,06% (yoy) dengan deflasi 0,39% (mtm).</t>
  </si>
  <si>
    <t xml:space="preserve">QA0252</t>
  </si>
  <si>
    <t xml:space="preserve">Bagaimana perubahan realisasi inflasi nasional pada periode I 2020 dan II 2020?</t>
  </si>
  <si>
    <t xml:space="preserve">Realisasi inflasi nasional pada periode I 2020 adalah 1,54% dan periode II 2020 adalah 0,10%.</t>
  </si>
  <si>
    <t xml:space="preserve">Factual/Numerical, Temporal, Unit</t>
  </si>
  <si>
    <t xml:space="preserve">Text: inflasi Nasional Tw II 2020 1,96% (yoy). Grafik III.2 Nasional bar Tw I 2020 ~2,9-3,0%. 1,54% (yoy) and 0,10% (mtm deflation) are national figures for Juli 2020.</t>
  </si>
  <si>
    <t xml:space="preserve">Answer uses July 2020 national figures (1,54% yoy; -0,10% mtm) instead of Tw I/Tw II 2020; national inflation fell from ~3% (Tw I) to 1,96% (Tw II).</t>
  </si>
  <si>
    <t xml:space="preserve">Inflasi nasional turun dari sekitar 3% (yoy) pada triwulan I 2020 (Grafik III.2) menjadi 1,96% (yoy) pada triwulan II 2020.</t>
  </si>
  <si>
    <t xml:space="preserve">QA0253</t>
  </si>
  <si>
    <t xml:space="preserve">Laporan 20Perekonomian 20Provinsi 20Bali 20Agustus 202020_p100.png</t>
  </si>
  <si>
    <t xml:space="preserve">Pada bulan Februari 2020, bagaimana jumlah pekerjaan di Bali tergolongkan?</t>
  </si>
  <si>
    <t xml:space="preserve">Jumlah pekerjaan di Bali pada Februari 2020 tergolongkan menjadi 31,3 ribu orang</t>
  </si>
  <si>
    <t xml:space="preserve">Tabel VI.1 Feb 2020: Bekerja 2.560 ribu orang; Pengangguran 31,33 ribu orang (text: 31,3 ribu). Not from a chart.</t>
  </si>
  <si>
    <t xml:space="preserve">31,3 ribu is the number of unemployed, not employed persons (2.560 ribu). Question is garbled and data come from a table, not chart (pure lookup, table label kept).</t>
  </si>
  <si>
    <t xml:space="preserve">Berapa jumlah penduduk yang bekerja di Bali pada Februari 2020?</t>
  </si>
  <si>
    <t xml:space="preserve">2.560 ribu orang (sekitar 2,56 juta orang).</t>
  </si>
  <si>
    <t xml:space="preserve">QA0254</t>
  </si>
  <si>
    <t xml:space="preserve">Bagaimana berubah nilai Tingkat Partisipasi Angkatan Kerja pada bulan Februari 2020 dibandingkan dengan bulan Februari 2019?</t>
  </si>
  <si>
    <t xml:space="preserve">Tingkat Partisipasi Angkatan Kerja pada bulan Februari 2020 meningkat 1,63 persen dibandingkan dengan bulan Februari 2019</t>
  </si>
  <si>
    <t xml:space="preserve">Calculation, Unit, Instruction-following</t>
  </si>
  <si>
    <t xml:space="preserve">Tabel VI.1 TPAK: Feb 2019 76,68%; Feb 2020 77,08%.</t>
  </si>
  <si>
    <t xml:space="preserve">TPAK rose by 0,40 percentage points, not 1,63 persen; data come from a table, not a chart.</t>
  </si>
  <si>
    <t xml:space="preserve">TPAK meningkat dari 76,68% pada Februari 2019 menjadi 77,08% pada Februari 2020, naik 0,40 poin persentase.</t>
  </si>
  <si>
    <t xml:space="preserve">QA0255</t>
  </si>
  <si>
    <t xml:space="preserve">Jumlah pekerjaan di Bali pada bulan Februari 2020 berapa banyak?</t>
  </si>
  <si>
    <t xml:space="preserve">Jumlah pekerjaan di Bali pada bulan Februari 2020 adalah 31,3 ribu orang</t>
  </si>
  <si>
    <t xml:space="preserve">Tabel VI.1 Feb 2020: Bekerja 2.560 ribu orang; 31,3 ribu orang (text) is jumlah pengangguran.</t>
  </si>
  <si>
    <t xml:space="preserve">31,3 ribu is unemployed count, not employed; employed (2.560 ribu) is only in the table, so the Text label also does not fit.</t>
  </si>
  <si>
    <t xml:space="preserve">QA0256</t>
  </si>
  <si>
    <t xml:space="preserve">Laporan Perekonomian Provinsi Bali November 2020</t>
  </si>
  <si>
    <t xml:space="preserve">Laporan 20Perekonomian 20Provinsi 20Bali 20November 202020_p047.png</t>
  </si>
  <si>
    <t xml:space="preserve">Bagaimana realisasi belanja pemerintah di Bali pada tahun 2019 dan 2020?</t>
  </si>
  <si>
    <t xml:space="preserve">Realisasi belanja pemerintah di Bali pada tahun 2019 sebesar 4,65% (yoy) dan pada tahun 2020 sebesar 5,21% (yoy).</t>
  </si>
  <si>
    <t xml:space="preserve">Text/Tabel II.2: realisasi belanja Tw III 2019 Rp24.286 miliar, tumbuh 4,65% (yoy); Tw III 2020 Rp23.022 miliar, tumbuh (5,21)% i.e. -5,21% (yoy). No chart.</t>
  </si>
  <si>
    <t xml:space="preserve">The 2020 growth is -5,21% (a contraction), not +5,21%. The figures are for Tw III, not full years, and they are growth rates, not realization amounts.</t>
  </si>
  <si>
    <t xml:space="preserve">Bagaimana realisasi belanja pemerintah di Bali pada triwulan III 2019 dan triwulan III 2020?</t>
  </si>
  <si>
    <t xml:space="preserve">Realisasi belanja pemerintah (APBD &amp; APBN) di Bali pada triwulan III 2019 sebesar Rp24,29 triliun atau tumbuh 4,65% (yoy), sedangkan pada triwulan III 2020 sebesar Rp23,02 triliun atau terkontraksi -5,21% (yoy).</t>
  </si>
  <si>
    <t xml:space="preserve">QA0257</t>
  </si>
  <si>
    <t xml:space="preserve">Bagaimana perubahan realisasi belanja pemerintah di Bali pada tahun 2019 dan 2020?</t>
  </si>
  <si>
    <t xml:space="preserve">The sign is dropped: 2020 is -5,21% (a decline). The periods are Tw III. The page has no chart; the data is in Tabel II.2/text.</t>
  </si>
  <si>
    <t xml:space="preserve">Bagaimana perubahan realisasi belanja pemerintah di Bali pada triwulan III 2020 dibandingkan triwulan III 2019?</t>
  </si>
  <si>
    <t xml:space="preserve">Realisasi belanja pemerintah di Bali turun dari Rp24,29 triliun pada triwulan III 2019 menjadi Rp23,02 triliun pada triwulan III 2020, atau terkontraksi -5,21% (yoy), setelah pada triwulan III 2019 tumbuh 4,65% (yoy).</t>
  </si>
  <si>
    <t xml:space="preserve">QA0258</t>
  </si>
  <si>
    <t xml:space="preserve">The sign is dropped: 2020 growth is -5,21%, and the periods are Tw III. There is no chart, so Chart-Time-Sensitive does not apply.</t>
  </si>
  <si>
    <t xml:space="preserve">Bagaimana perubahan pertumbuhan realisasi belanja pemerintah di Bali pada triwulan III 2019 dan triwulan III 2020?</t>
  </si>
  <si>
    <t xml:space="preserve">Pertumbuhan realisasi belanja pemerintah di Bali melambat dari 4,65% (yoy) pada triwulan III 2019 (Rp24,29 triliun) menjadi terkontraksi -5,21% (yoy) pada triwulan III 2020 (Rp23,02 triliun).</t>
  </si>
  <si>
    <t xml:space="preserve">QA0259</t>
  </si>
  <si>
    <t xml:space="preserve">Laporan 20Perekonomian 20Provinsi 20Bali 20November 202020_p049.png</t>
  </si>
  <si>
    <t xml:space="preserve">Bagaimana realisasi PAD Provinsi Bali pada tahun 2020?</t>
  </si>
  <si>
    <t xml:space="preserve">Realisasi PAD Provinsi Bali pada tahun 2020 sebesar Rp 23,32 triliun.</t>
  </si>
  <si>
    <t xml:space="preserve">Text: realisasi PAD Provinsi Bali pada triwulan III 2020 Rp2,32 triliun, tumbuh -21,03% (yoy); Tabel II.5: 2.323 Rp miliar.</t>
  </si>
  <si>
    <t xml:space="preserve">Value misread (23,32 vs 2,32 triliun) and it is triwulan III 2020 realization, not full-year 2020.</t>
  </si>
  <si>
    <t xml:space="preserve">Bagaimana realisasi PAD Provinsi Bali pada triwulan III tahun 2020?</t>
  </si>
  <si>
    <t xml:space="preserve">Realisasi PAD Provinsi Bali pada triwulan III 2020 sebesar Rp2,32 triliun, terkontraksi 21,03% (yoy).</t>
  </si>
  <si>
    <t xml:space="preserve">QA0260</t>
  </si>
  <si>
    <t xml:space="preserve">Bagaimana berubah realisasi PAD Provinsi Bali dari tahun 2019 ke tahun 2020?</t>
  </si>
  <si>
    <t xml:space="preserve">Realisasi PAD Provinsi Bali menurun sekitar 5,18%.</t>
  </si>
  <si>
    <t xml:space="preserve">Factual/Numerical, Calculation, Temporal, Instruction-following</t>
  </si>
  <si>
    <t xml:space="preserve">Tabel II.5: realisasi PAD Tw III 2019 Rp2.942 M, Tw III 2020 Rp2.323 M; growth (21,03)% yoy. Text states -21,03% (yoy).</t>
  </si>
  <si>
    <t xml:space="preserve">PAD fell 21,03% (2.942 to 2.323 Rp miliar), not ~5,18%. Data is from table/text, no chart.</t>
  </si>
  <si>
    <t xml:space="preserve">Bagaimana perubahan realisasi PAD Provinsi Bali pada triwulan III 2020 dibandingkan triwulan III 2019?</t>
  </si>
  <si>
    <t xml:space="preserve">Realisasi PAD Provinsi Bali turun dari Rp2.942 miliar (Tw III 2019) menjadi Rp2.323 miliar (Tw III 2020), atau terkontraksi 21,03% (yoy).</t>
  </si>
  <si>
    <t xml:space="preserve">QA0261</t>
  </si>
  <si>
    <t xml:space="preserve">Bagaimana berubah realisasi pendapatan asli daerah dan pendapatan pajak daerah dari tahun 2019 ke tahun 2020?</t>
  </si>
  <si>
    <t xml:space="preserve">Realisasi pendapatan asli daerah menurun 12,68%, sementara pendapatan pajak daerah menurun 6,12%.</t>
  </si>
  <si>
    <t xml:space="preserve">Factual/Numerical, Instruction-following, Temporal</t>
  </si>
  <si>
    <t xml:space="preserve">Text/Tabel II.5 Tw III 2020 yoy: PAD -21,03%, pajak daerah -22,65%; -12,68% is total pendapatan daerah; 6,12% is 2019 pendapatan daerah growth.</t>
  </si>
  <si>
    <t xml:space="preserve">Wrong rows: 12,68% is total regional revenue, 6,12% is 2019 growth. PAD fell 21,03%, pajak daerah 22,65%. No chart.</t>
  </si>
  <si>
    <t xml:space="preserve">Bagaimana perubahan realisasi pendapatan asli daerah dan pendapatan pajak daerah Provinsi Bali pada triwulan III 2020 dibandingkan triwulan III 2019?</t>
  </si>
  <si>
    <t xml:space="preserve">Realisasi PAD terkontraksi 21,03% (yoy) dan realisasi pendapatan pajak daerah terkontraksi 22,65% (yoy) pada triwulan III 2020.</t>
  </si>
  <si>
    <t xml:space="preserve">QA0262</t>
  </si>
  <si>
    <t xml:space="preserve">Laporan 20Perekonomian 20Provinsi 20Bali 20November 202020_p056.png</t>
  </si>
  <si>
    <t xml:space="preserve">Target belanja APBN di Bali tahun 2020 berapa?</t>
  </si>
  <si>
    <t xml:space="preserve">Rp12,41 triliun</t>
  </si>
  <si>
    <t xml:space="preserve">Text 2.4: Target belanja APBN di Bali tahun 2020 tercatat sebesar Rp12,41 triliun (Tabel II.11 pagu 12.412 miliar).</t>
  </si>
  <si>
    <t xml:space="preserve">Correct value from text.</t>
  </si>
  <si>
    <t xml:space="preserve">QA0263</t>
  </si>
  <si>
    <t xml:space="preserve">Realisasi belanja APBN di Bali tahun 2020 berapa?</t>
  </si>
  <si>
    <t xml:space="preserve">Rp8,30 triliun</t>
  </si>
  <si>
    <t xml:space="preserve">Instruction-following, Temporal</t>
  </si>
  <si>
    <t xml:space="preserve">Text: realisasi belanja APBN di Bali pada triwulan III 2020 Rp8,30 triliun (serapan 66,87%); Tabel II.11 8.299 miliar. No chart.</t>
  </si>
  <si>
    <t xml:space="preserve">Value correct but it is realization through Tw III 2020 (question omits period) and source is text/table, not chart.</t>
  </si>
  <si>
    <t xml:space="preserve">Realisasi belanja APBN di Bali pada triwulan III tahun 2020 berapa?</t>
  </si>
  <si>
    <t xml:space="preserve">Rp8,30 triliun, dengan serapan 66,87% dari pagu.</t>
  </si>
  <si>
    <t xml:space="preserve">QA0264</t>
  </si>
  <si>
    <t xml:space="preserve">Persentase pertumbuhan belanja APBN di Bali tahun 2020 berapa?</t>
  </si>
  <si>
    <t xml:space="preserve">3,41%</t>
  </si>
  <si>
    <t xml:space="preserve">Text: target belanja 2020 Rp12,41 triliun atau tumbuh 3,41%; Tabel II.11 Total Growth Realisasi 2020 = 3,41 (%, yoy) while Growth Pagu 2020 = (2,25).</t>
  </si>
  <si>
    <t xml:space="preserve">3,41% matches the text, but it is a lookup from text/table, not a chart calculation (no chart on page).</t>
  </si>
  <si>
    <t xml:space="preserve">3,41%, sebagaimana disebutkan dalam teks (Tabel II.11 mencatat 3,41% sebagai pertumbuhan realisasi yoy).</t>
  </si>
  <si>
    <t xml:space="preserve">QA0265</t>
  </si>
  <si>
    <t xml:space="preserve">Laporan 20Perekonomian 20Provinsi 20Bali 20November 202020_p069.png</t>
  </si>
  <si>
    <t xml:space="preserve">Bagaimana perkembangan inflasi kota Denpasar selama periode 2020?</t>
  </si>
  <si>
    <t xml:space="preserve">Inflasi kota Denpasar meningkat sekitar 0,80% pada tahun 2020, dengan kemajuan terbesar di bulan Juli dan Agustus.</t>
  </si>
  <si>
    <t xml:space="preserve">Text: inflasi tahunan Kota Denpasar melandai menjadi 0,80% (yoy) pada Tw III 2020 dari 2,15% (yoy) pada Tw II 2020; Tabel III.1 Tw I 2,94% yoy.</t>
  </si>
  <si>
    <t xml:space="preserve">Inflation slowed (melandai) to 0,80% yoy in Tw III 2020; it did not 'increase by 0,80%', and there is no claim of largest progress in July-August.</t>
  </si>
  <si>
    <t xml:space="preserve">Bagaimana perkembangan inflasi tahunan Kota Denpasar pada triwulan III 2020?</t>
  </si>
  <si>
    <t xml:space="preserve">Inflasi tahunan Kota Denpasar melandai menjadi 0,80% (yoy) pada triwulan III 2020 dari 2,15% (yoy) pada triwulan II 2020, terutama karena penurunan pada kelompok pendidikan serta makanan, minuman, dan tembakau.</t>
  </si>
  <si>
    <t xml:space="preserve">QA0266</t>
  </si>
  <si>
    <t xml:space="preserve">Bagaimana komoditas yang meningkat pada bulan September 2020?</t>
  </si>
  <si>
    <t xml:space="preserve">Komoditas yang meningkat pada bulan September 2020 adalah canang sari, goreng, dan vitamin.</t>
  </si>
  <si>
    <t xml:space="preserve">Text: penyumbang inflasi bulanan canang sari (0,13%), ayam goreng (0,03%), jeruk (0,03%), minyak goreng (0,02%), vitamin (0,01%); Galungan &amp; Kuningan in Sept 2020. No chart.</t>
  </si>
  <si>
    <t xml:space="preserve">Partly right but 'goreng' should be ayam goreng, jeruk and minyak goreng omitted; evidence is text, not a chart.</t>
  </si>
  <si>
    <t xml:space="preserve">Komoditas apa yang menjadi penyumbang utama inflasi bulanan di Denpasar pada September 2020?</t>
  </si>
  <si>
    <t xml:space="preserve">Canang sari (andil 0,13%), ayam goreng (0,03%), jeruk (0,03%), minyak goreng (0,02%) dan vitamin (0,01%), didorong Hari Raya Galungan dan Kuningan serta kenaikan harga acuan CPO.</t>
  </si>
  <si>
    <t xml:space="preserve">QA0267</t>
  </si>
  <si>
    <t xml:space="preserve">Bagaimana berubah nilai inflasi pada bulan September 2020 dibandingkan dengan bulan Juli?</t>
  </si>
  <si>
    <t xml:space="preserve">Nilai inflasi pada bulan September 2020 adalah 0,13%, sedangkan pada bulan Juli adalah 0,29%.</t>
  </si>
  <si>
    <t xml:space="preserve">Tabel III.2: 0,29 = andil Emas Perhiasan (Juli); 0,13 = andil Canang Sari (Sept). Emas Perhiasan andil Sept = 0,35. Monthly headline inflation for July not shown. No chart.</t>
  </si>
  <si>
    <t xml:space="preserve">The two figures are commodity andil values from different commodities, not monthly inflation; no chart exists.</t>
  </si>
  <si>
    <t xml:space="preserve">Bagaimana perubahan andil inflasi Emas Perhiasan di Kota Denpasar pada September 2020 dibandingkan Juli 2020?</t>
  </si>
  <si>
    <t xml:space="preserve">Andil inflasi Emas Perhiasan meningkat dari 0,29% pada Juli 2020 menjadi 0,35% pada September 2020 (sempat 0,43% pada Agustus).</t>
  </si>
  <si>
    <t xml:space="preserve">QA0268</t>
  </si>
  <si>
    <t xml:space="preserve">Laporan 20Perekonomian 20Provinsi 20Bali 20November 202020_p070.png</t>
  </si>
  <si>
    <t xml:space="preserve">Bagaimana perubahan inflasi di Singaraja dari bulan Maret hingga bulan Desember 2020?</t>
  </si>
  <si>
    <t xml:space="preserve">Inflasi di Singaraja menurun dari 2,41% pada bulan Maret 2020 menjadi 1,91% pada bulan Desember 2020.</t>
  </si>
  <si>
    <t xml:space="preserve">Tabel III.3 Umum yoy 2020: TW I 3,69; TW II 2,41; TW III 1,91. No December 2020 data; text: 2,41% (Tw II) -&gt; 1,91% (Tw III). No chart.</t>
  </si>
  <si>
    <t xml:space="preserve">2,41% is Tw II (June) and 1,91% is Tw III (Sept), not March and December; March (Tw I) was 3,69%. Data is in a table/text, not a chart.</t>
  </si>
  <si>
    <t xml:space="preserve">Bagaimana perubahan inflasi tahunan di Singaraja dari triwulan I hingga triwulan III 2020?</t>
  </si>
  <si>
    <t xml:space="preserve">Inflasi Singaraja terus melandai, dari 3,69% (yoy) pada triwulan I 2020 menjadi 2,41% (yoy) pada triwulan II dan 1,91% (yoy) pada triwulan III 2020.</t>
  </si>
  <si>
    <t xml:space="preserve">QA0269</t>
  </si>
  <si>
    <t xml:space="preserve">Bagaimana komoditas yang menjadi pembesarkan inflasi pada bulan Maret 2020?</t>
  </si>
  <si>
    <t xml:space="preserve">Komoditas yang menjadi pembesarkan inflasi pada bulan Maret 2020 adalah Hari Raya Galungan dan Kuningan, dengan persentase 0,26%.</t>
  </si>
  <si>
    <t xml:space="preserve">Text: penyumbang utama inflasi triwulan II 2020: emas perhiasan (0,26%), daging babi (0,18%), pisang (0,15%), minyak goreng (0,14%), jeruk (0,08%), linked to Galungan-Kuningan. No March data.</t>
  </si>
  <si>
    <t xml:space="preserve">Galungan/Kuningan is a holiday, not a commodity; 0,26% is emas perhiasan's andil. No March 2020 commodity data on page; evidence is text.</t>
  </si>
  <si>
    <t xml:space="preserve">Komoditas apa yang menjadi penyumbang utama inflasi di Singaraja pada triwulan II 2020?</t>
  </si>
  <si>
    <t xml:space="preserve">Penyumbang utama inflasi adalah emas perhiasan (andil 0,26%), daging babi (0,18%), pisang (0,15%), minyak goreng (0,14%), dan jeruk (0,08%), seiring perayaan Hari Raya Galungan dan Kuningan.</t>
  </si>
  <si>
    <t xml:space="preserve">QA0270</t>
  </si>
  <si>
    <t xml:space="preserve">Bagaimana perubahan deflasi di Singaraja pada bulan Agustus 2020?</t>
  </si>
  <si>
    <t xml:space="preserve">Deflasi di Singaraja meningkat dari 0,19% pada bulan Juli 2020 menjadi 0,27% pada bulan Agustus 2020.</t>
  </si>
  <si>
    <t xml:space="preserve">Tabel III.4: top deflation andil Juli = Canang Sari (0,19); Agustus = Daging Ayam Ras (0,27). No monthly headline deflation for Singaraja shown; no chart.</t>
  </si>
  <si>
    <t xml:space="preserve">0,19% and 0,27% are andil of the top deflating commodities, not Singaraja's overall deflation; source is a table, and no calculation is involved.</t>
  </si>
  <si>
    <t xml:space="preserve">Komoditas apa yang menjadi penyumbang deflasi terbesar di Singaraja pada Agustus 2020 dibandingkan Juli 2020?</t>
  </si>
  <si>
    <t xml:space="preserve">Pada Agustus 2020 penyumbang deflasi terbesar adalah daging ayam ras (andil -0,27%), sedangkan pada Juli 2020 adalah canang sari (andil -0,19%).</t>
  </si>
  <si>
    <t xml:space="preserve">QA0271</t>
  </si>
  <si>
    <t xml:space="preserve">Laporan 20Perekonomian 20Provinsi 20Bali 20November 202020_p071.png</t>
  </si>
  <si>
    <t xml:space="preserve">Bagaimana perubahan inflasi perdesaan Bali selama periode 2017-2020?</t>
  </si>
  <si>
    <t xml:space="preserve">Inflasi perdesaan Bali meningkat dari 0,49 mm tmm pada tahun 2017 menjadi 0,07 mm tmm pada tahun 2020</t>
  </si>
  <si>
    <t xml:space="preserve">Factual/Numerical, Reasoning, Unit, Instruction-following</t>
  </si>
  <si>
    <t xml:space="preserve">Grafik III.30: inflasi perdesaan (mtm) ~1,4 (2017 I), fluktuatif, puncak ~4,8 (2018 IV), &lt;0 di 2020 I, ~0,5 (2020 III). Text: deflasi 0,49% Bali vs 0,07% nasional Tw III 2020.</t>
  </si>
  <si>
    <t xml:space="preserve">0,49 and 0,07 are Tw III 2020 Bali vs national deflation, not 2017 vs 2020; 'mm tmm' garbled unit; 0,49-&gt;0,07 is not an increase. Trend is from chart.</t>
  </si>
  <si>
    <t xml:space="preserve">Inflasi perdesaan Bali berfluktuasi selama 2017-2020: sekitar 1,4% (mtm) pada awal 2017, memuncak sekitar 4,8% pada triwulan IV 2018, lalu melandai dan sempat negatif pada triwulan I 2020; pada triwulan III 2020 teks mencatat deflasi 0,49% (mtm).</t>
  </si>
  <si>
    <t xml:space="preserve">QA0272</t>
  </si>
  <si>
    <t xml:space="preserve">Bagaimana perubahan NTP di Bali selama periode 2017-2020?</t>
  </si>
  <si>
    <t xml:space="preserve">NTP di Bali meningkat dari 104,00 pada tahun 2017 menjadi 106,00 pada tahun 2020</t>
  </si>
  <si>
    <t xml:space="preserve">Grafik III.29: NTP ~104,7 (2017 I), ~103-105 hingga 2019 IV (~104,9), lalu turun tajam ke ~97 (2020 I), ~93,5 (2020 II), ~93,1 (2020 III).</t>
  </si>
  <si>
    <t xml:space="preserve">NTP decreased, not increased to 106; 106 is the axis maximum. Trend question, not a calculation.</t>
  </si>
  <si>
    <t xml:space="preserve">NTP Bali relatif stabil di kisaran 103-105 pada 2017-2019, kemudian turun tajam pada 2020 menjadi sekitar 93 pada triwulan III 2020.</t>
  </si>
  <si>
    <t xml:space="preserve">QA0273</t>
  </si>
  <si>
    <t xml:space="preserve">Bagaimana perubahan NTP di Bali selama periode 2017-2020 dalam persentase?</t>
  </si>
  <si>
    <t xml:space="preserve">NTP di Bali meningkat 2,0 persen selama periode 2017-2020</t>
  </si>
  <si>
    <t xml:space="preserve">Calculation, Reasoning, Instruction-following</t>
  </si>
  <si>
    <t xml:space="preserve">Grafik III.29: NTP ~104,7 (2017 I) -&gt; ~93,1 (2020 III); g NTP ~-10,5% yoy in Tw III 2020.</t>
  </si>
  <si>
    <t xml:space="preserve">NTP fell roughly 11%, not rose 2%. Percentage change is a calculation, not a time-sensitive trend label.</t>
  </si>
  <si>
    <t xml:space="preserve">NTP Bali turun sekitar 11% selama periode 2017-2020, dari sekitar 104,7 (triwulan I 2017) menjadi sekitar 93,1 (triwulan III 2020).</t>
  </si>
  <si>
    <t xml:space="preserve">QA0274</t>
  </si>
  <si>
    <t xml:space="preserve">Laporan Perekonomian Provinsi Bengkulu Mei 2024</t>
  </si>
  <si>
    <t xml:space="preserve">Laporan 20Perekonomian 20Provinsi 20Bengkulu 20Mei 202024_p033.png</t>
  </si>
  <si>
    <t xml:space="preserve">Bagaimana realisasi PAD pada Provinsi Bengkulu pada Triwulan I 2024?</t>
  </si>
  <si>
    <t xml:space="preserve">Realisasi PAD pada Provinsi Bengkulu sebesar 1,729.71 miliar</t>
  </si>
  <si>
    <t xml:space="preserve">Text: PAD kontraksi 30,42% (yoy), total realisasi Rp180,25 miliar atau 10,42% dari pagu. 1.729,71 is PAD pagu Tw I 2023 (Tabel 2.1).</t>
  </si>
  <si>
    <t xml:space="preserve">Answer gives the Tw I 2023 PAD budget (pagu), not the Tw I 2024 realization of Rp180,25 miliar.</t>
  </si>
  <si>
    <t xml:space="preserve">Realisasi PAD Provinsi Bengkulu pada triwulan I 2024 sebesar Rp180,25 miliar atau 10,42% dari pagu, terkontraksi 30,42% (yoy).</t>
  </si>
  <si>
    <t xml:space="preserve">QA0275</t>
  </si>
  <si>
    <t xml:space="preserve">Bagaimana berubah realisasi PAD pada Provinsi Bengkulu dari Triwulan I 2023 ke Triwulan I 2024?</t>
  </si>
  <si>
    <t xml:space="preserve">Realisasi PAD meningkat dari 1,729.71 miliar menjadi 1,738.77 miliar</t>
  </si>
  <si>
    <t xml:space="preserve">Tabel 2.1 PAD realisasi: Tw I 2023 Rp259,05 miliar; Tw I 2024 Rp180,25 miliar (-30,42%). Pagu 1.729,71 (2023), 1.730,28 (2024); 1.738,77 not on page.</t>
  </si>
  <si>
    <t xml:space="preserve">Answer uses pagu values (one misread) and says 'meningkat'; realization actually fell from 259,05 to 180,25 miliar (-30,42%). Evidence is a table, no chart.</t>
  </si>
  <si>
    <t xml:space="preserve">Realisasi PAD menurun dari Rp259,05 miliar pada triwulan I 2023 menjadi Rp180,25 miliar pada triwulan I 2024, atau turun sekitar Rp78,80 miliar (-30,42% yoy).</t>
  </si>
  <si>
    <t xml:space="preserve">QA0276</t>
  </si>
  <si>
    <t xml:space="preserve">Bagaimana berubah persentase efektivitas PAD pada Provinsi Bengkulu dari Triwulan I 2023 ke Triwulan I 2024?</t>
  </si>
  <si>
    <t xml:space="preserve">Persentase efektivitas PAD meningkat dari -3,80% menjadi -0,42%</t>
  </si>
  <si>
    <t xml:space="preserve">Factual/Numerical, Calculation, Reasoning, Instruction-following</t>
  </si>
  <si>
    <t xml:space="preserve">Tabel 2.1: PAD realisasi/pagu Tw I 2023 = 259,05/1.729,71 = 14,98%; Tw I 2024 = 180,25/1.730,28 = 10,42% (text: 10,42% dari pagu). -3,80% and -0,42% are other rows' growth.</t>
  </si>
  <si>
    <t xml:space="preserve">-3,80% (total revenue growth) and -0,42% (belanja operasi) are not PAD effectiveness; PAD realization ratio fell from ~14,98% to 10,42%. No chart used.</t>
  </si>
  <si>
    <t xml:space="preserve">Persentase realisasi (efektivitas) PAD terhadap pagu turun dari sekitar 14,98% (Rp259,05 miliar dari Rp1.729,71 miliar) pada triwulan I 2023 menjadi 10,42% (Rp180,25 miliar dari Rp1.730,28 miliar) pada triwulan I 2024.</t>
  </si>
  <si>
    <t xml:space="preserve">QA0277</t>
  </si>
  <si>
    <t xml:space="preserve">Laporan 20Perekonomian 20Provinsi 20Bengkulu 20Mei 202024_p035.png</t>
  </si>
  <si>
    <t xml:space="preserve">Bagaimana realisasi belanja operasi pada periode berlalu berlapis pada Provinsi Bengkulu?</t>
  </si>
  <si>
    <t xml:space="preserve">Realisasi belanja operasi meningkat melalui periode berlalu, dengan kontraksi sebesar 0,42% dibandingkan periode tahun sebelumnya.</t>
  </si>
  <si>
    <t xml:space="preserve">Text: belanja operasi sedikit terkontraksi 0,42% (yoy) pada Tw I 2024, didorong belanja barang dan jasa -24,51% (yoy); belanja pegawai +0,79% (yoy).</t>
  </si>
  <si>
    <t xml:space="preserve">Answer says spending rose ('meningkat') while it actually contracted 0,42%; self-contradictory. 'periode berlalu berlapis' is garbled (Tw I 2024).</t>
  </si>
  <si>
    <t xml:space="preserve">Bagaimana realisasi belanja operasi Provinsi Bengkulu pada triwulan I 2024?</t>
  </si>
  <si>
    <t xml:space="preserve">Realisasi belanja operasi terkontraksi 0,42% (yoy) dibandingkan periode yang sama tahun sebelumnya, terutama karena belanja barang dan jasa turun 24,51% (yoy), meski belanja pegawai naik 0,79% (yoy).</t>
  </si>
  <si>
    <t xml:space="preserve">QA0278</t>
  </si>
  <si>
    <t xml:space="preserve">Bagaimana menghitung realisasi belanja modal pada periode berlalu berlapis di Provinsi Bengkulu?</t>
  </si>
  <si>
    <t xml:space="preserve">Realisasi belanja modal di Provinsi Bengkulu sebesar 64,80% dari periode berlalu berlapis, dengan penurunan realisasi sebesar 16,05% dibandingkan periode tahun sebelumnya.</t>
  </si>
  <si>
    <t xml:space="preserve">Text: realisasi belanja modal Tw I 2024 Rp28,60 miliar atau 1,68% dari pagu, kontraksi 64,80% (yoy). Rp16,05 miliar is belanja modal jalan, jaringan, irigasi.</t>
  </si>
  <si>
    <t xml:space="preserve">64,80% is the yoy contraction, not realization share; 16,05 is Rp miliar for road/irrigation capex, not a % decline. Evidence is text; no calculation. Question garbled.</t>
  </si>
  <si>
    <t xml:space="preserve">Bagaimana realisasi belanja modal Provinsi Bengkulu pada triwulan I 2024?</t>
  </si>
  <si>
    <t xml:space="preserve">Realisasi belanja modal triwulan I 2024 sebesar Rp28,60 miliar atau 1,68% dari pagu, terkontraksi 64,80% (yoy).</t>
  </si>
  <si>
    <t xml:space="preserve">QA0279</t>
  </si>
  <si>
    <t xml:space="preserve">Bagaimana berubah realisasi belanja transfer pada periode berlalu berlapis di Provinsi Bengkulu?</t>
  </si>
  <si>
    <t xml:space="preserve">Realisasi belanja transfer meningkat ke 12,12% dari periode berlalu berlapis, dengan penurunan realisasi sebesar 76,25% dibandingkan periode tahun sebelumnya.</t>
  </si>
  <si>
    <t xml:space="preserve">Factual/Numerical, Reasoning, Instruction-following, Typo/Grammar</t>
  </si>
  <si>
    <t xml:space="preserve">Text: realisasi belanja transfer Tw I 2024 Rp201,60 miliar atau 12,12% dari pagu, tumbuh 64,60% (yoy). Grafik 2.4 only shows share 14,57%.</t>
  </si>
  <si>
    <t xml:space="preserve">Transfer spending grew 64,60% (yoy); there is no 76,25% decline (76,25% is belanja pegawai share). Evidence is text, not chart; question garbled.</t>
  </si>
  <si>
    <t xml:space="preserve">Bagaimana realisasi belanja transfer Provinsi Bengkulu pada triwulan I 2024?</t>
  </si>
  <si>
    <t xml:space="preserve">Realisasi belanja transfer triwulan I 2024 sebesar Rp201,60 miliar atau 12,12% dari pagu, tumbuh 64,60% (yoy) didorong bantuan dana pemilu di kabupaten/kota.</t>
  </si>
  <si>
    <t xml:space="preserve">QA0280</t>
  </si>
  <si>
    <t xml:space="preserve">Laporan 20Perekonomian 20Provinsi 20Bengkulu 20Mei 202024_p036.png</t>
  </si>
  <si>
    <t xml:space="preserve">Bagaimana realisasi belanja APBN di Provinsi Bengkulu pada tahun 2023?</t>
  </si>
  <si>
    <t xml:space="preserve">Realisasi belanja APBN di Provinsi Bengkulu pada tahun 2023 adalah Rp 1.386,13 miliar.</t>
  </si>
  <si>
    <t xml:space="preserve">Tabel 2.3: Jumlah Belanja Negara Tw I 2023 realisasi Rp2.951,65 miliar (18,45% dari pagu Rp15.994,79 miliar). 1.386,13 not on page.</t>
  </si>
  <si>
    <t xml:space="preserve">Rp1.386,13 miliar does not exist; the page only gives Tw I 2023 realization Rp2.951,65 miliar (table, not text).</t>
  </si>
  <si>
    <t xml:space="preserve">Berapa realisasi belanja APBN di Provinsi Bengkulu pada triwulan I 2023?</t>
  </si>
  <si>
    <t xml:space="preserve">Rp2.951,65 miliar atau 18,45% dari pagu Rp15.994,79 miliar.</t>
  </si>
  <si>
    <t xml:space="preserve">QA0281</t>
  </si>
  <si>
    <t xml:space="preserve">Bagaimana berubah realisasi belanja APBN di Provinsi Bengkulu dari tahun 2023 ke tahun 2024?</t>
  </si>
  <si>
    <t xml:space="preserve">Realisasi belanja APBN di Provinsi Bengkulu meningkat dari Rp 1.386,13 miliar pada tahun 2023 menjadi Rp 1.386,13 miliar pada tahun 2024.</t>
  </si>
  <si>
    <t xml:space="preserve">Tabel 2.3: realisasi Tw I 2023 Rp2.951,65 miliar -&gt; Tw I 2024 Rp3.486,59 miliar, tumbuh 18,12% (yoy).</t>
  </si>
  <si>
    <t xml:space="preserve">Answer repeats a nonexistent value for both years ('meningkat' from 1.386,13 to 1.386,13). Correct Tw I values are 2.951,65 -&gt; 3.486,59 (+18,12%); data from table, no chart.</t>
  </si>
  <si>
    <t xml:space="preserve">Bagaimana perubahan realisasi belanja APBN di Provinsi Bengkulu dari triwulan I 2023 ke triwulan I 2024?</t>
  </si>
  <si>
    <t xml:space="preserve">Meningkat dari Rp2.951,65 miliar pada triwulan I 2023 menjadi Rp3.486,59 miliar pada triwulan I 2024, tumbuh 18,12% (yoy).</t>
  </si>
  <si>
    <t xml:space="preserve">QA0282</t>
  </si>
  <si>
    <t xml:space="preserve">Bagaimana berubah persentase realisasi belanja APBN di Provinsi Bengkulu dari tahun 2023 ke tahun 2024?</t>
  </si>
  <si>
    <t xml:space="preserve">Persentase realisasi belanja APBN di Provinsi Bengkulu meningkat dari 48,53% pada tahun 2023 menjadi 48,53% pada tahun 2024.</t>
  </si>
  <si>
    <t xml:space="preserve">Tabel 2.3 Jumlah Belanja Negara % realisasi: 18,45% (Tw I 2023) -&gt; 21,77% (Tw I 2024). 48,53% is belanja pemerintah pusat growth (yoy).</t>
  </si>
  <si>
    <t xml:space="preserve">48,53% is central-government spending growth, and the answer gives the same value for both years. Realization % rose 18,45% -&gt; 21,77% (table, no chart).</t>
  </si>
  <si>
    <t xml:space="preserve">Bagaimana perubahan persentase realisasi belanja APBN Provinsi Bengkulu dari triwulan I 2023 ke triwulan I 2024?</t>
  </si>
  <si>
    <t xml:space="preserve">Persentase realisasi meningkat dari 18,45% pada triwulan I 2023 menjadi 21,77% pada triwulan I 2024.</t>
  </si>
  <si>
    <t xml:space="preserve">QA0283</t>
  </si>
  <si>
    <t xml:space="preserve">Laporan 20Perekonomian 20Provinsi 20Bengkulu 20Mei 202024_p039.png</t>
  </si>
  <si>
    <t xml:space="preserve">Bagaimana realisasi inflasi di Provinsi Bengkulu pada triwulan 1 2023 dan triwulan 1 2024?</t>
  </si>
  <si>
    <t xml:space="preserve">Realisasi inflasi di Provinsi Bengkulu pada triwulan 1 2023 adalah 3,56% dan pada triwulan 1 2024 adalah 3,05%.</t>
  </si>
  <si>
    <t xml:space="preserve">Text: inflasi Bengkulu Tw I 2024 3,56% (yoy), naik dari Tw IV 2023 3,09% (yoy). 3,05% is national Tw I 2024. No Tw I 2023 value stated.</t>
  </si>
  <si>
    <t xml:space="preserve">3,56% is Tw I 2024 (not Tw I 2023) and 3,05% is national inflation; the text compares with Tw IV 2023, not Tw I 2023.</t>
  </si>
  <si>
    <t xml:space="preserve">Bagaimana realisasi inflasi di Provinsi Bengkulu pada triwulan IV 2023 dan triwulan I 2024?</t>
  </si>
  <si>
    <t xml:space="preserve">Inflasi Bengkulu meningkat dari 3,09% (yoy) pada triwulan IV 2023 menjadi 3,56% (yoy) pada triwulan I 2024.</t>
  </si>
  <si>
    <t xml:space="preserve">QA0284</t>
  </si>
  <si>
    <t xml:space="preserve">Bagaimana berbeda realisasi inflasi di Sumatera dan Bengkulu pada triwulan 1 2024?</t>
  </si>
  <si>
    <t xml:space="preserve">Realisasi inflasi di Sumatera pada triwulan 1 2024 adalah 3,46%, sedangkan di Bengkulu adalah 3,05%.</t>
  </si>
  <si>
    <t xml:space="preserve">Grafik 3.1 inset Tw I 2024: Bengkulu 3,56; Nasional 3,05; Sumatera 3,46 (% yoy).</t>
  </si>
  <si>
    <t xml:space="preserve">Sumatera 3,46% correct, but Bengkulu is 3,56% (3,05% is national). Bengkulu is higher than Sumatera, not lower.</t>
  </si>
  <si>
    <t xml:space="preserve">Bagaimana perbedaan realisasi inflasi di Sumatera dan Bengkulu pada triwulan I 2024?</t>
  </si>
  <si>
    <t xml:space="preserve">Inflasi Sumatera pada triwulan I 2024 sebesar 3,46% (yoy), sedangkan Bengkulu lebih tinggi yaitu 3,56% (yoy).</t>
  </si>
  <si>
    <t xml:space="preserve">QA0285</t>
  </si>
  <si>
    <t xml:space="preserve">Bagaimana berbeda realisasi inflasi di kota dan daerah di Kawasan Makanan, Minuman, dan Tembakau?</t>
  </si>
  <si>
    <t xml:space="preserve">Realisasi inflasi di Kawasan Makanan, Minuman, dan Tembakau pada triwulan 1 2024 adalah 2,42% dan pada triwulan 1 2023 adalah 2,28%.</t>
  </si>
  <si>
    <t xml:space="preserve">Tabel 3.1 only has monthly Jan-Mar 2024 inflation/andil by group (makanan: andil 2,42% Mar 2024); no city vs region split and no Tw I 2023 value (2,28% absent).</t>
  </si>
  <si>
    <t xml:space="preserve">Question about 'kota dan daerah' in makanan group is garbled and not on page; 2,28% for Tw I 2023 is fabricated.</t>
  </si>
  <si>
    <t xml:space="preserve">QA0286</t>
  </si>
  <si>
    <t xml:space="preserve">Laporan 20Perekonomian 20Provinsi 20Bengkulu 20Mei 202024_p049.png</t>
  </si>
  <si>
    <t xml:space="preserve">Bagaimana berubah-nubur inflasi kota Bengkulu dan Kabupaten Mukomuko antara bulan Januari dan April 2024?</t>
  </si>
  <si>
    <t xml:space="preserve">Kota Bengkulu mencapai 3,48 mm, sedangkan Kabupaten Mukomuko mencapai 3,57 mm pada bulan April 2024.</t>
  </si>
  <si>
    <t xml:space="preserve">Factual/Numerical, Unit, Incomplete, Typo/Grammar</t>
  </si>
  <si>
    <t xml:space="preserve">Grafik B1.2 (yoy, %): Kota Bengkulu Jan 2,85, Feb 3,42, Mar 3,48, Apr 3,57; Mukomuko Jan 2,76, Feb 4,48, Mar 3,8, Apr 3,78.</t>
  </si>
  <si>
    <t xml:space="preserve">April values are 3,57% (Kota Bengkulu) and 3,78% (Mukomuko); 3,48 is Kota Bengkulu's March value. Unit 'mm' is wrong (% yoy) and the Jan-Apr trend is not described.</t>
  </si>
  <si>
    <t xml:space="preserve">Bagaimana pergerakan inflasi tahunan Kota Bengkulu dan Kabupaten Mukomuko antara Januari dan April 2024?</t>
  </si>
  <si>
    <t xml:space="preserve">Inflasi Kota Bengkulu naik stabil dari 2,85% (yoy) pada Januari menjadi 3,57% (yoy) pada April 2024, sedangkan Mukomuko melonjak dari 2,76% (Januari) ke 4,48% (Februari) lalu turun menjadi 3,78% (yoy) pada April 2024.</t>
  </si>
  <si>
    <t xml:space="preserve">QA0287</t>
  </si>
  <si>
    <t xml:space="preserve">Bagaimana banyaknya inflasi di kabupaten Mukomuko berbanding dengan kota Bengkulu pada bulan Januari 2024?</t>
  </si>
  <si>
    <t xml:space="preserve">Kota Bengkulu mempunyai inflasi 3,85 mm pada bulan Januari 2024, sedangkan Kabupaten Mukomuko mempunyai inflasi 4,48 mm.</t>
  </si>
  <si>
    <t xml:space="preserve">Grafik B1.2 Jan 2024 (yoy): Kota Bengkulu 2,85%, Mukomuko 2,76%; Grafik B1.1 Jan (mtm): 0,15% vs 0,12%. 4,48 is Mukomuko Feb yoy.</t>
  </si>
  <si>
    <t xml:space="preserve">Jan 2024 values are 2,85% vs 2,76% (yoy); 3,85 does not exist and 4,48 is February. Unit 'mm' wrong; evidence is a chart, not text.</t>
  </si>
  <si>
    <t xml:space="preserve">Bagaimana inflasi tahunan Kabupaten Mukomuko dibandingkan Kota Bengkulu pada Januari 2024?</t>
  </si>
  <si>
    <t xml:space="preserve">Pada Januari 2024 inflasi Kota Bengkulu 2,85% (yoy), sedikit lebih tinggi daripada Kabupaten Mukomuko sebesar 2,76% (yoy).</t>
  </si>
  <si>
    <t xml:space="preserve">QA0288</t>
  </si>
  <si>
    <t xml:space="preserve">Bagaimana banyaknya perubahan inflasi di Kabupaten Mukomuko antara bulan Januari dan April 2024?</t>
  </si>
  <si>
    <t xml:space="preserve">Inflasi di Kabupaten Mukomuko meningkat dari 4,48 mm pada bulan Januari menjadi 3,57 mm pada bulan April.</t>
  </si>
  <si>
    <t xml:space="preserve">Grafik B1.2 Mukomuko (yoy): Jan 2,76%, Feb 4,48%, Mar 3,8%, Apr 3,78%. 3,57 is Kota Bengkulu Apr.</t>
  </si>
  <si>
    <t xml:space="preserve">Jan value is 2,76% (4,48 is Feb) and Apr is 3,78% (3,57 is Kota Bengkulu); 'meningkat' from 4,48 to 3,57 is contradictory; unit 'mm' wrong. 'Banyaknya perubahan' needs a calculation.</t>
  </si>
  <si>
    <t xml:space="preserve">Berapa besar perubahan inflasi tahunan Kabupaten Mukomuko antara Januari dan April 2024?</t>
  </si>
  <si>
    <t xml:space="preserve">Inflasi Mukomuko meningkat dari 2,76% (yoy) pada Januari menjadi 3,78% (yoy) pada April 2024, naik 1,02 poin persentase (sempat mencapai 4,48% pada Februari).</t>
  </si>
  <si>
    <t xml:space="preserve">QA0289</t>
  </si>
  <si>
    <t xml:space="preserve">Laporan 20Perekonomian 20Provinsi 20Bengkulu 20Mei 202024_p081.png</t>
  </si>
  <si>
    <t xml:space="preserve">Bagaimana kondisi keteragakerjaan di Provinsi Bengkulu pada bulan Februari 2023 dan 2024?</t>
  </si>
  <si>
    <t xml:space="preserve">Kondisi keteragakerjaan di Provinsi Bengkulu pada bulan Februari 2023 berjumlah 3,21% dan pada bulan Februari 2024 berjumlah 3,17%.</t>
  </si>
  <si>
    <t xml:space="preserve">Incomplete, Typo/Grammar</t>
  </si>
  <si>
    <t xml:space="preserve">Text: TPT Bengkulu turun dari 3,21% (Feb 2023) menjadi 3,17% (Feb 2024), menunjukkan perbaikan kondisi ketenagakerjaan; pengangguran 36.320 -&gt; 35.394 orang (per Tabel 6.1).</t>
  </si>
  <si>
    <t xml:space="preserve">The numbers are right, but the answer does not say they are TPT, uses 'berjumlah' for percentages, and omits the improvement. 'keteragakerjaan' is a typo.</t>
  </si>
  <si>
    <t xml:space="preserve">Bagaimana kondisi ketenagakerjaan di Provinsi Bengkulu pada Februari 2023 dan Februari 2024?</t>
  </si>
  <si>
    <t xml:space="preserve">Kondisi ketenagakerjaan di Provinsi Bengkulu membaik: Tingkat Pengangguran Terbuka (TPT) turun dari 3,21% pada Februari 2023 menjadi 3,17% pada Februari 2024.</t>
  </si>
  <si>
    <t xml:space="preserve">QA0290</t>
  </si>
  <si>
    <t xml:space="preserve">Bagaimana berubah persentase Penduduk Usia Kerja (PUSK) di Provinsi Bengkulu dari bulan Februari 2023 ke Februari 2024?</t>
  </si>
  <si>
    <t xml:space="preserve">Persentase PUSK di Provinsi Bengkulu meningkat dari 3,21% pada Februari 2023 menjadi 3,17% pada Februari 2024.</t>
  </si>
  <si>
    <t xml:space="preserve">Tabel 6.1: Penduduk Usia Kerja 1.554,17 ribu orang (Feb 2023) -&gt; 1.573,69 ribu orang (Feb 2024). 3,21%/3,17% are TPT. No chart.</t>
  </si>
  <si>
    <t xml:space="preserve">3,21% and 3,17% are TPT, not PUK, and 3,21 to 3,17 is a decrease, not an increase. PUK is in thousands of people, not %. The source is a table, not a chart.</t>
  </si>
  <si>
    <t xml:space="preserve">Bagaimana perubahan jumlah Penduduk Usia Kerja (PUK) di Provinsi Bengkulu dari Februari 2023 ke Februari 2024?</t>
  </si>
  <si>
    <t xml:space="preserve">Jumlah Penduduk Usia Kerja di Provinsi Bengkulu meningkat dari 1.554,17 ribu orang pada Februari 2023 menjadi 1.573,69 ribu orang pada Februari 2024, atau bertambah 19,52 ribu orang (sekitar 1,26%).</t>
  </si>
  <si>
    <t xml:space="preserve">QA0291</t>
  </si>
  <si>
    <t xml:space="preserve">Bagaimana berubah jumlah pekerja yang mengambil pekerjaan di Provinsi Bengkulu dari bulan Februari 2023 ke Februari 2024?</t>
  </si>
  <si>
    <t xml:space="preserve">Jumlah pekerja yang mengambil pekerjaan di Provinsi Bengkulu meningkat dari 36,320 orang pada Februari 2023 menjadi 36,320 orang pada Februari 2024.</t>
  </si>
  <si>
    <t xml:space="preserve">Factual/Numerical, Reasoning, Typo/Grammar, Instruction-following</t>
  </si>
  <si>
    <t xml:space="preserve">Tabel 6.1: Bekerja 1.093,85 ribu orang (Feb 2023) -&gt; 1.080,74 ribu orang (Feb 2024). 36,32 ribu is Pengangguran Feb 2023. No chart.</t>
  </si>
  <si>
    <t xml:space="preserve">The answer gives the unemployed count (36,32 ribu) for both years and calls an unchanged value an increase. Employed people fell by 13,11 ribu. The question wording is garbled, and the source is a table.</t>
  </si>
  <si>
    <t xml:space="preserve">Bagaimana perubahan jumlah penduduk yang bekerja di Provinsi Bengkulu dari Februari 2023 ke Februari 2024?</t>
  </si>
  <si>
    <t xml:space="preserve">Jumlah penduduk yang bekerja di Provinsi Bengkulu turun dari 1.093,85 ribu orang pada Februari 2023 menjadi 1.080,74 ribu orang pada Februari 2024, atau berkurang 13,11 ribu orang.</t>
  </si>
  <si>
    <t xml:space="preserve">QA0292</t>
  </si>
  <si>
    <t xml:space="preserve">Laporan 20Perekonomian 20Provinsi 20Bengkulu 20Mei 202024_p082.png</t>
  </si>
  <si>
    <t xml:space="preserve">Bagaimana berbeda pendapatan khusus SD dan SMP di FEB-23 dan FEB-24?</t>
  </si>
  <si>
    <t xml:space="preserve">SD kebawah: FEB-23 39,00%, FEB-24 35,30%, SMP kebawah: FEB-23 18,82%, FEB-24 18,10%</t>
  </si>
  <si>
    <t xml:space="preserve">Tabel 6.4 porsi tenaga kerja (%): SD kebawah Feb-23 39,00, Feb-24 34,49; SMP Feb-23 18,82, Feb-24 16,93 (35,30/18,10 are Agt-23).</t>
  </si>
  <si>
    <t xml:space="preserve">Table shows workforce shares by education, not income; Feb-24 values taken from Agt-23 column. Evidence is a table, not a chart.</t>
  </si>
  <si>
    <t xml:space="preserve">Bagaimana perbedaan porsi tenaga kerja berpendidikan SD ke bawah dan SMP di Provinsi Bengkulu antara Februari 2023 dan Februari 2024?</t>
  </si>
  <si>
    <t xml:space="preserve">SD ke bawah: 39,00% (Feb-23) menjadi 34,49% (Feb-24); SMP: 18,82% (Feb-23) menjadi 16,93% (Feb-24). Keduanya menurun.</t>
  </si>
  <si>
    <t xml:space="preserve">QA0293</t>
  </si>
  <si>
    <t xml:space="preserve">Bagaimana berbeda pendapatan khusus jumlah di FEB-23 dan FEB-24?</t>
  </si>
  <si>
    <t xml:space="preserve">Jumlah pendapatan: FEB-23 100%, FEB-24 100%</t>
  </si>
  <si>
    <t xml:space="preserve">Tabel 6.5 Ketenagakerjaan Berdasarkan Jam Kerja: Jumlah = 100 for Feb-23, Agt-23 and Feb-24.</t>
  </si>
  <si>
    <t xml:space="preserve">Values (100%) correct, but 'pendapatan' is wrong wording (table shows workforce shares) and no calculation/chart is involved.</t>
  </si>
  <si>
    <t xml:space="preserve">Berapa jumlah total porsi tenaga kerja berdasarkan jam kerja pada Februari 2023 dan Februari 2024?</t>
  </si>
  <si>
    <t xml:space="preserve">Jumlah porsi tenaga kerja berdasarkan jam kerja adalah 100% pada Februari 2023 dan 100% pada Februari 2024.</t>
  </si>
  <si>
    <t xml:space="preserve">QA0294</t>
  </si>
  <si>
    <t xml:space="preserve">Bagaimana berbeda pendapatan khusus di FEB-23 dan FEB-24?</t>
  </si>
  <si>
    <t xml:space="preserve">Pendapatan di FEB-23 lebih tinggi dibandingkan dengan FEB-24, khususnya pada khusus SD dan SMP</t>
  </si>
  <si>
    <t xml:space="preserve">Tabel 6.4: SD kebawah 39,00 (Feb-23) vs 34,49 (Feb-24); SMP 18,82 vs 16,93. Text: penurunan komposisi pada kelompok SMP dan SD ke bawah.</t>
  </si>
  <si>
    <t xml:space="preserve">Direction is right if read as workforce share, but page has no income ('pendapatan') data; evidence is table-based.</t>
  </si>
  <si>
    <t xml:space="preserve">Bagaimana perbedaan porsi tenaga kerja berdasarkan pendidikan antara Februari 2023 dan Februari 2024, khususnya SD dan SMP?</t>
  </si>
  <si>
    <t xml:space="preserve">Porsi tenaga kerja berpendidikan SD ke bawah dan SMP pada Februari 2023 lebih tinggi dibanding Februari 2024 (SD: 39,00% vs 34,49%; SMP: 18,82% vs 16,93%).</t>
  </si>
  <si>
    <t xml:space="preserve">QA0295</t>
  </si>
  <si>
    <t xml:space="preserve">Laporan 20Perekonomian 20Provinsi 20Bengkulu 20Mei 202024_p083.png</t>
  </si>
  <si>
    <t xml:space="preserve">Bagaimana perubahan penduduk miskin di Provinsi Bengkulu selama periode Maret 2023 dan Maret 2022?</t>
  </si>
  <si>
    <t xml:space="preserve">Pada periode Maret 2023, penduduk miskin berjumlah 292.930 juta, sedangkan pada periode Maret 2022 berjumlah 290.930 juta.</t>
  </si>
  <si>
    <t xml:space="preserve">Tabel 6.7: Jumlah penduduk miskin Maret 2022 = 297,23 ribu; Maret 2023 = 288,46 ribu (text: 288.460 jiwa). 292.930 is September 2022.</t>
  </si>
  <si>
    <t xml:space="preserve">Numbers wrong (Sep 2022 value used, 290.930 invented), unit 'juta' wrong, implied increase wrong; poverty fell by 8.770 jiwa. Data from table, no chart.</t>
  </si>
  <si>
    <t xml:space="preserve">Penduduk miskin turun dari 297.230 jiwa (Maret 2022) menjadi 288.460 jiwa (Maret 2023), berkurang 8.770 jiwa (sekitar -2,95%).</t>
  </si>
  <si>
    <t xml:space="preserve">QA0296</t>
  </si>
  <si>
    <t xml:space="preserve">Bagaimana kepercayaan masyarakat di wilayah dengan penduduk miskin yang lebih banyak?</t>
  </si>
  <si>
    <t xml:space="preserve">Masyarakat di wilayah dengan penduduk miskin yang lebih banyak memiliki kepercayaan lebih tinggi, dengan kemampuan memanfaatkan kemiskinan dan mempunyai penyusunan sosial yang lebih baik.</t>
  </si>
  <si>
    <t xml:space="preserve">Page covers NTP (Tabel 6.6) and poverty indicators (Tabel 6.7, text); nothing on public trust ('kepercayaan masyarakat') by region.</t>
  </si>
  <si>
    <t xml:space="preserve">Topic not present on page; answer is fabricated.</t>
  </si>
  <si>
    <t xml:space="preserve">QA0297</t>
  </si>
  <si>
    <t xml:space="preserve">Pada periode Maret 2023, penduduk miskin di Provinsi Bengkulu berjumlah 292.930 juta, sedangkan pada periode Maret 2022 berjumlah 290.930 juta. Pada periode Maret 2023, penduduk miskin meningkat 2,000 juta jika dibandingkan dengan periode Maret 2022.</t>
  </si>
  <si>
    <t xml:space="preserve">Factual/Numerical, Reasoning, Unit, Calculation</t>
  </si>
  <si>
    <t xml:space="preserve">Text: persentase penduduk miskin Maret 2023 14,04% vs 14,62% Maret 2022; jumlah 288.460 jiwa Maret 2023. Tabel 6.7: Maret 2022 297,23 ribu.</t>
  </si>
  <si>
    <t xml:space="preserve">Values wrong, unit 'juta' wrong, and direction wrong: poverty decreased, not increased by 2,000 juta.</t>
  </si>
  <si>
    <t xml:space="preserve">Penduduk miskin menurun: persentasenya turun dari 14,62% (Maret 2022) menjadi 14,04% (Maret 2023), dan jumlahnya turun dari 297.230 jiwa menjadi 288.460 jiwa.</t>
  </si>
  <si>
    <t xml:space="preserve">QA0298</t>
  </si>
  <si>
    <t xml:space="preserve">Laporan Perekonomian Provinsi DKI Jakarta Februari 2025</t>
  </si>
  <si>
    <t xml:space="preserve">Laporan 20Perekonomian 20Provinsi 20DKI 20Jakarta 20Februari 202025_p023.png</t>
  </si>
  <si>
    <t xml:space="preserve">Bagaimana perkembangan ekonomi global pada tahun 2024 dijelaskan?</t>
  </si>
  <si>
    <t xml:space="preserve">Pertumbuhan ekonomi global dijelaskan dengan meningkatkan permintaan domestik dan peningkatan investasi dengan teknologi yang mendorong peningkatan produktivitas.</t>
  </si>
  <si>
    <t xml:space="preserve">Temporal, Reasoning, Incomplete</t>
  </si>
  <si>
    <t xml:space="preserve">Text: ekonomi dunia 2025 diprakirakan tumbuh 3,2%, lebih tinggi dari proyeksi sebelumnya, sejalan ekonomi AS yang kuat (stimulus fiskal, investasi teknologi). Tabel 1.1: Dunia 2024* 3,2%.</t>
  </si>
  <si>
    <t xml:space="preserve">The text describes the 2025 projection, and the drivers cited belong to the US economy, not global growth in 2024; no growth figure given.</t>
  </si>
  <si>
    <t xml:space="preserve">Bagaimana prakiraan pertumbuhan ekonomi dunia tahun 2025 dijelaskan?</t>
  </si>
  <si>
    <t xml:space="preserve">Ekonomi dunia 2025 diprakirakan tumbuh 3,2%, lebih tinggi dari proyeksi sebelumnya, sejalan dengan ekonomi AS yang tumbuh lebih kuat didukung stimulus fiskal yang meningkatkan permintaan domestik dan investasi teknologi yang mendorong produktivitas.</t>
  </si>
  <si>
    <t xml:space="preserve">QA0299</t>
  </si>
  <si>
    <t xml:space="preserve">Bagaimana pertumbuhan ekonomi global dihubungkan dengan aset ke AS?</t>
  </si>
  <si>
    <t xml:space="preserve">Pertumbuhan ekonomi global menghubungkan dengan aset ke AS melalui meningkatkan permintaan domestik dan peningkatan investasi dengan teknologi.</t>
  </si>
  <si>
    <t xml:space="preserve">Reasoning, Typo/Grammar, Instruction-following</t>
  </si>
  <si>
    <t xml:space="preserve">Text: penguatan dolar AS dan berbaliknya preferensi investor global memindahkan alokasi portofolio ke AS, meningkatkan tekanan pelemahan mata uang dunia dan menahan aliran modal ke negara berkembang.</t>
  </si>
  <si>
    <t xml:space="preserve">Answer repeats US growth drivers and does not explain the portfolio shift to the US; question is garbled; no numerical chart calculation involved.</t>
  </si>
  <si>
    <t xml:space="preserve">Apa dampak perpindahan alokasi portofolio investor global kembali ke AS?</t>
  </si>
  <si>
    <t xml:space="preserve">Perpindahan alokasi portofolio kembali ke AS diperkirakan meningkatkan tekanan pelemahan berbagai mata uang dunia dan menahan aliran masuk modal asing ke negara berkembang.</t>
  </si>
  <si>
    <t xml:space="preserve">QA0300</t>
  </si>
  <si>
    <t xml:space="preserve">Bagaimana pertumbuhan ekonomi global menghubungkan dengan aset ke AS?</t>
  </si>
  <si>
    <t xml:space="preserve">Text: dolar AS menguat, preferensi investor global berbalik ke AS; ke depan menahan aliran modal ke negara berkembang. Grafik 1.2 shows capital flows to EMs (Tiongkok, India, etc.).</t>
  </si>
  <si>
    <t xml:space="preserve">Duplicate of IV-1: answer gives US growth drivers, not the link between global conditions and portfolio shift to the US; answer is from text, not a chart trend.</t>
  </si>
  <si>
    <t xml:space="preserve">Bagaimana perpindahan alokasi portofolio investor global ke AS memengaruhi negara berkembang?</t>
  </si>
  <si>
    <t xml:space="preserve">Berbaliknya preferensi investor global ke AS, seiring penguatan dolar AS dan yield US Treasury yang tinggi, meningkatkan tekanan pelemahan mata uang dunia dan menahan aliran masuk modal asing ke negara berkembang.</t>
  </si>
  <si>
    <t xml:space="preserve">QA0301</t>
  </si>
  <si>
    <t xml:space="preserve">Laporan 20Perekonomian 20Provinsi 20DKI 20Jakarta 20Februari 202025_p042.png</t>
  </si>
  <si>
    <t xml:space="preserve">Bagaimana kontribusi pemerintah terhadap investasi di Jakarta pada tahun 2024?</t>
  </si>
  <si>
    <t xml:space="preserve">Kontribusi pemerintah terhadap investasi di Jakarta pada tahun 2024 adalah 37,31% (ctc).</t>
  </si>
  <si>
    <t xml:space="preserve">Page has no 'government contribution to investment'. Text: investasi share 37,31% of the economy in 2024, contributing 1,93% (ctc) to growth; investasi grew 5,20% (ctc). No investment chart.</t>
  </si>
  <si>
    <t xml:space="preserve">The metric asked (government contribution to investment) does not exist on the page; 37,31% is the investment component's share of GRDP, not a ctc figure.</t>
  </si>
  <si>
    <t xml:space="preserve">QA0302</t>
  </si>
  <si>
    <t xml:space="preserve">Bagaimana perubahan ekspor emas dan permati di Jakarta selama beberapa tahun?</t>
  </si>
  <si>
    <t xml:space="preserve">Perubahan ekspor emas dan permati di Jakarta selama beberapa tahun menunjukkan kenaikan pada tahun 2024, dengan jumlah sebesar 4,9 miliar USD. Perubahan ini mencapai 49,29% (ctc) pada tahun 2024 dibandingkan dengan 7,72% (ctc) pada tahun sebelumnya.</t>
  </si>
  <si>
    <t xml:space="preserve">Grafik 2.48 (juta USD): ~2.110 (2019), ~1.800 (2020), ~1.280 (2021), ~1.070 (2022), ~1.250 (2023), ~1.870 (2024); growth low ~-28% (2021) -&gt; ~49% (2024); text: 49,29% (ctc) 2024. 7,72% is total ekspor 2023.</t>
  </si>
  <si>
    <t xml:space="preserve">2024 value is ~USD1,87 billion, not 4,9 billion; 7,72% is total export growth 2023, not gold/jewelry; multi-year decline 2019-2022 omitted; 'permati' typo.</t>
  </si>
  <si>
    <t xml:space="preserve">Bagaimana perkembangan ekspor emas dan permata di Jakarta selama 2019-2024?</t>
  </si>
  <si>
    <t xml:space="preserve">Nilai ekspor emas dan permata turun dari sekitar USD2,1 miliar (2019) ke titik terendah sekitar USD1,07 miliar (2022), lalu naik menjadi sekitar USD1,25 miliar (2023) dan sekitar USD1,87 miliar (2024), dengan pertumbuhan 2024 mencapai 49,29% (ctc).</t>
  </si>
  <si>
    <t xml:space="preserve">QA0303</t>
  </si>
  <si>
    <t xml:space="preserve">Bagaimana kontribusi pemerintah terhadap Pembentukan Modal Tepat Bruto (PMTB) di DKI Jakarta pada tahun 2024?</t>
  </si>
  <si>
    <t xml:space="preserve">Kontribusi pemerintah terhadap PMTB di DKI Jakarta pada tahun 2024 adalah 58,74% (ctc).</t>
  </si>
  <si>
    <t xml:space="preserve">Text: realisasi PMA dan PMDN 2024 tumbuh 58,74% (ctc) dan 34,78% (ctc). No government contribution to PMTB is reported.</t>
  </si>
  <si>
    <t xml:space="preserve">Government contribution to PMTB is not on the page; 58,74% is PMA realization growth, so the answer is misattributed to a non-existent metric.</t>
  </si>
  <si>
    <t xml:space="preserve">QA0304</t>
  </si>
  <si>
    <t xml:space="preserve">Laporan 20Perekonomian 20Provinsi 20DKI 20Jakarta 20Februari 202025_p043.png</t>
  </si>
  <si>
    <t xml:space="preserve">Bagaimana perkemangan import di DKI Jakarta pada tahun 2024 dibandingkan tahun 2023?</t>
  </si>
  <si>
    <t xml:space="preserve">Pada tahun 2024, import di DKI Jakarta mencatatkan pertumbuhan sebesar 10.09%, sedangkan tahun 2023 pertumbuhan sebesar 5.33%.</t>
  </si>
  <si>
    <t xml:space="preserve">Text (Impor): 2024 impor Jakarta tumbuh 10,09% (ctc), meningkat dari 5,33% (ctc) pada 2023.</t>
  </si>
  <si>
    <t xml:space="preserve">Both values and years correct; minor typo in question and omission of 'ctc' do not change the fact.</t>
  </si>
  <si>
    <t xml:space="preserve">QA0305</t>
  </si>
  <si>
    <t xml:space="preserve">Bagaimana komponen lapangan usaha di DKI Jakarta pada tahun 2024 dibandingkan tahun 2023?</t>
  </si>
  <si>
    <t xml:space="preserve">Pada tahun 2024, komponen import di DKI Jakarta mencatatkan pertumbuhan sebesar 4.90%, sedangkan tahun 2023 pertumbuhan sebesar 4.96%.</t>
  </si>
  <si>
    <t xml:space="preserve">Text (Komponen Lapangan Usaha): perekonomian DKI Jakarta 2024 tumbuh 4,90% (yoy), melambat dari 4,96% (yoy) pada 2023.</t>
  </si>
  <si>
    <t xml:space="preserve">Numbers are right but misattributed to 'komponen import' instead of overall economy (LU side), and slowdown not stated. Values from text, no chart calculation.</t>
  </si>
  <si>
    <t xml:space="preserve">Dari sisi lapangan usaha, perekonomian DKI Jakarta tahun 2024 tumbuh 4,90% (yoy), melambat dibandingkan 4,96% (yoy) pada tahun 2023, terutama karena perlambatan LU Industri Pengolahan dan LU Infokom.</t>
  </si>
  <si>
    <t xml:space="preserve">QA0306</t>
  </si>
  <si>
    <t xml:space="preserve">Bagaimana pertumbuhan industri pengolahan di DKI Jakarta pada tahun 2024 dibandingkan tahun 2023?</t>
  </si>
  <si>
    <t xml:space="preserve">Pada tahun 2024, pertumbuhan industri pengolahan di DKI Jakarta mencatatkan pertumbuhan sebesar 2.53%, sedangkan tahun 2023 pertumbuhan sebesar 1.86%.</t>
  </si>
  <si>
    <t xml:space="preserve">Text: LU Industri Pengolahan 2024 tumbuh 1,14%, lebih rendah dari 1,86% pada 2023. 2,53% is impor barang modal contraction.</t>
  </si>
  <si>
    <t xml:space="preserve">2024 value wrong (2,53% belongs to capital-goods imports) and implies acceleration instead of slowdown. Values in text.</t>
  </si>
  <si>
    <t xml:space="preserve">LU Industri Pengolahan pada tahun 2024 tumbuh 1,14%, melambat dibandingkan pertumbuhan tahun 2023 sebesar 1,86%.</t>
  </si>
  <si>
    <t xml:space="preserve">QA0307</t>
  </si>
  <si>
    <t xml:space="preserve">Laporan 20Perekonomian 20Provinsi 20DKI 20Jakarta 20Februari 202025_p053.png</t>
  </si>
  <si>
    <t xml:space="preserve">Bagaimana realisasi Pendapatan Daerah pada tahun 2024 di DKI Jakarta?</t>
  </si>
  <si>
    <t xml:space="preserve">Realisasi Pendapatan Daerah pada tahun 2024 di DKI Jakarta mencapai 98,28% dari pagu APBD-2024, sekitar 100,34% dari pagu APBD-2023.</t>
  </si>
  <si>
    <t xml:space="preserve">Temporal, Reasoning</t>
  </si>
  <si>
    <t xml:space="preserve">Text: 2024 realisasi Pendapatan Daerah 98,28% dari pagu APBD-P 2024, lebih rendah dari tahun sebelumnya 100,34% dari pagu APBD-P 2023; nominal Rp72,36 T, tumbuh 2,06% (ctc).</t>
  </si>
  <si>
    <t xml:space="preserve">98,28% is right, but 100,34% is the 2023 realization rate, not 2024 realization vs 2023 pagu; answer misframes the comparison and omits the nominal value.</t>
  </si>
  <si>
    <t xml:space="preserve">Realisasi Pendapatan Daerah DKI Jakarta tahun 2024 mencapai 98,28% dari pagu APBD-P 2024 (Rp72,36 triliun, tumbuh 2,06% ctc), sedikit lebih rendah dibandingkan tahun 2023 yang mencapai 100,34% dari pagu APBD-P 2023.</t>
  </si>
  <si>
    <t xml:space="preserve">QA0308</t>
  </si>
  <si>
    <t xml:space="preserve">Bagaimana berubah berikutnya realisasi Pendapatan Daerah dan Pendapatan Transfer di DKI Jakarta selama beberapa tahun?</t>
  </si>
  <si>
    <t xml:space="preserve">Realisasi Pendapatan Daerah dan Pendapatan Transfer di DKI Jakarta berubah berikutnya selama beberapa tahun, dengan realisasi Pendapatan Daerah meningkat dan Pendapatan Transfer meningkat pada tahun 2024.</t>
  </si>
  <si>
    <t xml:space="preserve">Grafik 3.2 capaian Transfer (% pagu): 0,68 (2019), 0,99 (2020), 1,34 (2021), 1,09 (2022), 1,00 (2023), 1,05 (2024). Pendapatan Daerah: 100,34% (2023) -&gt; 98,28% (2024), nominal +2,06% ctc.</t>
  </si>
  <si>
    <t xml:space="preserve">Question garbled ('berubah berikutnya') and answer is vague/circular; it gives no multi-year trend. Transfer achievement did rise in 2024, but Pendapatan Daerah achievement fell (only nominal grew).</t>
  </si>
  <si>
    <t xml:space="preserve">Bagaimana perkembangan realisasi Pendapatan Daerah dan Pendapatan Transfer DKI Jakarta dalam beberapa tahun terakhir?</t>
  </si>
  <si>
    <t xml:space="preserve">Capaian Pendapatan Transfer berfluktuasi: naik dari 0,68 (2019) ke puncak 1,34 (2021), turun ke 1,09 (2022) dan 1,00 (2023), lalu naik menjadi 1,05 dari pagu pada 2024. Realisasi Pendapatan Daerah 2024 mencapai 98,28% dari pagu, sedikit lebih rendah dari 100,34% pada 2023, meski secara nominal tumbuh 2,06% (ctc) menjadi Rp72,36 triliun.</t>
  </si>
  <si>
    <t xml:space="preserve">QA0309</t>
  </si>
  <si>
    <t xml:space="preserve">Bagaimana berubah berikutnya pendapatan Pajak Daerah di DKI Jakarta selama beberapa tahun?</t>
  </si>
  <si>
    <t xml:space="preserve">Pendapatan Pajak Daerah di DKI Jakarta meningkat pada tahun 2024, dengan realisasi mencapai 104,88% dari tahun sebelumnya.</t>
  </si>
  <si>
    <t xml:space="preserve">Text: Pajak Daerah Tw IV 2024 terkontraksi 13,60% (yoy), berbalik dari triwulan sebelumnya tumbuh 86,14%, lebih baik dari triwulan sama tahun lalu terkontraksi 104,98% (yoy).</t>
  </si>
  <si>
    <t xml:space="preserve">Pajak Daerah contracted 13,60% yoy in Tw IV 2024 (not increased); 104,88% is a misread of the -104,98% contraction a year earlier. Info is in text, no calculation.</t>
  </si>
  <si>
    <t xml:space="preserve">Bagaimana kinerja pendapatan Pajak Daerah DKI Jakarta pada triwulan IV 2024?</t>
  </si>
  <si>
    <t xml:space="preserve">Pajak Daerah pada triwulan IV 2024 terkontraksi 13,60% (yoy), berbalik arah dari triwulan sebelumnya yang tumbuh 86,14% (yoy), namun lebih baik dibandingkan triwulan IV 2023 yang terkontraksi 104,98% (yoy).</t>
  </si>
  <si>
    <t xml:space="preserve">QA0310</t>
  </si>
  <si>
    <t xml:space="preserve">Laporan 20Perekonomian 20Provinsi 20DKI 20Jakarta 20Februari 202025_p063.png</t>
  </si>
  <si>
    <t xml:space="preserve">Bagaimana kontribusi inflasi pada triwulan IV 2024 terdiri dari berbagai sektor?</t>
  </si>
  <si>
    <t xml:space="preserve">Kontribusi inflasi pada triwulan IV 2024 terdiri dari berbagai sektor seperti kelompok makanan, minuman, dan tembakau, perusahaan makanan dan minuman/restoran, dan kelompok pengeluaran informasi, komunikasi dan jasa lainnya.</t>
  </si>
  <si>
    <t xml:space="preserve">Factual/Numerical, Incomplete</t>
  </si>
  <si>
    <t xml:space="preserve">Text: kontribusi terbesar dari kelompok perawatan pribadi dan jasa lainnya, disusul makanan, minuman &amp; tembakau; penyediaan makanan dan minuman/restoran; pendidikan (Grafik 4.2).</t>
  </si>
  <si>
    <t xml:space="preserve">Answer omits the largest contributor (perawatan pribadi dan jasa lainnya) and wrongly lists informasi, komunikasi &amp; jasa keuangan, which recorded slight deflation (-0,04%) and near-zero contribution.</t>
  </si>
  <si>
    <t xml:space="preserve">Kelompok pengeluaran apa saja yang menjadi penyumbang utama inflasi Jakarta pada triwulan IV 2024?</t>
  </si>
  <si>
    <t xml:space="preserve">Penyumbang terbesar adalah kelompok perawatan pribadi dan jasa lainnya (andil 0,52%), disusul kelompok makanan, minuman dan tembakau (andil 0,34%), kelompok penyediaan makanan dan minuman/restoran, serta kelompok pendidikan.</t>
  </si>
  <si>
    <t xml:space="preserve">QA0311</t>
  </si>
  <si>
    <t xml:space="preserve">Bagaimana berbeda kontribusi inflasi dari kelompok makanan, minuman, dan tembakau dengan kelompok pengeluaran informasi, komunikasi dan jasa lainnya pada triwulan IV 2024?</t>
  </si>
  <si>
    <t xml:space="preserve">Kelompok makanan, minuman, dan tembakau mengkontribusi 8,10% terhadap inflasi, sementara kelompok pengeluaran informasi, komunikasi dan jasa lainnya mengkontribusi 6,57%.</t>
  </si>
  <si>
    <t xml:space="preserve">Grafik 4.1 Tw IV-24: Makanan, Minuman &amp; Tembakau 1,67; Informasi, Komunikasi &amp; Jasa Keuangan -0,04; 8,10/6,57 = Perawatan Pribadi (Tw IV/Tw III). Text: andil MMT 0,34%.</t>
  </si>
  <si>
    <t xml:space="preserve">8,10% and 6,57% are Perawatan Pribadi inflation in Tw IV and Tw III 2024, not the two asked groups. MMT inflation is 1,67% (yoy, andil 0,34%); infokom -0,04% (yoy).</t>
  </si>
  <si>
    <t xml:space="preserve">Kelompok makanan, minuman dan tembakau mengalami inflasi 1,67% (yoy) dengan andil 0,34%, sedangkan kelompok informasi, komunikasi dan jasa keuangan justru deflasi 0,04% (yoy) dengan andil hampir nol.</t>
  </si>
  <si>
    <t xml:space="preserve">QA0312</t>
  </si>
  <si>
    <t xml:space="preserve">Grafik 4.1 Tw IV-24: Makanan, Minuman &amp; Tembakau 1,67; Informasi, Komunikasi &amp; Jasa Keuangan -0,04; 8,10/6,57 = Perawatan Pribadi (Tw IV/Tw III).</t>
  </si>
  <si>
    <t xml:space="preserve">Same misattribution as IV-1 (values belong to Perawatan Pribadi), and no difference is computed. Correct gap: 1,67 - (-0,04) = 1,71 pp.</t>
  </si>
  <si>
    <t xml:space="preserve">Inflasi kelompok makanan, minuman dan tembakau 1,67% (yoy), sedangkan kelompok informasi, komunikasi dan jasa keuangan -0,04% (yoy), sehingga selisihnya 1,71 poin persen.</t>
  </si>
  <si>
    <t xml:space="preserve">QA0313</t>
  </si>
  <si>
    <t xml:space="preserve">Laporan 20Perekonomian 20Provinsi 20DKI 20Jakarta 20Februari 202025_p075.png</t>
  </si>
  <si>
    <t xml:space="preserve">Bagaimana hasil peningkatan produksi aneka cabai pada tahun 2024 dibandingkan tahun 2023?</t>
  </si>
  <si>
    <t xml:space="preserve">Produksi aneka cabai pada tahun 2024 meningkat dibandingkan tahun 2023</t>
  </si>
  <si>
    <t xml:space="preserve">Incomplete, Calculation</t>
  </si>
  <si>
    <t xml:space="preserve">Grafik B2.1 (ton): Cabai rawit ~8 (2023) -&gt; ~40 (2024); cabai besar and cabai keriting ~0 -&gt; ~12 each. Text: produksi aneka cabai banyak di 2024.</t>
  </si>
  <si>
    <t xml:space="preserve">Direction (meningkat) is correct, but a calculation question gets no numbers; chart allows e.g. cabai rawit +~32 ton.</t>
  </si>
  <si>
    <t xml:space="preserve">Produksi aneka cabai meningkat pada 2024: cabai rawit naik dari sekitar 8 ton menjadi sekitar 40 ton (+~32 ton), sedangkan cabai besar dan cabai keriting masing-masing sekitar 12 ton pada 2024 dari hampir nol pada 2023.</t>
  </si>
  <si>
    <t xml:space="preserve">QA0314</t>
  </si>
  <si>
    <t xml:space="preserve">Bagaimana kontribusi dari urban farming pada tahun 2024 terhadap pembentukan kebijakan pemerintah di DKI Jakarta?</t>
  </si>
  <si>
    <t xml:space="preserve">Urban farming pada tahun 2024 menghasilkan kontribusi sekitar 2% terhadap pembentukan kebijakan pemerintah di DKI Jakarta</t>
  </si>
  <si>
    <t xml:space="preserve">No data on urban farming's contribution to government policy formation. The only '2' figure is gang greening lowering temperature ~2°C (text).</t>
  </si>
  <si>
    <t xml:space="preserve">Metric 'kontribusi terhadap pembentukan kebijakan pemerintah' does not exist on page; 2% is fabricated from the 2°C temperature fact.</t>
  </si>
  <si>
    <t xml:space="preserve">QA0315</t>
  </si>
  <si>
    <t xml:space="preserve">Bagaimana urban farming di DKI Jakarta mengubah ekonomi dan lingkungan?</t>
  </si>
  <si>
    <t xml:space="preserve">Urban farming di DKI Jakarta mengubah ekonomi dan lingkungan dengan memperluas ekosistem, memperluas kualitas produk, dan memperluas penggunaan tanah</t>
  </si>
  <si>
    <t xml:space="preserve">Text: survey - dampak sangat baik: lingkungan (mengurangi polusi), sosial, ketahanan pangan, ekonomi (penciptaan lapangan kerja); gang greening turunkan suhu ~2°C, kelembaban +5%.</t>
  </si>
  <si>
    <t xml:space="preserve">Answer's impacts (memperluas ekosistem, kualitas produk, penggunaan tanah) are not the page's stated effects.</t>
  </si>
  <si>
    <t xml:space="preserve">Urban farming berdampak sangat baik pada lingkungan (mengurangi polusi; pemanfaatan gang menurunkan suhu sekitar 2°C dan menaikkan kelembaban sekitar 5%) dan ekonomi (penciptaan lapangan kerja), serta sosial dan ketahanan pangan.</t>
  </si>
  <si>
    <t xml:space="preserve">QA0316</t>
  </si>
  <si>
    <t xml:space="preserve">Laporan 20Perekonomian 20Provinsi 20DKI 20Jakarta 20Februari 202025_p103.png</t>
  </si>
  <si>
    <t xml:space="preserve">Bagaimana berbagi net outflow dari DKI Jakarta pada periode IV 2024?</t>
  </si>
  <si>
    <t xml:space="preserve">Net outflow di bagi menjadi 3 bagian, dengan 12.75% untuk pembangunan, 35.22% untuk kepemilikan, dan 79.79% untuk kontraksi.</t>
  </si>
  <si>
    <t xml:space="preserve">Text: net outflow Tw IV 2024 Rp45,84 triliun, terjadi pada seluruh jenis pecahan UPB dan UPK. No split into pembangunan/kepemilikan/kontraksi; 12,75%/79,79% absent.</t>
  </si>
  <si>
    <t xml:space="preserve">Garbled question; the answer's three-part split with shares 12,75%, 35,22%, 79,79% is fabricated and not supported by the page.</t>
  </si>
  <si>
    <t xml:space="preserve">QA0317</t>
  </si>
  <si>
    <t xml:space="preserve">Bagaimana berubah net outflow DKI Jakarta pada periode IV 2024 dibandingkan periode IV 2023?</t>
  </si>
  <si>
    <t xml:space="preserve">Net outflow DKI Jakarta pada periode IV 2024 berubah menjadi 7.24% lebih tinggi dibandingkan periode IV 2023.</t>
  </si>
  <si>
    <t xml:space="preserve">Text: net outflow Tw IV 2024 kontraksi 0,79% (yoy) vs Tw IV 2023. Tabel 6.1 Net Flow: Q4 2023 46.212,84; Q4 2024 45.848,48 (Rp miliar).</t>
  </si>
  <si>
    <t xml:space="preserve">Net outflow fell 0,79% yoy, not rose 7,24%. Values come from Tabel 6.1/text, not a chart.</t>
  </si>
  <si>
    <t xml:space="preserve">Net outflow DKI Jakarta turun (kontraksi) 0,79% (yoy), dari Rp46.212,84 miliar pada triwulan IV 2023 menjadi Rp45.848,48 miliar pada triwulan IV 2024.</t>
  </si>
  <si>
    <t xml:space="preserve">QA0318</t>
  </si>
  <si>
    <t xml:space="preserve">Text: secara tahunan net outflow Tw IV 2024 mengalami kontraksi 0,79% dibanding Tw IV 2023 (Tabel 6.1: 46.212,84 -&gt; 45.848,48 Rp miliar).</t>
  </si>
  <si>
    <t xml:space="preserve">Wrong direction and value: a 0,79% contraction, not 7,24% higher. Exact figure is stated in text, not read from a chart.</t>
  </si>
  <si>
    <t xml:space="preserve">Net outflow DKI Jakarta pada triwulan IV 2024 mengalami kontraksi 0,79% dibandingkan triwulan IV 2023.</t>
  </si>
  <si>
    <t xml:space="preserve">QA0319</t>
  </si>
  <si>
    <t xml:space="preserve">Laporan 20Perekonomian 20Provinsi 20DKI 20Jakarta 20Februari 202025_p117.png</t>
  </si>
  <si>
    <t xml:space="preserve">Bagaimana perubahan penduduk di DKI Jakarta selama periode tahun 2020 dan 2021?</t>
  </si>
  <si>
    <t xml:space="preserve">Penduduk di DKI Jakarta meningkat sekitar 0,69% pada tahun 2020 dan 0,58% pada tahun 2021.</t>
  </si>
  <si>
    <t xml:space="preserve">Grafik 7.1 pertumbuhan penduduk bekerja: 2020 ~-4% yoy, 2021 ~+1,7% yoy; Tabel 7.1 bekerja Ags 2019 4.852,95, Ags 2020 4.659,25, Ags 2021 4.737,42 ribu. 0,69%/0,58% are Ags 2024 figures.</t>
  </si>
  <si>
    <t xml:space="preserve">0,69% is 2024 growth of employed persons and 0,58% is 2024 formal-worker growth; in 2020 employment actually contracted (~-4%) and recovered in 2021 (~+1,7%).</t>
  </si>
  <si>
    <t xml:space="preserve">Bagaimana perubahan jumlah penduduk bekerja di DKI Jakarta pada tahun 2020 dan 2021?</t>
  </si>
  <si>
    <t xml:space="preserve">Penduduk bekerja turun sekitar 4% (yoy) pada 2020 (dari 4.852,95 menjadi 4.659,25 ribu orang, Agustus) lalu kembali tumbuh sekitar 1,7% (yoy) pada 2021 menjadi 4.737,42 ribu orang.</t>
  </si>
  <si>
    <t xml:space="preserve">QA0320</t>
  </si>
  <si>
    <t xml:space="preserve">Bagaimana penduduk Tingkat Kesehatan Pendidikan (TKP) yang mengalami peningkatan selama periode tahun 2021 hingga 2023?</t>
  </si>
  <si>
    <t xml:space="preserve">TKP meningkat sekitar 2,24% selama periode tahun 2021 hingga 2023.</t>
  </si>
  <si>
    <t xml:space="preserve">Factual/Numerical, Calculation, Typo/Grammar</t>
  </si>
  <si>
    <t xml:space="preserve">Grafik 7.2 Tingkat Kesempatan Kerja (TKK): 2021 91,50%, 2023 93,47%. 2,24% is informal-worker growth Ags 2023 (text). No 'Tingkat Kesehatan Pendidikan' on page.</t>
  </si>
  <si>
    <t xml:space="preserve">Metric is garbled (should be Tingkat Kesempatan Kerja/TKK) and 2,24% is the informal-sector growth; TKK rose from 91,50% to 93,47%, i.e. +1,97 pp.</t>
  </si>
  <si>
    <t xml:space="preserve">Berapa peningkatan Tingkat Kesempatan Kerja (TKK) DKI Jakarta dari 2021 hingga 2023?</t>
  </si>
  <si>
    <t xml:space="preserve">TKK meningkat dari 91,50% (2021) menjadi 93,47% (2023), naik sekitar 1,97 poin persentase.</t>
  </si>
  <si>
    <t xml:space="preserve">QA0321</t>
  </si>
  <si>
    <t xml:space="preserve">Bagaimana banyaknya penduduk di DKI Jakarta pada bulan Februari tahun 2024?</t>
  </si>
  <si>
    <t xml:space="preserve">Penduduk di DKI Jakarta sekitar 5,11 juta pada bulan Februari tahun 2024.</t>
  </si>
  <si>
    <t xml:space="preserve">Tabel 7.1 Feb 2024: Penduduk Usia Kerja 8.339,08 ribu; Bekerja 5.106,78 ribu. Text's 5,11 juta refers to penduduk bekerja Agustus 2024.</t>
  </si>
  <si>
    <t xml:space="preserve">5,11 juta is the number of employed persons, not the population ('penduduk'); Feb 2024 figure is only in the table (text gives Agustus 2024). Pure table lookup.</t>
  </si>
  <si>
    <t xml:space="preserve">Berapa jumlah penduduk bekerja di DKI Jakarta pada Februari 2024?</t>
  </si>
  <si>
    <t xml:space="preserve">Sebanyak 5.106,78 ribu orang (sekitar 5,11 juta orang).</t>
  </si>
  <si>
    <t xml:space="preserve">QA0322</t>
  </si>
  <si>
    <t xml:space="preserve">Laporan 20Perekonomian 20Provinsi 20DKI 20Jakarta 20Februari 202025_p118.png</t>
  </si>
  <si>
    <t xml:space="preserve">Bagaimana berubah status pekerjaan dari sektor formal menjadi sektor informal di DKI Jakarta pada bulan Februari 2024?</t>
  </si>
  <si>
    <t xml:space="preserve">Pada bulan Februari 2024, status pekerjaan sektor formal menjadi 0,06% dan status pekerjaan sektor informal menjadi 0,89%.</t>
  </si>
  <si>
    <t xml:space="preserve">Grafik 7.4 (2024): pertumbuhan pekerja formal 0,58% dan informal 0,89% (yoy); consistent with Tabel 7.2 Agustus 2024 vs 2023. No 0,06%.</t>
  </si>
  <si>
    <t xml:space="preserve">The question is garbled (it implies a shift from formal to informal). 0,06% is not on the page; formal growth in 2024 is 0,58%. These are annual chart values, not Feb 2024, and they come from a chart, not text.</t>
  </si>
  <si>
    <t xml:space="preserve">Bagaimana pertumbuhan tenaga kerja sektor formal dan informal di DKI Jakarta pada tahun 2024?</t>
  </si>
  <si>
    <t xml:space="preserve">Pada tahun 2024, tenaga kerja sektor formal di DKI Jakarta tumbuh 0,58% (yoy), sedangkan tenaga kerja sektor informal tumbuh 0,89% (yoy).</t>
  </si>
  <si>
    <t xml:space="preserve">QA0323</t>
  </si>
  <si>
    <t xml:space="preserve">Bagaimana berubah produktivitas tenaga kerja di DKI Jakarta pada tahun 2023?</t>
  </si>
  <si>
    <t xml:space="preserve">Produktivitas tenaga kerja di DKI Jakarta pada tahun 2023 mencapai 3,406,17 juta orang.</t>
  </si>
  <si>
    <t xml:space="preserve">Grafik 7.7 &amp; text: produktivitas tenaga kerja DKI Jakarta 2023 = Rp404,21 juta, naik dari 400,71 (2022) dan 367,18 (2018).</t>
  </si>
  <si>
    <t xml:space="preserve">Productivity in 2023 was Rp404,21 juta, not '3,406,17 juta orang'. Both the number and the unit are wrong.</t>
  </si>
  <si>
    <t xml:space="preserve">Produktivitas tenaga kerja DKI Jakarta pada tahun 2023 meningkat menjadi Rp404,21 juta, naik dari Rp400,71 juta pada 2022 dan lebih tinggi dibandingkan lima tahun sebelumnya (Rp367,18 juta pada 2018).</t>
  </si>
  <si>
    <t xml:space="preserve">QA0324</t>
  </si>
  <si>
    <t xml:space="preserve">Bagaimana berubah pendidikan tenaga kerja di DKI Jakarta pada tahun 2023?</t>
  </si>
  <si>
    <t xml:space="preserve">Pendidikan tenaga kerja di DKI Jakarta pada tahun 2023 mencapai 3,167,39 juta orang.</t>
  </si>
  <si>
    <t xml:space="preserve">Factual/Numerical, Unit, Typo/Grammar, Instruction-following</t>
  </si>
  <si>
    <t xml:space="preserve">Grafik 7.6, 2023 bars (approx.): Universitas ~+22%, SMK ~+6%, SMP ~+4,5%, SD ke bawah ~-7%, SMA ~-2,5%, Diploma ~-3,5% (yoy). 3.167,99 is formal workers Feb 2023 (Tabel 7.2).</t>
  </si>
  <si>
    <t xml:space="preserve">The answer misreads the formal-worker count (Tabel 7.2) as education data, with the wrong unit. The education breakdown is in Grafik 7.5/7.6, so this is chart-based, not a table calculation.</t>
  </si>
  <si>
    <t xml:space="preserve">Bagaimana pertumbuhan tenaga kerja berdasarkan tingkat pendidikan di DKI Jakarta pada tahun 2023?</t>
  </si>
  <si>
    <t xml:space="preserve">Pada 2023, tenaga kerja lulusan universitas tumbuh paling tinggi (sekitar 22% yoy), diikuti SMK (sekitar 6%) dan SMP (sekitar 4,5%), sementara tenaga kerja lulusan SD ke bawah (sekitar -7%), SMA (sekitar -2,5%) dan Diploma I/II/III (sekitar -3,5%) mengalami kontraksi.</t>
  </si>
  <si>
    <t xml:space="preserve">QA0325</t>
  </si>
  <si>
    <t xml:space="preserve">Laporan 20Perekonomian 20Provinsi 20DKI 20Jakarta 20Februari 202025_p120.png</t>
  </si>
  <si>
    <t xml:space="preserve">Bagaimana perubahan Pertumbuhan Ekonomi DKI Jakarta selama 2012 hingga 2024?</t>
  </si>
  <si>
    <t xml:space="preserve">Pertumbuhan ekonomi DKI Jakarta meningkat dari 5,03% pada bulan Maret 2012 menjadi 5,14% pada bulan Maret 2024.</t>
  </si>
  <si>
    <t xml:space="preserve">Factual/Numerical, Reasoning, Temporal</t>
  </si>
  <si>
    <t xml:space="preserve">Grafik 7.14 Pertumbuhan PDRB (yoy) Tw I: 6,52 (2012), ... 5,83 (2019), -3,92 (2020), -2,43 (2021), 5,93 (2022), 4,93 (2024).</t>
  </si>
  <si>
    <t xml:space="preserve">Values 5,03%/5,14% not on chart and trend is wrong: growth fell from 6,52% (2012) to 4,93% (2024) with a 2020 contraction. Series is Tw I, not March.</t>
  </si>
  <si>
    <t xml:space="preserve">Pertumbuhan ekonomi (PDRB yoy Tw I) DKI Jakarta cenderung menurun dari 6,52% pada 2012 menjadi 4,93% pada 2024, dengan kontraksi terdalam -3,92% pada 2020 lalu pulih menjadi 5,93% pada 2022.</t>
  </si>
  <si>
    <t xml:space="preserve">QA0326</t>
  </si>
  <si>
    <t xml:space="preserve">Bagaimana perubahan kemiskinan DKI Jakarta dan Nasional pada bulan Maret 2024?</t>
  </si>
  <si>
    <t xml:space="preserve">Pada bulan Maret 2024, kemiskinan DKI Jakarta adalah 4,72% dan nasional adalah 4,68%.</t>
  </si>
  <si>
    <t xml:space="preserve">Text/Tabel 7.3: kemiskinan DKI Maret 2024 4,30%; Grafik 7.13: Nasional Maret 2024 9,03%. 4,72% is DKI Maret 2021.</t>
  </si>
  <si>
    <t xml:space="preserve">Both values wrong: DKI was 4,30% and national 9,03% in March 2024. National figure only in Grafik 7.13, not text.</t>
  </si>
  <si>
    <t xml:space="preserve">Berapa tingkat kemiskinan DKI Jakarta dan Nasional pada Maret 2024?</t>
  </si>
  <si>
    <t xml:space="preserve">Pada Maret 2024, tingkat kemiskinan DKI Jakarta sebesar 4,30%, jauh lebih rendah dibanding tingkat kemiskinan nasional sebesar 9,03%.</t>
  </si>
  <si>
    <t xml:space="preserve">QA0327</t>
  </si>
  <si>
    <t xml:space="preserve">Bagaimana perubahan Garis Kemiskinan (GK) DKI Jakarta dari Maret 2019 hingga Maret 2024?</t>
  </si>
  <si>
    <t xml:space="preserve">GK DKI Jakarta meningkat dari 0,50 pada bulan Maret 2019 menjadi 0,55 pada bulan Maret 2024.</t>
  </si>
  <si>
    <t xml:space="preserve">Grafik 7.15/Tabel 7.3 Garis Kemiskinan: Maret 2019 Rp637.260, Maret 2024 Rp825.288 per kapita/bulan. 0,50/0,55 = Indeks Kedalaman Kemiskinan.</t>
  </si>
  <si>
    <t xml:space="preserve">Values given are the poverty depth index, not GK; GK rose from Rp637.260 to Rp825.288 per kapita per bulan.</t>
  </si>
  <si>
    <t xml:space="preserve">Garis Kemiskinan DKI Jakarta meningkat dari Rp637.260 per kapita per bulan pada Maret 2019 menjadi Rp825.288 per kapita per bulan pada Maret 2024.</t>
  </si>
  <si>
    <t xml:space="preserve">QA0328</t>
  </si>
  <si>
    <t xml:space="preserve">Laporan Perekonomian Provinsi Kalimantan Utara Periode November 2025</t>
  </si>
  <si>
    <t xml:space="preserve">Laporan 20Perekonomian 20Provinsi 20Kalimantan 20Utara 20Periode 20November 202025_p040.png</t>
  </si>
  <si>
    <t xml:space="preserve">Bagaimana realisasi Pemernih daerah Kabupaten/Kota di Kalimantan Utara pada Tahun 2024 dan 2025?</t>
  </si>
  <si>
    <t xml:space="preserve">Realisasi pada tahun 2024 adalah Rp. 6.775,54 miliar, sedangkan pada tahun 2025 adalah Rp. 8.658,81 miliar.</t>
  </si>
  <si>
    <t xml:space="preserve">Text &amp; Tabel II.4: realisasi pendapatan Kab/Kota Tw III 2024 Rp6.666,30 miliar; Tw III 2025 Rp6.775,54 miliar; 8.658,81 is 2025 anggaran (pagu).</t>
  </si>
  <si>
    <t xml:space="preserve">2025 value assigned to 2024, and 2025 given as the budget (pagu) not realization; 'Pemernih' garbled; source is text/table not chart.</t>
  </si>
  <si>
    <t xml:space="preserve">Bagaimana realisasi pendapatan Pemerintah Daerah Kabupaten/Kota di Kalimantan Utara pada Triwulan III 2024 dan 2025?</t>
  </si>
  <si>
    <t xml:space="preserve">Realisasi pendapatan Triwulan III 2024 sebesar Rp6.666,30 miliar, sedangkan Triwulan III 2025 sebesar Rp6.775,54 miliar.</t>
  </si>
  <si>
    <t xml:space="preserve">QA0329</t>
  </si>
  <si>
    <t xml:space="preserve">Bagaimana banyaknya realisasi Pemernih daerah dalam total pag APBD di Kabupaten/Kota di Kalimantan Utara pada tahun 2024 dan 2025?</t>
  </si>
  <si>
    <t xml:space="preserve">Tahun 2024: 78,25% dari total pag APBD, tahun 2025: 70,72% dari total pag APBD.</t>
  </si>
  <si>
    <t xml:space="preserve">Text &amp; Tabel II.4: realisasi pendapatan 2024 = 70,72% dari pagu Rp9.426,99 miliar; 2025 = 78,25% dari pagu Rp8.658,81 miliar.</t>
  </si>
  <si>
    <t xml:space="preserve">Percentages swapped between years; values are stated in text/table, no chart calculation.</t>
  </si>
  <si>
    <t xml:space="preserve">Berapa persentase realisasi pendapatan terhadap total pagu APBD Kabupaten/Kota di Kalimantan Utara pada Triwulan III 2024 dan 2025?</t>
  </si>
  <si>
    <t xml:space="preserve">Tahun 2024: 70,72% dari total pagu APBD; tahun 2025: 78,25% dari total pagu APBD.</t>
  </si>
  <si>
    <t xml:space="preserve">QA0330</t>
  </si>
  <si>
    <t xml:space="preserve">Bagaimana banyaknya realisasi Belanja Spasial di Kabupaten/Kota di Kalimantan Utara pada Tahun 2024 dan 2025?</t>
  </si>
  <si>
    <t xml:space="preserve">Tahun 2024: Rp. 4.556,05 miliar, tahun 2025: Rp. 4.382,70 miliar.</t>
  </si>
  <si>
    <t xml:space="preserve">Tabel II.5 Total Kab/Kota: realisasi belanja Tw III 2024 Rp5.125,55 miliar; Tw III 2025 Rp4.556,05 miliar (pagu 2025 Rp10.382,70 miliar).</t>
  </si>
  <si>
    <t xml:space="preserve">2025 value placed under 2024 and a garbled pagu figure (4.382,70) given for 2025; 2024 figure only in table.</t>
  </si>
  <si>
    <t xml:space="preserve">Berapa realisasi belanja APBD Kabupaten/Kota di Kalimantan Utara pada Triwulan III 2024 dan 2025?</t>
  </si>
  <si>
    <t xml:space="preserve">Tahun 2024: Rp5.125,55 miliar; tahun 2025: Rp4.556,05 miliar.</t>
  </si>
  <si>
    <t xml:space="preserve">QA0331</t>
  </si>
  <si>
    <t xml:space="preserve">Laporan 20Perekonomian 20Provinsi 20Kalimantan 20Utara 20Periode 20November 202025_p041.png</t>
  </si>
  <si>
    <t xml:space="preserve">Bagaimana realisasi belanja K/L di Kabupaten/Kota di KaliMantan Utara pada tahun 2024?</t>
  </si>
  <si>
    <t xml:space="preserve">Rp11,137,40 miliar</t>
  </si>
  <si>
    <t xml:space="preserve">Text: realisasi belanja Kab/Kota se-Kaltara periode sama 2024 Rp5.125,55 miliar (46,02%) dari total pagu APBD 2024 Rp11.137,40 miliar. K/L is APBN (Tabel II.6). No chart.</t>
  </si>
  <si>
    <t xml:space="preserve">Rp11.137,40 miliar is the 2024 APBD pagu, not realization; realization was Rp5.125,55 miliar. Question confuses K/L with Kab/Kota APBD; evidence is text.</t>
  </si>
  <si>
    <t xml:space="preserve">Berapa realisasi belanja APBD Kabupaten/Kota se-Kalimantan Utara pada periode yang sama tahun 2024?</t>
  </si>
  <si>
    <t xml:space="preserve">Rp5.125,55 miliar atau 46,02% dari total pagu APBD Kabupaten/Kota se-Kaltara tahun 2024 sebesar Rp11.137,40 miliar.</t>
  </si>
  <si>
    <t xml:space="preserve">QA0332</t>
  </si>
  <si>
    <t xml:space="preserve">Bagaimana berubah persentase realisasi belanja K/L di Kabupaten/Kota di KaliMantan Utara dari tahun 2024 ke 2025?</t>
  </si>
  <si>
    <t xml:space="preserve">Pada tahun 2024, realisasi belanja K/L adalah 46,02% dari total pagu APBD, sedangkan pada tahun 2025, ini menjadi 76,92%.</t>
  </si>
  <si>
    <t xml:space="preserve">Tabel II.6: total belanja K/L realisasi Tw III 60,66% of pagu (2024) vs 51,62% (2025). 46,02% is Kab/Kota APBD 2024; 76,92% is belanja pegawai 2025.</t>
  </si>
  <si>
    <t xml:space="preserve">Mixes Kab/Kota APBD (46,02%) with K/L belanja pegawai (76,92%) and implies an increase; total K/L absorption actually fell 60,66% -&gt; 51,62%.</t>
  </si>
  <si>
    <t xml:space="preserve">Bagaimana perubahan persentase realisasi belanja K/L di Kalimantan Utara pada Triwulan III 2024 ke Triwulan III 2025?</t>
  </si>
  <si>
    <t xml:space="preserve">Persentase realisasi belanja K/L menurun dari 60,66% dari pagu pada Triwulan III 2024 menjadi 51,62% dari pagu pada Triwulan III 2025.</t>
  </si>
  <si>
    <t xml:space="preserve">QA0333</t>
  </si>
  <si>
    <t xml:space="preserve">Bagaimana berubah realisasi belanja K/L di Kabupaten/Kota di KaliMantan Utara dari tahun 2024 ke 2025?</t>
  </si>
  <si>
    <t xml:space="preserve">Realisasi belanja K/L pada tahun 2024 adalah Rp11,137,40 miliar, sedangkan pada tahun 2025, ini menjadi Rp926,95 miliar.</t>
  </si>
  <si>
    <t xml:space="preserve">Tabel II.6: total realisasi belanja K/L Tw III 2024 Rp2.534,16 miliar vs Tw III 2025 Rp1.884,67 miliar, g = (25,63)% yoy. 926,95 is belanja pegawai 2025.</t>
  </si>
  <si>
    <t xml:space="preserve">Rp11.137,40 miliar is Kab/Kota APBD pagu and Rp926,95 miliar is belanja pegawai; total K/L fell from Rp2.534,16 to Rp1.884,67 miliar (-25,63% yoy). No chart.</t>
  </si>
  <si>
    <t xml:space="preserve">Bagaimana perubahan realisasi belanja K/L di Kalimantan Utara dari Triwulan III 2024 ke Triwulan III 2025?</t>
  </si>
  <si>
    <t xml:space="preserve">Realisasi belanja K/L turun dari Rp2.534,16 miliar pada Triwulan III 2024 menjadi Rp1.884,67 miliar pada Triwulan III 2025, atau terkontraksi 25,63% (yoy).</t>
  </si>
  <si>
    <t xml:space="preserve">QA0334</t>
  </si>
  <si>
    <t xml:space="preserve">Laporan 20Perekonomian 20Provinsi 20Kalimantan 20Utara 20Periode 20November 202025_p046.png</t>
  </si>
  <si>
    <t xml:space="preserve">Bagaimana perubahan harga angkutan udara di Kota Tangerang pada bulan Juli 2025?</t>
  </si>
  <si>
    <t xml:space="preserve">Angkutan udara di Kota Tangerang mengalami penurunan harga sebesar 0,08% pada bulan Juli 2025.</t>
  </si>
  <si>
    <t xml:space="preserve">Page covers IHK Gabungan 3 Kab/Kota Kalimantan Utara; Angkutan Udara andil -0,08% (Juli 2025) is for Kaltara. Kota Tangerang does not appear; no chart.</t>
  </si>
  <si>
    <t xml:space="preserve">Entity (Kota Tangerang) is not on the page; the figure belongs to Kaltara.</t>
  </si>
  <si>
    <t xml:space="preserve">QA0335</t>
  </si>
  <si>
    <t xml:space="preserve">Bagaimana perubahan harga tari air di Kota Tangerang dan Kota Bandung pada bulan September 2025?</t>
  </si>
  <si>
    <t xml:space="preserve">Tari air di Kota Tangerang mengalami penurunan harga sebesar 0,23% dan di Kota Bandung mengalami penurunan harga sebesar 0,02% pada bulan September 2025.</t>
  </si>
  <si>
    <t xml:space="preserve">No Kota Tangerang or Kota Bandung on page; no 'tarif air' September data (Tarif Air Minum PAM appears only in Juli 2025, +0,28 andil, Kaltara).</t>
  </si>
  <si>
    <t xml:space="preserve">Cities and September water tariff figures are absent; -0,23% is Angkutan Laut July andil in Kaltara.</t>
  </si>
  <si>
    <t xml:space="preserve">QA0336</t>
  </si>
  <si>
    <t xml:space="preserve">Bagaimana perubahan harga ikannya di Kota Tangerang pada bulan September 2025?</t>
  </si>
  <si>
    <t xml:space="preserve">Harga ikannya di Kota Tangerang meningkat sebesar 0,05% pada bulan September 2025.</t>
  </si>
  <si>
    <t xml:space="preserve">No Kota Tangerang; Kaltara Sep 2025: Ikan Layang andil -0,07% (price fell). No +0,05% fish figure; no chart.</t>
  </si>
  <si>
    <t xml:space="preserve">Entity absent and the claimed increase is not supported; fish prices in Kaltara fell in September.</t>
  </si>
  <si>
    <t xml:space="preserve">QA0337</t>
  </si>
  <si>
    <t xml:space="preserve">Laporan 20Perekonomian 20Provinsi 20Kalimantan 20Utara 20Periode 20November 202025_p048.png</t>
  </si>
  <si>
    <t xml:space="preserve">Bagaimana kontribusi komoditas angkutan udara, cabai rawit, dan tahu mentah terhadap inflasi tahun 2025?</t>
  </si>
  <si>
    <t xml:space="preserve">Komoditas angkutan udara, cabai rawit, dan tahu mentah mengkontribusi sebesar-besarnya terhadap inflasi tahun 2025. Penurunan harga cabai rawit (0.09%) dan tahu mentah (0.05%) merupakan faktor utama, sementara peningkatan harga angkutan udara (0.29%) juga berkontribusi.</t>
  </si>
  <si>
    <t xml:space="preserve">Text: angkutan udara, cabai rawit, tahu mentah = kontributor utama penahan inflasi tahunan Tw III 2025; andil -0,29%, -0,09%, -0,05%.</t>
  </si>
  <si>
    <t xml:space="preserve">They restrained inflation (negative andil); answer drops signs and says air transport prices increased and contributed to inflation.</t>
  </si>
  <si>
    <t xml:space="preserve">Bagaimana kontribusi komoditas angkutan udara, cabai rawit, dan tahu mentah terhadap inflasi tahunan triwulan III 2025?</t>
  </si>
  <si>
    <t xml:space="preserve">Ketiganya menjadi kontributor utama penahan inflasi tahunan triwulan III 2025: penurunan tarif angkutan udara (andil -0,29%), penurunan harga cabai rawit (andil -0,09%), dan tahu mentah (andil -0,05%).</t>
  </si>
  <si>
    <t xml:space="preserve">QA0338</t>
  </si>
  <si>
    <t xml:space="preserve">Bagaimana perubahan harga komoditas dalam periode 2023 dan 2025?</t>
  </si>
  <si>
    <t xml:space="preserve">Harga komoditas angkutan udara meningkat dari -0.29% pada tahun 2023 menjadi 0.29% pada tahun 2025. Harga cabai rawit meningkat dari -0.09% menjadi -0.12% dan tahu mentah meningkat dari -0.05% menjadi -0.04%.</t>
  </si>
  <si>
    <t xml:space="preserve">Page only has Tw III 2025 (yoy) inflation/andil (text, Tabel III.6, III.7); no 2023 data and no chart.</t>
  </si>
  <si>
    <t xml:space="preserve">The 2023 vs 2025 comparison does not exist on the page; 2023 values are invented (sign-flipped andil).</t>
  </si>
  <si>
    <t xml:space="preserve">QA0339</t>
  </si>
  <si>
    <t xml:space="preserve">Bagaimana inflasi berbeda di komoditas kopi bubuik dan ikan bandeng?</t>
  </si>
  <si>
    <t xml:space="preserve">Inflasi kopi bubuik adalah 0.09% dan inflasi ikan bandeng adalah 0.29%.</t>
  </si>
  <si>
    <t xml:space="preserve">Tabel III.7: Ikan Bandeng inflasi 35,58% (andil 0,29); Kopi Bubuk inflasi 17,73% (andil 0,09), Tw III 2025 yoy.</t>
  </si>
  <si>
    <t xml:space="preserve">Answer reports the andil values as inflation rates; actual inflation is 17,73% vs 35,58%. 'bubuik' typo.</t>
  </si>
  <si>
    <t xml:space="preserve">Bagaimana perbedaan inflasi komoditas kopi bubuk dan ikan bandeng pada triwulan III 2025?</t>
  </si>
  <si>
    <t xml:space="preserve">Inflasi ikan bandeng sebesar 35,58% (yoy, andil 0,29%), lebih tinggi dibandingkan kopi bubuk sebesar 17,73% (yoy, andil 0,09%).</t>
  </si>
  <si>
    <t xml:space="preserve">QA0340</t>
  </si>
  <si>
    <t xml:space="preserve">Laporan 20Perekonomian 20Provinsi 20Kalimantan 20Utara 20Periode 20November 202025_p061.png</t>
  </si>
  <si>
    <t xml:space="preserve">Jumlah usaha kabupaten Bulungan pada periode II 2025 dan III 2025</t>
  </si>
  <si>
    <t xml:space="preserve">17</t>
  </si>
  <si>
    <t xml:space="preserve">Tabel IV.4 Kabupaten Bulungan: Non Pertanian 2 + Pertanian 2 = 4 usaha in both II 2025 and III 2025; 17 is the provincial total.</t>
  </si>
  <si>
    <t xml:space="preserve">Answer gives the total for all regions (17) instead of Bulungan (2+2=4 per period).</t>
  </si>
  <si>
    <t xml:space="preserve">Berapa jumlah usaha binaan BI di Kabupaten Bulungan pada triwulan II 2025 dan III 2025?</t>
  </si>
  <si>
    <t xml:space="preserve">Jumlah usaha binaan BI di Kabupaten Bulungan sebanyak 4 usaha (2 non pertanian dan 2 pertanian) baik pada triwulan II 2025 maupun triwulan III 2025.</t>
  </si>
  <si>
    <t xml:space="preserve">QA0341</t>
  </si>
  <si>
    <t xml:space="preserve">Pertanyaan tentang komposisi sektor terbesar penerima KUR</t>
  </si>
  <si>
    <t xml:space="preserve">Sektor pertanian mempunyai 43,85% dari penerimaan KUR, sedangkan sektor pertanian dan khususan mempunyai 24,02%.</t>
  </si>
  <si>
    <t xml:space="preserve">Text: sektor terbesar penerima KUR perdagangan besar dan eceran 43,85%, diikuti pertanian dan kehutanan 24,02%, perikanan 11,31%.</t>
  </si>
  <si>
    <t xml:space="preserve">43,85% belongs to perdagangan besar dan eceran, not pertanian; 'pertanian dan khususan' should be pertanian dan kehutanan. Question is a topic label, not a question.</t>
  </si>
  <si>
    <t xml:space="preserve">Bagaimana komposisi sektor terbesar penerima KUR di Kalimantan Utara?</t>
  </si>
  <si>
    <t xml:space="preserve">Sektor terbesar penerima KUR adalah perdagangan besar dan eceran dengan pangsa 43,85%, diikuti sektor pertanian dan kehutanan sebesar 24,02%, dan perikanan sebesar 11,31%.</t>
  </si>
  <si>
    <t xml:space="preserve">QA0342</t>
  </si>
  <si>
    <t xml:space="preserve">Pertanyaan tentang peningkatan kredit pada periode II 2025</t>
  </si>
  <si>
    <t xml:space="preserve">Kredit Usaha Rakyat (KUR) meningkat 7,19% pada periode II 2025.</t>
  </si>
  <si>
    <t xml:space="preserve">Reasoning, Temporal, Instruction-following, Typo/Grammar</t>
  </si>
  <si>
    <t xml:space="preserve">Text: KUR terkontraksi 7,19% (yoy), lebih dalam dari triwulan sebelumnya -3,22% (yoy); nominal Rp1,180 T, lebih rendah dari Tw II 2025 Rp1,199 T. Grafik IV.23 not on page.</t>
  </si>
  <si>
    <t xml:space="preserve">KUR contracted (not increased) 7,19% yoy in the report quarter (Tw III); Tw II 2025 contracted 3,22%. Data is in text; referenced chart is not on this page.</t>
  </si>
  <si>
    <t xml:space="preserve">Bagaimana perkembangan penyaluran KUR di Kalimantan Utara pada triwulan laporan dibandingkan triwulan II 2025?</t>
  </si>
  <si>
    <t xml:space="preserve">Penyaluran KUR terkontraksi 7,19% (yoy), lebih dalam dibandingkan triwulan II 2025 yang terkontraksi 3,22% (yoy); nominalnya Rp1,180 triliun, lebih rendah dari Rp1,199 triliun pada triwulan II 2025.</t>
  </si>
  <si>
    <t xml:space="preserve">QA0343</t>
  </si>
  <si>
    <t xml:space="preserve">Laporan 20Perekonomian 20Provinsi 20Kalimantan 20Utara 20Periode 20November 202025_p075.png</t>
  </si>
  <si>
    <t xml:space="preserve">Jumlah penduduk kota di Kalimantan Utara pada bulan Agustus 2024 dan 2025 berapa?</t>
  </si>
  <si>
    <t xml:space="preserve">Jumlah penduduk kota di Kalimantan Utara pada bulan Agustus 2024 adalah 15,343 orang, dan pada bulan Agustus 2025 adalah 15,231 orang.</t>
  </si>
  <si>
    <t xml:space="preserve">Tabel VI.1: Jumlah Penduduk 15+ Ags 2024 559.623, Ags 2025 569.126. 15.343/15.231 = Jumlah Penganggur. No 'penduduk kota' data.</t>
  </si>
  <si>
    <t xml:space="preserve">15.343 and 15.231 are unemployed persons, not population. Population aged 15+ is 559.623 (2024) and 569.126 (2025); values come from the table, not text.</t>
  </si>
  <si>
    <t xml:space="preserve">Berapa jumlah penduduk usia 15 tahun ke atas di Kalimantan Utara pada Agustus 2024 dan Agustus 2025?</t>
  </si>
  <si>
    <t xml:space="preserve">Jumlah penduduk usia 15+ sebanyak 559.623 orang pada Agustus 2024 dan 569.126 orang pada Agustus 2025.</t>
  </si>
  <si>
    <t xml:space="preserve">QA0344</t>
  </si>
  <si>
    <t xml:space="preserve">Bagaimana perubahan penduduk kota di Kalimantan Utara antara bulan Agustus 2024 dan 2025?</t>
  </si>
  <si>
    <t xml:space="preserve">Penduduk kota di Kalimantan Utara menurun sekitar 112 orang antara bulan Agustus 2024 dan 2025.</t>
  </si>
  <si>
    <t xml:space="preserve">Tabel VI.1: Penduduk 15+ 559.623 -&gt; 569.126 (+9.503 orang). -112 orang is change in Jumlah Penganggur (15.343 -&gt; 15.231).</t>
  </si>
  <si>
    <t xml:space="preserve">Population rose by 9.503, not fell by 112 (that is the change in unemployed). Data is in a table, not a chart.</t>
  </si>
  <si>
    <t xml:space="preserve">Bagaimana perubahan jumlah penduduk usia 15+ di Kalimantan Utara antara Agustus 2024 dan Agustus 2025?</t>
  </si>
  <si>
    <t xml:space="preserve">Jumlah penduduk usia 15+ meningkat 9.503 orang, dari 559.623 orang (Agustus 2024) menjadi 569.126 orang (Agustus 2025).</t>
  </si>
  <si>
    <t xml:space="preserve">QA0345</t>
  </si>
  <si>
    <t xml:space="preserve">Persentase pertumbuhan penduduk kota di Kalimantan Utara pada bulan Agustus 2024 dan 2025?</t>
  </si>
  <si>
    <t xml:space="preserve">Persentase pertumbuhan penduduk kota di Kalimantan Utara pada bulan Agustus 2024 adalah 0.02%, dan pada bulan Agustus 2025 adalah -0.01%.</t>
  </si>
  <si>
    <t xml:space="preserve">Tabel VI.1 Pertumbuhan (%) Ags 2024-&gt;2025: Penduduk 15+ 0,02; Penganggur -0,01. 9.503/559.623 = 1,70%.</t>
  </si>
  <si>
    <t xml:space="preserve">There is one growth figure for 2024-&gt;2025, not one per year; -0,01 belongs to unemployed. Population growth listed as 0,02 (computed 9.503/559.623 = ~1,70%). Table, not chart.</t>
  </si>
  <si>
    <t xml:space="preserve">Berapa persentase pertumbuhan penduduk usia 15+ di Kalimantan Utara dari Agustus 2024 ke Agustus 2025?</t>
  </si>
  <si>
    <t xml:space="preserve">Penduduk usia 15+ bertambah 9.503 orang; tabel mencatat pertumbuhan 0,02 (dihitung: 9.503/559.623 ≈ 1,70%).</t>
  </si>
  <si>
    <t xml:space="preserve">QA0346</t>
  </si>
  <si>
    <t xml:space="preserve">Laporan 20Perekonomian 20Provinsi 20Kalimantan 20Utara 20Periode 20November 202025_p077.png</t>
  </si>
  <si>
    <t xml:space="preserve">Jumlah penduduk di Kabupaten Utrara pada bulan Jumlah pada tahun 2025 berapa?</t>
  </si>
  <si>
    <t xml:space="preserve">72.399</t>
  </si>
  <si>
    <t xml:space="preserve">No 'Kabupaten Utrara' or population total on page; 72.399 is 'Berusaha sendiri' workers Agustus 2025 (Tabel VI.3). 'Bulan Jumlah' is a column header misread as a month.</t>
  </si>
  <si>
    <t xml:space="preserve">Garbled question uses column headers as months and a nonexistent regency; asks population, which the page does not give. Unsupportable.</t>
  </si>
  <si>
    <t xml:space="preserve">QA0347</t>
  </si>
  <si>
    <t xml:space="preserve">Pertumbuhan penduduk di Kabupaten Utrara sejak bulan Jumlah pada tahun 2024 hingga bulan Pangsa pada tahun 2025 berapa?</t>
  </si>
  <si>
    <t xml:space="preserve">Hallucination, Typo/Grammar, Incomplete</t>
  </si>
  <si>
    <t xml:space="preserve">No population growth for a 'Kabupaten Utrara'; 'Jumlah'/'Pangsa' are table column headers, not months.</t>
  </si>
  <si>
    <t xml:space="preserve">Unintelligible question built from column headers; answer merely repeats the question.</t>
  </si>
  <si>
    <t xml:space="preserve">QA0348</t>
  </si>
  <si>
    <t xml:space="preserve">Bagaimana kemisikan penduduk di Kabupaten Utrara pada bulan Pangsa pada tahun 2025?</t>
  </si>
  <si>
    <t xml:space="preserve">Kemisikan penduduk di Kabupaten Utrara pada bulan Pangsa pada tahun 2025 adalah 19.02%.</t>
  </si>
  <si>
    <t xml:space="preserve">Text 6.2.1: penduduk miskin Kaltara Maret 2025 sebesar 42,57 ribu jiwa atau 5,54%, naik dari 41,11 ribu (5,38%) Sep 2024. 19,02% is Berusaha sendiri share Agu 2025.</t>
  </si>
  <si>
    <t xml:space="preserve">19,02% is employment-status share, not poverty; poverty in Maret 2025 is 5,54%. Question garbled ('Kabupaten Utrara', 'bulan Pangsa').</t>
  </si>
  <si>
    <t xml:space="preserve">Bagaimana kondisi kemiskinan penduduk Provinsi Kalimantan Utara pada Maret 2025?</t>
  </si>
  <si>
    <t xml:space="preserve">Penduduk miskin tercatat 42,57 ribu jiwa atau 5,54% dari total penduduk, meningkat dari 41,11 ribu jiwa (5,38%) pada September 2024.</t>
  </si>
  <si>
    <t xml:space="preserve">QA0349</t>
  </si>
  <si>
    <t xml:space="preserve">Laporan 20Perekonomian 20Provinsi 20Kalimantan 20Utara 20Periode 20November 202025_p078.png</t>
  </si>
  <si>
    <t xml:space="preserve">Bagaimana perubahan penduduk miskin di kota dan dekat periode 2024 dan 2025?</t>
  </si>
  <si>
    <t xml:space="preserve">Penduduk miskin di kota meningkat dari 25,06 ribu menjadi 25,56 ribu, sedangkan di dekat meningkat dari 16,05 ribu menjadi 17,01 ribu.</t>
  </si>
  <si>
    <t xml:space="preserve">Typo/Grammar, Temporal</t>
  </si>
  <si>
    <t xml:space="preserve">Grafik VI.4: Kota 25,06 (Sep 2024) -&gt; 25,56 ribu (Mar 2025); Desa 16,05 -&gt; 17,01 ribu.</t>
  </si>
  <si>
    <t xml:space="preserve">Values correct, but 'dekat' should be 'desa' and periods should be Sep 2024 and Mar 2025.</t>
  </si>
  <si>
    <t xml:space="preserve">Bagaimana perubahan penduduk miskin di kota dan desa pada periode September 2024 dan Maret 2025?</t>
  </si>
  <si>
    <t xml:space="preserve">Penduduk miskin di kota meningkat dari 25,06 ribu (Sep 2024) menjadi 25,56 ribu orang (Mar 2025), sedangkan di desa meningkat dari 16,05 ribu menjadi 17,01 ribu orang.</t>
  </si>
  <si>
    <t xml:space="preserve">QA0350</t>
  </si>
  <si>
    <t xml:space="preserve">Bagaimana indeks kedalaman dan keperahanan miskin di periode 2020-2024?</t>
  </si>
  <si>
    <t xml:space="preserve">Indeks kedalaman miskin meningkat dari 0,20 pada bulan Maret 2020 menjadi 0,34 pada bulan Maret 2025, sedangkan indeks keperahanan miskin meningkat dari 0,20 pada bulan Maret 2020 menjadi 0,23 pada bulan Maret 2025.</t>
  </si>
  <si>
    <t xml:space="preserve">Factual/Numerical, Reasoning, Typo/Grammar, Temporal</t>
  </si>
  <si>
    <t xml:space="preserve">Grafik VI.5: P1 ~0,84 (Mar 2020), dips to 0,495 (Sep 2024), 0,748 (Mar 2025); P2 ~0,17 (Mar 2020), 0,081 (Sep 2024), 0,289 (Mar 2025).</t>
  </si>
  <si>
    <t xml:space="preserve">Values wrong (P1 was ~0,84 in 2020 and 0,748 in Mar 2025, not 0,20-&gt;0,34; P2 ends at 0,289). P1 did not rise over the period. 'keperahanan' typo.</t>
  </si>
  <si>
    <t xml:space="preserve">Bagaimana perkembangan Indeks Kedalaman dan Keparahan Kemiskinan Kaltara periode Maret 2020-Maret 2025?</t>
  </si>
  <si>
    <t xml:space="preserve">P1 berfluktuasi dari sekitar 0,84 (Mar 2020), turun ke 0,495 (Sep 2024), lalu naik menjadi 0,748 (Mar 2025); P2 relatif stabil sekitar 0,1-0,2, turun ke 0,081 (Sep 2024) lalu naik menjadi 0,289 (Mar 2025).</t>
  </si>
  <si>
    <t xml:space="preserve">QA0351</t>
  </si>
  <si>
    <t xml:space="preserve">Bagaimana nilai NTP di kota dan dekat di periode 2024 dan 2025?</t>
  </si>
  <si>
    <t xml:space="preserve">Di kota, NTP meningkat dari 24,88% menjadi 27,38%, sedangkan di dekat meningkat dari 24,88% menjadi 27,38%.</t>
  </si>
  <si>
    <t xml:space="preserve">Tabel VI.5 NTP is by subsector (NTP gabungan 113,36 Sep 2024 -&gt; 116,19 Sep 2025); no kota/desa split. 24,88%/27,38% are beras shares of garis kemiskinan.</t>
  </si>
  <si>
    <t xml:space="preserve">NTP by city/village does not exist on the page; answer reuses beras poverty-line contributions. Not grounded.</t>
  </si>
  <si>
    <t xml:space="preserve">QA0352</t>
  </si>
  <si>
    <t xml:space="preserve">Laporan 20Perekonomian 20Provinsi 20Kalimantan 20Utara 20Periode 20November 202025_p085.png</t>
  </si>
  <si>
    <t xml:space="preserve">Bagaimana berbagi pertumbuhan ekonomi global 2025 di antara negara AS, Euro Area, dan Jerman?</t>
  </si>
  <si>
    <t xml:space="preserve">Pertumbuhan ekonomi global 2025 di antara negara AS, Euro Area, dan Jerman adalah 3.0%, 1.5%, dan 0.9% masing-masing.</t>
  </si>
  <si>
    <t xml:space="preserve">Tabel VII.1 2025 (%yoy): AS 2,0; Euro Area 1,2; Jerman 0,2. Text: AS 1,9%, Euro Area 1,0%; 3,0% = PDB global (text), 1,5% = negara maju (text).</t>
  </si>
  <si>
    <t xml:space="preserve">3,0% is global growth and 1,5% advanced economies; 0,9% is Jerman 2026. Correct 2025 values: AS 2,0%, Euro Area 1,2%, Jerman 0,2% (table). Jerman is only in the table.</t>
  </si>
  <si>
    <t xml:space="preserve">Berapa proyeksi pertumbuhan ekonomi AS, Euro Area, dan Jerman pada 2025?</t>
  </si>
  <si>
    <t xml:space="preserve">Berdasarkan Tabel VII.1, pertumbuhan 2025 diproyeksikan AS 2,0%, Euro Area 1,2%, dan Jerman 0,2% (yoy); teks menyebut AS 1,9% dan Euro Area 1,0%.</t>
  </si>
  <si>
    <t xml:space="preserve">QA0353</t>
  </si>
  <si>
    <t xml:space="preserve">Bagaimana berbagi pertumbuhan ekonomi global 2024 di antara negara AS, Euro Area, dan Jerman?</t>
  </si>
  <si>
    <t xml:space="preserve">Pertumbuhan ekonomi global 2024 di antara negara AS, Euro Area, dan Jerman adalah 4.1%, 1.2%, dan 0.3% masing-masing.</t>
  </si>
  <si>
    <t xml:space="preserve">Tabel VII.1 2024 (%yoy): AS 2,8; Euro Area 0,9; Jerman -0,5. Text: AS 2,8%, Euro Area 1,2% (2024). 4,1% = negara berkembang 2025 (text).</t>
  </si>
  <si>
    <t xml:space="preserve">4,1% and 0,3% are not the 2024 values for AS/Jerman; correct: AS 2,8%, Euro Area 0,9% (table; 1,2% in text), Jerman -0,5%. No chart and no calculation.</t>
  </si>
  <si>
    <t xml:space="preserve">Berapa pertumbuhan ekonomi AS, Euro Area, dan Jerman pada 2024?</t>
  </si>
  <si>
    <t xml:space="preserve">Berdasarkan Tabel VII.1, pertumbuhan 2024 tercatat AS 2,8%, Euro Area 0,9%, dan Jerman -0,5% (yoy).</t>
  </si>
  <si>
    <t xml:space="preserve">QA0354</t>
  </si>
  <si>
    <t xml:space="preserve">Bagaimana berbagi pertumbuhan inflasi global 2025 di antara negara AS dan Euro Area?</t>
  </si>
  <si>
    <t xml:space="preserve">Pertumbuhan inflasi global 2025 di antara negara AS adalah 2.5%, dan Euro Area adalah 2.6%.</t>
  </si>
  <si>
    <t xml:space="preserve">Page gives inflation only for Global (4,2% 2025), Negara Maju (2,5% 2025; 2,6% 2024) and Negara Berkembang; no country-level inflation for AS or Euro Area.</t>
  </si>
  <si>
    <t xml:space="preserve">Inflation for AS and Euro Area separately does not exist on the page; 2,5%/2,6% are advanced-economy inflation for 2025/2024.</t>
  </si>
  <si>
    <t xml:space="preserve">QA0355</t>
  </si>
  <si>
    <t xml:space="preserve">Laporan-Perekonomian-DI-Yogyakarta-November-2023</t>
  </si>
  <si>
    <t xml:space="preserve">Laporan-Perekonomian-DI-Yogyakarta-November-2023_p025.png</t>
  </si>
  <si>
    <t xml:space="preserve">Bagaimana pertumbuhan ekonomi DIY pada DKI Jakarta di periode I/II/III 2023?</t>
  </si>
  <si>
    <t xml:space="preserve">Pertumbuhan ekonomi DIY pada DKI Jakarta di periode I: 5,75%, II: 5,13%, III: 4,94%</t>
  </si>
  <si>
    <t xml:space="preserve">Tabel 1.1 DKI Jakarta: 5,93 (III'22), 5,13 (II'23), 4,94 (III'23); columns are III'22/II'23/III'23, not I/II/III 2023. 5,75 is Jawa III'22.</t>
  </si>
  <si>
    <t xml:space="preserve">The question is garbled ('DIY pada DKI Jakarta') and the periods are wrong. The first value (5,75) belongs to Jawa, not DKI (5,93). The source is a table, and no calculation is involved.</t>
  </si>
  <si>
    <t xml:space="preserve">Bagaimana pertumbuhan ekonomi DKI Jakarta pada triwulan III 2022, triwulan II 2023, dan triwulan III 2023?</t>
  </si>
  <si>
    <t xml:space="preserve">Pertumbuhan ekonomi DKI Jakarta tercatat 5,93% (yoy) pada triwulan III 2022, 5,13% (yoy) pada triwulan II 2023, dan 4,94% (yoy) pada triwulan III 2023.</t>
  </si>
  <si>
    <t xml:space="preserve">QA0356</t>
  </si>
  <si>
    <t xml:space="preserve">Bagaimana pertumbuhan ekonomi DIY di seluruh Jawa selama periode I/II/III 2023?</t>
  </si>
  <si>
    <t xml:space="preserve">Pertumbuhan ekonomi DIY di seluruh Jawa selama periode I: 5,16%, II: 4,83%, III: 4,83%</t>
  </si>
  <si>
    <t xml:space="preserve">Tabel 1.1 Jawa: 5,75 (III'22), 5,18 (II'23), 4,83 (III'23). Text only states Jawa 4,83% (Tw III 2023). 5,16 is DIY II'23.</t>
  </si>
  <si>
    <t xml:space="preserve">Only 4,83 (III'23) is right. 5,16 is DIY's value; Jawa was 5,75 (III'22) and 5,18 (II'23). The periods are not I/II/III 2023, and the data is from a table, not text.</t>
  </si>
  <si>
    <t xml:space="preserve">Bagaimana pertumbuhan ekonomi kawasan Jawa pada triwulan III 2022, triwulan II 2023, dan triwulan III 2023?</t>
  </si>
  <si>
    <t xml:space="preserve">Pertumbuhan ekonomi kawasan Jawa tercatat 5,75% (yoy) pada triwulan III 2022, 5,18% (yoy) pada triwulan II 2023, dan melambat menjadi 4,83% (yoy) pada triwulan III 2023.</t>
  </si>
  <si>
    <t xml:space="preserve">QA0357</t>
  </si>
  <si>
    <t xml:space="preserve">Bagaimana pertumbuhan PDRB DIY di periode I/II/III 2023?</t>
  </si>
  <si>
    <t xml:space="preserve">Pertumbuhan PDRB DIY di periode I: 4,94%, II: 4,83%, III: 4,83%</t>
  </si>
  <si>
    <t xml:space="preserve">Tabel 1.1 DIY: 6,20 (III'22), 5,16 (II'23), 4,96 (III'23); text: 5,16% Tw II, 4,96% Tw III 2023. Grafik 1.1 labels only 4,96. 4,94 is Nasional.</t>
  </si>
  <si>
    <t xml:space="preserve">The values are wrong: 4,94 is Nasional/DKI and 4,83 is Jawa/Banten. DIY grew 6,20, 5,16 and 4,96. The periods are mislabelled, and most values are only in the table/text.</t>
  </si>
  <si>
    <t xml:space="preserve">Bagaimana pertumbuhan PDRB DIY pada triwulan III 2022, triwulan II 2023, dan triwulan III 2023?</t>
  </si>
  <si>
    <t xml:space="preserve">Pertumbuhan PDRB DIY tercatat 6,20% (yoy) pada triwulan III 2022, 5,16% (yoy) pada triwulan II 2023, dan melambat menjadi 4,96% (yoy) pada triwulan III 2023.</t>
  </si>
  <si>
    <t xml:space="preserve">QA0358</t>
  </si>
  <si>
    <t xml:space="preserve">Laporan-Perekonomian-DI-Yogyakarta-November-2023_p026.png</t>
  </si>
  <si>
    <t xml:space="preserve">Bagaimana kemampuan konsumsi RT mengubah pada periode triwulan III 2023 dibandingkan periode sebelumnya?</t>
  </si>
  <si>
    <t xml:space="preserve">Kemampuan konsumsi RT meningkat 1.7% dari periode II 2023</t>
  </si>
  <si>
    <t xml:space="preserve">Text: konsumsi RT Tw III 2023 tumbuh 5,16% (yoy), melambat dibandingkan Tw II 2023 sebesar 5,19% (yoy).</t>
  </si>
  <si>
    <t xml:space="preserve">1,7% is not on the page and direction is wrong: RT consumption growth slowed slightly from 5,19% to 5,16% yoy.</t>
  </si>
  <si>
    <t xml:space="preserve">Bagaimana pertumbuhan konsumsi RT DIY pada triwulan III 2023 dibandingkan triwulan II 2023?</t>
  </si>
  <si>
    <t xml:space="preserve">Konsumsi RT tumbuh 5,16% (yoy) pada triwulan III 2023, sedikit melambat dibandingkan triwulan II 2023 sebesar 5,19% (yoy).</t>
  </si>
  <si>
    <t xml:space="preserve">QA0359</t>
  </si>
  <si>
    <t xml:space="preserve">Bagaimana pertumbuhan konsuins RT di masa ke-III 2023 terbanding dengan pertumbuhan konsuins masyarakat lainnya?</t>
  </si>
  <si>
    <t xml:space="preserve">Pertumbuhan konsuins RT di masa ke-III 2023 lebih tinggi 1.7% dibandingkan pertumbuhan masyarakat lainnya</t>
  </si>
  <si>
    <t xml:space="preserve">Page gives RT consumption growth 5,16% (Tw III 2023) and composition shares; no comparison with 'konsumsi masyarakat lainnya' and no 1,7% figure.</t>
  </si>
  <si>
    <t xml:space="preserve">Garbled question ('konsuins') comparing to an entity not on the page; answer figure fabricated.</t>
  </si>
  <si>
    <t xml:space="preserve">QA0360</t>
  </si>
  <si>
    <t xml:space="preserve">Bagaimana pertumbuhan konsuins RT di masa ke-III 2023 mempengaruhi kondisi ekonomi?</t>
  </si>
  <si>
    <t xml:space="preserve">Pertumbuhan konsuins RT meningkat, menyebabkan peningkatan kondisi ekonomi</t>
  </si>
  <si>
    <t xml:space="preserve">Hallucination, Reasoning</t>
  </si>
  <si>
    <t xml:space="preserve">Text: konsumsi RT Tw III 2023 tumbuh 5,16% yoy, melambat dari 5,19%; page gives no statement on its effect on overall economic conditions.</t>
  </si>
  <si>
    <t xml:space="preserve">Asks for a causal effect not discussed on page and premise of rising growth is false (it slowed); answer unsupported.</t>
  </si>
  <si>
    <t xml:space="preserve">QA0361</t>
  </si>
  <si>
    <t xml:space="preserve">Laporan-Perekonomian-DI-Yogyakarta-November-2023_p033.png</t>
  </si>
  <si>
    <t xml:space="preserve">Bagaimana perubahan pertumbuhan LU industri pengolahan di Laporan Usaha 2023?</t>
  </si>
  <si>
    <t xml:space="preserve">Tumbuh 4,56% (yoy)</t>
  </si>
  <si>
    <t xml:space="preserve">Typo/Grammar, Temporal, Instruction-following, Incomplete</t>
  </si>
  <si>
    <t xml:space="preserve">Text 1.2.1 &amp; Tabel 1.3: LU industri pengolahan tumbuh 4,56% (yoy) Tw III 2023, naik dari 3,74% (yoy) Tw II 2023.</t>
  </si>
  <si>
    <t xml:space="preserve">4,56% is correct for Tw III 2023, but question is garbled ('Laporan Usaha 2023', no quarter), 'perubahan' not addressed, and no calculation is involved.</t>
  </si>
  <si>
    <t xml:space="preserve">Bagaimana perubahan pertumbuhan LU industri pengolahan DIY pada triwulan III 2023?</t>
  </si>
  <si>
    <t xml:space="preserve">Tumbuh 4,56% (yoy) pada triwulan III 2023, meningkat dibandingkan triwulan II 2023 sebesar 3,74% (yoy).</t>
  </si>
  <si>
    <t xml:space="preserve">QA0362</t>
  </si>
  <si>
    <t xml:space="preserve">Bagaimana pertumbuhan LU industri pengolahan di Laporan Usaha 2023 dibandingkan dengan periode sebelumnya?</t>
  </si>
  <si>
    <t xml:space="preserve">Tumbuh 4,56% (yoy) dibandingkan dengan periode sebelumnya 3,74% (yoy)</t>
  </si>
  <si>
    <t xml:space="preserve">Typo/Grammar, Temporal, Instruction-following</t>
  </si>
  <si>
    <t xml:space="preserve">Text 1.2.1: 4,56% (yoy) Tw III 2023 vs 3,74% (yoy) Tw II 2023 (Grafik 1.33 has no value labels; Tabel 1.3 same values).</t>
  </si>
  <si>
    <t xml:space="preserve">Values correct, but question garbled/period missing ('Laporan Usaha 2023'); the numbers come from text/table, not readable from the chart.</t>
  </si>
  <si>
    <t xml:space="preserve">Bagaimana pertumbuhan LU industri pengolahan DIY pada triwulan III 2023 dibandingkan triwulan sebelumnya?</t>
  </si>
  <si>
    <t xml:space="preserve">Tumbuh 4,56% (yoy) pada triwulan III 2023, lebih tinggi dibandingkan triwulan II 2023 sebesar 3,74% (yoy).</t>
  </si>
  <si>
    <t xml:space="preserve">QA0363</t>
  </si>
  <si>
    <t xml:space="preserve">Kontribusi dari pertumbuhan LU industri pengolahan pada PDRB Trivisi 2023?</t>
  </si>
  <si>
    <t xml:space="preserve">Kontribusi dari pertumbuhan LU industri pengolahan pada PDRB Trivisi 2023 adalah 47,62%</t>
  </si>
  <si>
    <t xml:space="preserve">No contribution/share of industri pengolahan to PDRB on page. 47,62% is PMI DIY Tw III 2023 (text, SKDU).</t>
  </si>
  <si>
    <t xml:space="preserve">Asked metric (contribution to PDRB) is absent; answer misuses the PMI value; 'Trivisi' garbled.</t>
  </si>
  <si>
    <t xml:space="preserve">QA0364</t>
  </si>
  <si>
    <t xml:space="preserve">Laporan-Perekonomian-DI-Yogyakarta-November-2023_p049.png</t>
  </si>
  <si>
    <t xml:space="preserve">Bagaimana perkembangan inflasi pada kategori 'Komoditas yang dominan memberikan andil inflasi tahunan' pada triwulan III 2023?</t>
  </si>
  <si>
    <t xml:space="preserve">Komoditas yang dominan memberikan andil inflasi tahunan sebesar 0.23% pada triwulan III 2023.</t>
  </si>
  <si>
    <t xml:space="preserve">Text: komoditas dominan andil inflasi tahunan Tw III 2023: beras 0,56%, rokok kretek filter 0,28%, bawang putih 0,13%, daging ayam ras 0,08%, rokok putih 0,06%. 0,23% is kelompok transportasi andil.</t>
  </si>
  <si>
    <t xml:space="preserve">0,23% is the transport group's andil, not the dominant commodities; answer names no commodity.</t>
  </si>
  <si>
    <t xml:space="preserve">Komoditas apa yang dominan memberikan andil inflasi tahunan kelompok makanan, minuman, dan tembakau di DIY pada triwulan III 2023?</t>
  </si>
  <si>
    <t xml:space="preserve">Beras (0,56%), rokok kretek filter (0,28%), bawang putih (0,13%), daging ayam ras (0,08%), dan rokok putih (0,06%).</t>
  </si>
  <si>
    <t xml:space="preserve">QA0365</t>
  </si>
  <si>
    <t xml:space="preserve">Bagaimana perkembangan inflasi pada kategori 'Komoditas yang dominan memberikan andil inflasi tahunan' pada triwulan III 2023 dibandingkan dengan periode sebelumnya?</t>
  </si>
  <si>
    <t xml:space="preserve">Komoditas yang dominan memberikan andil inflasi tahunan sebesar 0.23% pada triwulan III 2023, berbeda dengan periode sebelumnya.</t>
  </si>
  <si>
    <t xml:space="preserve">Hallucination, Incomplete, Instruction-following</t>
  </si>
  <si>
    <t xml:space="preserve">Page gives commodity andil only for Tw III 2023 (text); no previous-period andil for these commodities. Grafik 3.1 is oil price/IHK bensin only.</t>
  </si>
  <si>
    <t xml:space="preserve">The comparison with the previous period for dominant commodities' andil is not on the page; answer '0.23%, berbeda' is unsupported and vacuous.</t>
  </si>
  <si>
    <t xml:space="preserve">QA0366</t>
  </si>
  <si>
    <t xml:space="preserve">Bagaimana perkembangan inflasi pada kategori 'Komoditas yang dominan memberikan andil inflasi tahunan' pada triwulan III 2023 dibandingkan dengan kategori lainnya?</t>
  </si>
  <si>
    <t xml:space="preserve">Komoditas yang dominan memberikan andil inflasi tahunan sebesar 0.23% pada triwulan III 2023, berbeda dengan kategori lainnya.</t>
  </si>
  <si>
    <t xml:space="preserve">Text: kelompok transportasi andil terbesar kedua 0,23% (yoy); kelompok makanan, minuman, tembakau andil terbesar 1,35% (yoy). No chart of andil.</t>
  </si>
  <si>
    <t xml:space="preserve">'Berbeda dengan kategori lainnya' gives no comparison; 0,23% is transport group andil (2nd after food group 1,35%). Evidence is text, not a chart.</t>
  </si>
  <si>
    <t xml:space="preserve">Bagaimana andil inflasi tahunan kelompok transportasi di DIY pada triwulan III 2023 dibandingkan kelompok lainnya?</t>
  </si>
  <si>
    <t xml:space="preserve">Kelompok transportasi memberikan andil terbesar kedua sebesar 0,23% (yoy), setelah kelompok makanan, minuman, dan tembakau yang memberikan andil terbesar 1,35% (yoy).</t>
  </si>
  <si>
    <t xml:space="preserve">QA0367</t>
  </si>
  <si>
    <t xml:space="preserve">Laporan-Perekonomian-DI-Yogyakarta-November-2023_p050.png</t>
  </si>
  <si>
    <t xml:space="preserve">Jumlah infasip di Kelompok Inflasi pada bulan September 2022 berapa?</t>
  </si>
  <si>
    <t xml:space="preserve">5.97</t>
  </si>
  <si>
    <t xml:space="preserve">Typo/Grammar, Temporal, Instruction-following, Format</t>
  </si>
  <si>
    <t xml:space="preserve">Tabel 3.2 Andil Inflasi DIY (%yoy), 2023 report: Makanan, Minuman dan Tembakau inflasi 5,97, andil 1,35. No September 2022 data.</t>
  </si>
  <si>
    <t xml:space="preserve">Question is garbled ('infasip', no group named) and dated Sept 2022; 5,97 is the Makanan group's 2023 yoy inflation. A single lookup, not a calculation; bare number.</t>
  </si>
  <si>
    <t xml:space="preserve">Berapa inflasi kelompok Makanan, Minuman dan Tembakau DIY pada Tabel 3.2?</t>
  </si>
  <si>
    <t xml:space="preserve">Inflasi kelompok Makanan, Minuman dan Tembakau DIY sebesar 5,97% (yoy) dengan andil 1,35%.</t>
  </si>
  <si>
    <t xml:space="preserve">QA0368</t>
  </si>
  <si>
    <t xml:space="preserve">Ketersediaan berdasar DIY di Tenggara dan Bali pada bulan September 2022 berapa?</t>
  </si>
  <si>
    <t xml:space="preserve">5.42</t>
  </si>
  <si>
    <t xml:space="preserve">No 'Tenggara dan Bali' on page; 5,42 in Tabel 3.2 is Kesehatan inflation (%yoy). Ketersediaan beras (Grafik 3.2) is in tons, weekly Jul-Sep, no 2022.</t>
  </si>
  <si>
    <t xml:space="preserve">Region and metric do not exist on the page; answer is an unrelated health-inflation value.</t>
  </si>
  <si>
    <t xml:space="preserve">QA0369</t>
  </si>
  <si>
    <t xml:space="preserve">Bagaimana perubahan ketersediaan berdasar DIY di Tenggara dan Bali antara bulan September 2022 dan September 2021?</t>
  </si>
  <si>
    <t xml:space="preserve">Ketersediaan berdasar DIY di Tenggara dan Bali meningkat dari 5.42% menjadi 5.97% pada bulan September 2022</t>
  </si>
  <si>
    <t xml:space="preserve">No 'Tenggara dan Bali', no Sept 2021/2022 comparison. 5,42 (Kesehatan) and 5,97 (Makanan) are 2023 group inflation rates in Tabel 3.2.</t>
  </si>
  <si>
    <t xml:space="preserve">Question premise (regional availability 2021 vs 2022) is absent; answer strings together two unrelated table values.</t>
  </si>
  <si>
    <t xml:space="preserve">QA0370</t>
  </si>
  <si>
    <t xml:space="preserve">Laporan-Perekonomian-DI-Yogyakarta-November-2023_p081.png</t>
  </si>
  <si>
    <t xml:space="preserve">Ketakutamaan di DIY pada Augustus 2023 berapa?</t>
  </si>
  <si>
    <t xml:space="preserve">2,998,93 ribuan orang</t>
  </si>
  <si>
    <t xml:space="preserve">Typo/Grammar, Format, Instruction-following</t>
  </si>
  <si>
    <t xml:space="preserve">Text 6.2.1 &amp; Tabel 6.1: penduduk usia kerja DIY Agustus 2023 sebanyak 2.998,93 ribu orang (-6,80% yoy).</t>
  </si>
  <si>
    <t xml:space="preserve">Question word 'Ketakutamaan' is garbled; answer value matches penduduk usia kerja but has malformed separators ('2,998,93 ribuan').</t>
  </si>
  <si>
    <t xml:space="preserve">Berapa jumlah penduduk usia kerja di DIY pada Agustus 2023?</t>
  </si>
  <si>
    <t xml:space="preserve">Jumlah penduduk usia kerja di DIY pada Agustus 2023 sebanyak 2.998,93 ribu orang, melambat -6,80% (yoy).</t>
  </si>
  <si>
    <t xml:space="preserve">QA0371</t>
  </si>
  <si>
    <t xml:space="preserve">Pertumbuhan penduduk usia kerja pada perusahaan DIY terhadap 2023 kapan terjadi?</t>
  </si>
  <si>
    <t xml:space="preserve">Pada bulan Agustus 2023</t>
  </si>
  <si>
    <t xml:space="preserve">Tabel 6.1: pertumbuhan penduduk usia kerja 1,37% (Aug-21), 1,33% (Aug-22), -6,80% (Aug-23). No chart on page.</t>
  </si>
  <si>
    <t xml:space="preserve">Garbled question ('pada perusahaan'); in Aug 2023 working-age population contracted (-6,80%), positive growth was in Aug 2021/2022. No chart calculation.</t>
  </si>
  <si>
    <t xml:space="preserve">Kapan penduduk usia kerja DIY mencatat pertumbuhan positif menurut Tabel 6.1?</t>
  </si>
  <si>
    <t xml:space="preserve">Pertumbuhan positif terjadi pada Agustus 2021 (1,37% yoy) dan Agustus 2022 (1,33% yoy); pada Agustus 2023 justru terkontraksi -6,80% (yoy).</t>
  </si>
  <si>
    <t xml:space="preserve">QA0372</t>
  </si>
  <si>
    <t xml:space="preserve">Pertumbuhan penduduk usia kerja pada DIY kapan terjadi negatif?</t>
  </si>
  <si>
    <t xml:space="preserve">Agustus 2023</t>
  </si>
  <si>
    <t xml:space="preserve">Text &amp; Tabel 6.1: penduduk usia kerja Agustus 2023 2.998,93 ribu orang, -6,80% (yoy).</t>
  </si>
  <si>
    <t xml:space="preserve">Answer correct but page has no chart (text/table); answer could include the -6,80% value.</t>
  </si>
  <si>
    <t xml:space="preserve">Pertumbuhan penduduk usia kerja DIY negatif pada Agustus 2023, yaitu -6,80% (yoy).</t>
  </si>
  <si>
    <t xml:space="preserve">QA0373</t>
  </si>
  <si>
    <t xml:space="preserve">Laporan-Perekonomian-DI-Yogyakarta-November-2023_p083.png</t>
  </si>
  <si>
    <t xml:space="preserve">Pertanyaan: Berapa persentase penduduk di DIY pada Augustus 2023 yang berstatus di SMP?</t>
  </si>
  <si>
    <t xml:space="preserve">16,81%</t>
  </si>
  <si>
    <t xml:space="preserve">Tabel 6.4 Aug 2023: SMP 15,37% (yoy -28,18); 16,81% is SMA.</t>
  </si>
  <si>
    <t xml:space="preserve">Wrong row: SMP share is 15,37%, 16,81% belongs to SMA. Single table lookup, no chart calculation; 'Pertanyaan:' prefix in question.</t>
  </si>
  <si>
    <t xml:space="preserve">Berapa persentase penduduk bekerja di DIY pada Agustus 2023 yang berpendidikan tertinggi SMP?</t>
  </si>
  <si>
    <t xml:space="preserve">Persentase penduduk bekerja berpendidikan tertinggi SMP di DIY pada Agustus 2023 sebesar 15,37%.</t>
  </si>
  <si>
    <t xml:space="preserve">QA0374</t>
  </si>
  <si>
    <t xml:space="preserve">Pertanyaan: Berapa persentase penduduk di DIY pada Augustus 2023 yang berstatus di SD ke bawah?</t>
  </si>
  <si>
    <t xml:space="preserve">25,23%</t>
  </si>
  <si>
    <t xml:space="preserve">Text: penduduk bekerja berpendidikan SD ke bawah 539,93 ribu orang (25,23%); Tabel 6.4 Aug 2023 SD ke bawah 25,23.</t>
  </si>
  <si>
    <t xml:space="preserve">Value matches text and table; wording slightly awkward but understandable.</t>
  </si>
  <si>
    <t xml:space="preserve">QA0375</t>
  </si>
  <si>
    <t xml:space="preserve">Pertanyaan: Berapa persentase penduduk di DIY pada Augustus 2023 yang berstatus di SMK?</t>
  </si>
  <si>
    <t xml:space="preserve">10,7%</t>
  </si>
  <si>
    <t xml:space="preserve">Text: berpendidikan SMK 517,68 ribu orang (24,19%); Tabel 6.4 Aug 2023 SMK 24,19 (yoy 34,76). 10,77 is SMK 2021 yoy.</t>
  </si>
  <si>
    <t xml:space="preserve">SMK share in Aug 2023 is 24,19%, not 10,7%. Value is in text/table; no chart on page.</t>
  </si>
  <si>
    <t xml:space="preserve">Berapa persentase penduduk bekerja di DIY pada Agustus 2023 yang berpendidikan tertinggi SMK?</t>
  </si>
  <si>
    <t xml:space="preserve">Persentase penduduk bekerja berpendidikan SMK di DIY pada Agustus 2023 sebesar 24,19% (517,68 ribu orang).</t>
  </si>
  <si>
    <t xml:space="preserve">QA0376</t>
  </si>
  <si>
    <t xml:space="preserve">Laporan-Perekonomian-DI-Yogyakarta-November-2023_p084.png</t>
  </si>
  <si>
    <t xml:space="preserve">Bagaimana perubahan Pertama Tingkat Pendidikan (TPT) di DIY terhadap Pertama Tingkat Pendidikan Nasional (NTP) selama periode 2022 dan 2023?</t>
  </si>
  <si>
    <t xml:space="preserve">TPT di DIY meningkat sebesar 2,06% pada Agustus 2022 dan meningkat sebesar 2,33% pada Agustus 2023, sedangkan NTP meningkat sebesar 0,97% pada Agustus 2023.</t>
  </si>
  <si>
    <t xml:space="preserve">Grafik 6.3 TPT: DIY Aug 2022 4,06 -&gt; Aug 2023 3,69; Nasional 5,86 -&gt; 5,32. 2,06/2,33 = TPT perdesaan (Grafik 6.4); 0,97% = NTP qtq.</t>
  </si>
  <si>
    <t xml:space="preserve">TPT is mis-expanded and 'NTP' confused with Nilai Tukar Petani. DIY TPT fell 4,06%-&gt;3,69% and national 5,86%-&gt;5,32%; answer uses rural TPT and NTP growth, and says 'meningkat'.</t>
  </si>
  <si>
    <t xml:space="preserve">Bagaimana perubahan Tingkat Pengangguran Terbuka (TPT) DIY dibandingkan TPT Nasional pada Agustus 2022 dan Agustus 2023?</t>
  </si>
  <si>
    <t xml:space="preserve">TPT DIY turun dari 4,06% (Agustus 2022) menjadi 3,69% (Agustus 2023), sementara TPT Nasional turun dari 5,86% menjadi 5,32%; TPT DIY tetap lebih rendah dari nasional.</t>
  </si>
  <si>
    <t xml:space="preserve">QA0377</t>
  </si>
  <si>
    <t xml:space="preserve">Bagaimana perubahan pendidikan TPT di DIY dan Nasional pada bulan Agustus 2023?</t>
  </si>
  <si>
    <t xml:space="preserve">TPT di DIY meningkat sebesar 2,33% pada Agustus 2023, sedangkan NTP meningkat sebesar 0,97% pada Agustus 2023.</t>
  </si>
  <si>
    <t xml:space="preserve">Grafik 6.3: Aug 2023 TPT DIY 3,69 (Aug 2022 4,06), Nasional 5,32 (Aug 2022 5,86). 2,33 = TPT perdesaan; 0,97% = NTP qtq Tw III 2023.</t>
  </si>
  <si>
    <t xml:space="preserve">2,33% is rural TPT and 0,97% is NTP growth; DIY TPT actually fell to 3,69% and national to 5,32%. Values are in Grafik 6.3, not text; 'pendidikan TPT' garbled.</t>
  </si>
  <si>
    <t xml:space="preserve">Bagaimana perubahan TPT DIY dan Nasional pada Agustus 2023?</t>
  </si>
  <si>
    <t xml:space="preserve">Pada Agustus 2023 TPT DIY turun menjadi 3,69% dari 4,06% (Agustus 2022), dan TPT Nasional turun menjadi 5,32% dari 5,86%.</t>
  </si>
  <si>
    <t xml:space="preserve">QA0378</t>
  </si>
  <si>
    <t xml:space="preserve">Bagaimana kompetensi kompleks di DIY pada periode 2022 dan 2023?</t>
  </si>
  <si>
    <t xml:space="preserve">Kompetensi kompleks di DIY meningkat dari 4,78% pada Agustus 2022 menjadi 4,19% pada Agustus 2023.</t>
  </si>
  <si>
    <t xml:space="preserve">Page only says rural job 'kualifikasi kompetensi ... tidak terlalu kompleks' (text). 4,78%-&gt;4,19% is TPT perkotaan (Grafik 6.4).</t>
  </si>
  <si>
    <t xml:space="preserve">No 'kompetensi kompleks' metric exists on the page; the answer reuses urban TPT values and even calls a decline an increase.</t>
  </si>
  <si>
    <t xml:space="preserve">QA0379</t>
  </si>
  <si>
    <t xml:space="preserve">Laporan-Perekonomian-Provinsi-Jawa-Tengah-Februari-2026</t>
  </si>
  <si>
    <t xml:space="preserve">Laporan-Perekonomian-Provinsi-Jawa-Tengah-Februari-2026_p025.png</t>
  </si>
  <si>
    <t xml:space="preserve">Bagaimana pertumbuhan ekonomi Jawa Tengah pada periode IV 2025 dibandingkan periode III 2025?</t>
  </si>
  <si>
    <t xml:space="preserve">Pertumbuhan ekonomi Jawa Tengah pada periode IV 2025 sebesar 5,80% (yoy), dibandingkan pertumbuhan ekonomi periode III 2025 sebesar 1,13% (yoy).</t>
  </si>
  <si>
    <t xml:space="preserve">Text/Grafik 1.1: Jateng Tw IV 2025 5,84% (yoy), Tw III 2025 5,38% (yoy); 1,13% is Tw III qtq growth; 5,80% is Jawa Tw IV.</t>
  </si>
  <si>
    <t xml:space="preserve">5,80% is Jawa's growth, and 1,13% is qtq (not yoy) for Tw III. Correct: 5,84% vs 5,38% (yoy), up 0,46 pp.</t>
  </si>
  <si>
    <t xml:space="preserve">Pertumbuhan ekonomi Jawa Tengah meningkat dari 5,38% (yoy) pada triwulan III 2025 menjadi 5,84% (yoy) pada triwulan IV 2025, naik sekitar 0,46 poin persen.</t>
  </si>
  <si>
    <t xml:space="preserve">QA0380</t>
  </si>
  <si>
    <t xml:space="preserve">Bagaimana kontribusi Jawa Tengah terhadap perekonomian Jawa pada periode IV 2025?</t>
  </si>
  <si>
    <t xml:space="preserve">Kontribusi Jawa Tengah terhadap perekonomian Jawa pada periode IV 2025 adalah 14,69%.</t>
  </si>
  <si>
    <t xml:space="preserve">Text: Ekonomi Jawa Tengah memiliki kontribusi sebesar 14,69% terhadap perekonomian Jawa; Grafik 1.3 IV 2025 Jateng 14,69%.</t>
  </si>
  <si>
    <t xml:space="preserve">Value and period match text and chart.</t>
  </si>
  <si>
    <t xml:space="preserve">QA0381</t>
  </si>
  <si>
    <t xml:space="preserve">Bagaimana pertumbuhan ekonomi di DKI Jakarta pada periode IV 2025 dibandingkan periode III 2025?</t>
  </si>
  <si>
    <t xml:space="preserve">Pertumbuhan ekonomi DKI Jakarta pada periode IV 2025 adalah 5,72% (yoy), dibandingkan periode III 2025 adalah 4,96% (yoy).</t>
  </si>
  <si>
    <t xml:space="preserve">Tabel 1.1: DKI Jakarta III 2025 4,96; IV 2025 5,72 (%, yoy).</t>
  </si>
  <si>
    <t xml:space="preserve">Values correct, but no calculation is performed; it's a comparison of two table values (increase of 0,76 pp).</t>
  </si>
  <si>
    <t xml:space="preserve">Pertumbuhan ekonomi DKI Jakarta meningkat dari 4,96% (yoy) pada triwulan III 2025 menjadi 5,72% (yoy) pada triwulan IV 2025, naik 0,76 poin persen.</t>
  </si>
  <si>
    <t xml:space="preserve">QA0382</t>
  </si>
  <si>
    <t xml:space="preserve">Laporan-Perekonomian-Provinsi-Jawa-Tengah-Februari-2026_p032.png</t>
  </si>
  <si>
    <t xml:space="preserve">Bagaimana kinerja investasi pada tahun 2025 di Jawa Tengah?</t>
  </si>
  <si>
    <t xml:space="preserve">Kinerja investasi pada tahun 2025 di Jawa Tengah tumbuh 6,76% (yoy).</t>
  </si>
  <si>
    <t xml:space="preserve">Text 'Kinerja tahun 2025': kinerja investasi pada 2025 tumbuh 6,76% (yoy), meningkat dibanding tahun sebelumnya 6,55% (yoy).</t>
  </si>
  <si>
    <t xml:space="preserve">Correct value, period and unit from text.</t>
  </si>
  <si>
    <t xml:space="preserve">QA0383</t>
  </si>
  <si>
    <t xml:space="preserve">Bagaimana komposisi ekspor Jawa Tengah pada tahun 2025?</t>
  </si>
  <si>
    <t xml:space="preserve">Komposisi ekspor Jawa Tengah pada tahun 2025 adalah 30,19% untuk komoditas teknikal dan produk teknikal (TPT), 14,11% untuk kaki (panjang 13,59%), dan 13,59% untuk kuliah dan kuliah lainnya (panjang 13,59%).</t>
  </si>
  <si>
    <t xml:space="preserve">Text: ekspor nonmigas Tw IV 2025 didominasi TPT (pangsa 30,19%), alas kaki (14,11%), mebel dan kayu olahan (13,59%). Grafik 1.22 shows different SITC shares (31,51; 14,85...).</t>
  </si>
  <si>
    <t xml:space="preserve">Shares right but commodities garbled ('teknikal', 'kaki', 'kuliah'); figures are Tw IV 2025 from text, not the chart.</t>
  </si>
  <si>
    <t xml:space="preserve">Bagaimana komposisi ekspor luar negeri nonmigas Jawa Tengah pada triwulan IV 2025?</t>
  </si>
  <si>
    <t xml:space="preserve">Ekspor nonmigas Jawa Tengah pada triwulan IV 2025 didominasi tekstil dan produk tekstil (TPT) dengan pangsa 30,19%, alas kaki 14,11%, serta mebel dan kayu olahan 13,59%.</t>
  </si>
  <si>
    <t xml:space="preserve">QA0384</t>
  </si>
  <si>
    <t xml:space="preserve">Bagaimana pertumbuhan ekspor Jawa Tengah pada tahun 2025 dibandingkan dengan tahun sebelumnya?</t>
  </si>
  <si>
    <t xml:space="preserve">Pertumbuhan ekspor Jawa Tengah pada tahun 2025 dibandingkan dengan tahun sebelumnya sebesar 6,55% (yoy).</t>
  </si>
  <si>
    <t xml:space="preserve">Text and Grafik 1.20: ekspor luar negeri Tw IV 2025 tumbuh 18,00% (yoy), lebih tinggi dari Tw III 2025 17,23% (yoy). 6,55% is 2024 investment growth.</t>
  </si>
  <si>
    <t xml:space="preserve">6,55% belongs to investment (2024), not exports. Export growth Tw IV 2025 was 18,00% yoy, up from 17,23%.</t>
  </si>
  <si>
    <t xml:space="preserve">Bagaimana pertumbuhan ekspor luar negeri Jawa Tengah pada triwulan IV 2025 dibandingkan triwulan sebelumnya?</t>
  </si>
  <si>
    <t xml:space="preserve">Ekspor luar negeri Jawa Tengah pada triwulan IV 2025 tumbuh 18,00% (yoy), lebih tinggi dibandingkan triwulan III 2025 sebesar 17,23% (yoy).</t>
  </si>
  <si>
    <t xml:space="preserve">QA0385</t>
  </si>
  <si>
    <t xml:space="preserve">Laporan-Perekonomian-Provinsi-Jawa-Tengah-Februari-2026_p036.png</t>
  </si>
  <si>
    <t xml:space="preserve">Bagaimana kontribusi kinera jiwa terhadap PDBR di Jawa Tengah pada tahun 2025?</t>
  </si>
  <si>
    <t xml:space="preserve">Kinera jiwa akan menghasilkan PDBR sebesar 0,31% pada tahun 2025.</t>
  </si>
  <si>
    <t xml:space="preserve">Page covers impor luar negeri 2025 (kontraksi 0,31% yoy), net ekspor antardaerah, and LU growth; no 'kinera jiwa' or its contribution to PDRB.</t>
  </si>
  <si>
    <t xml:space="preserve">'Kinera jiwa' contribution to PDRB does not exist on the page; 0,31% is the 2025 import contraction. Question is garbled and ungrounded.</t>
  </si>
  <si>
    <t xml:space="preserve">QA0386</t>
  </si>
  <si>
    <t xml:space="preserve">Bagaimana perubahan kontribusi kinera jiwa terhadap PDBR di Jawa Tengah antara tahun 2024 dan 2025?</t>
  </si>
  <si>
    <t xml:space="preserve">Kontribusi kinera jiwa meningkat dari 12,44% pada tahun 2024 menjadi 15,42% pada tahun 2025.</t>
  </si>
  <si>
    <t xml:space="preserve">No 'kinera jiwa' metric on page; 12,44% = import growth 2024, 15,42% = consumer-goods import contraction 2025 (text).</t>
  </si>
  <si>
    <t xml:space="preserve">Metric is not on the page; the two numbers are unrelated import figures stitched together.</t>
  </si>
  <si>
    <t xml:space="preserve">QA0387</t>
  </si>
  <si>
    <t xml:space="preserve">Bagaimana kontribusi kinera jiwa terhadap PDBR di Jawa Tengah pada tahun 2025 dibandingkan dengan tahun sebelumnya?</t>
  </si>
  <si>
    <t xml:space="preserve">Kontribusi kinera jiwa meningkat 3,02% dibandingkan tahun sebelumnya.</t>
  </si>
  <si>
    <t xml:space="preserve">No 'kinera jiwa' contribution to PDRB and no 3,02% figure on the page.</t>
  </si>
  <si>
    <t xml:space="preserve">Question topic and answer value are not present on the page.</t>
  </si>
  <si>
    <t xml:space="preserve">QA0388</t>
  </si>
  <si>
    <t xml:space="preserve">Laporan-Perekonomian-Provinsi-Jawa-Tengah-Februari-2026_p038.png</t>
  </si>
  <si>
    <t xml:space="preserve">Bagaimana pertumbuhan PDRB pertamanya, kehutanan, dan perikanan di Jawa Tengah selama periode IV 2025?</t>
  </si>
  <si>
    <t xml:space="preserve">Pertumbuhan PDRB pertamanya, kehutanan, dan perikanan di Jawa Tengah selama periode IV 2025 mencapai 4,06%.</t>
  </si>
  <si>
    <t xml:space="preserve">Text/Tabel 1.8: LU Pertanian, Kehutanan, dan Perikanan tumbuh 4,06% (yoy) pada Tw IV 2025.</t>
  </si>
  <si>
    <t xml:space="preserve">The value is correct, but 'pertamanya' is a typo for 'pertanian' and the yoy unit is missing.</t>
  </si>
  <si>
    <t xml:space="preserve">Bagaimana pertumbuhan PDRB lapangan usaha pertanian, kehutanan, dan perikanan di Jawa Tengah pada triwulan IV 2025?</t>
  </si>
  <si>
    <t xml:space="preserve">Pertumbuhan PDRB lapangan usaha pertanian, kehutanan, dan perikanan di Jawa Tengah pada triwulan IV 2025 mencapai 4,06% (yoy).</t>
  </si>
  <si>
    <t xml:space="preserve">QA0389</t>
  </si>
  <si>
    <t xml:space="preserve">Bagaimana pertumbuhan PDRB pertamanya, kehutanan, dan perikanan di Jawa Tengah di komparasi dengan periode III?</t>
  </si>
  <si>
    <t xml:space="preserve">Pertumbuhan PDRB pertamanya, kehutanan, dan perikanan di Jawa Tengah di komparasi dengan periode III meningkat.</t>
  </si>
  <si>
    <t xml:space="preserve">Text/Tabel 1.8: LU Pertanian tumbuh 4,06% (yoy) Tw IV 2025, meningkat dari kontraksi -0,56% (yoy) Tw III 2025; Grafik 1.40 also shows a rise.</t>
  </si>
  <si>
    <t xml:space="preserve">'Meningkat' is correct, but the answer gives no values and the question is garbled ('pertamanya', 'di komparasi').</t>
  </si>
  <si>
    <t xml:space="preserve">Bagaimana pertumbuhan PDRB lapangan usaha pertanian, kehutanan, dan perikanan di Jawa Tengah pada triwulan IV 2025 dibandingkan triwulan III 2025?</t>
  </si>
  <si>
    <t xml:space="preserve">Pertumbuhan PDRB lapangan usaha pertanian, kehutanan, dan perikanan di Jawa Tengah meningkat menjadi 4,06% (yoy) pada triwulan IV 2025, dari kontraksi -0,56% (yoy) pada triwulan III 2025.</t>
  </si>
  <si>
    <t xml:space="preserve">QA0390</t>
  </si>
  <si>
    <t xml:space="preserve">Bagaimana pertumbuhan PDRB pertamanya, kehutanan, dan perikanan di Jawa Tengah di komparasi dengan periode IV 2025?</t>
  </si>
  <si>
    <t xml:space="preserve">Pertumbuhan PDRB pertamanya, kehutanan, dan perikanan di Jawa Tengah di komparasi dengan periode IV 2025 meningkat.</t>
  </si>
  <si>
    <t xml:space="preserve">Typo/Grammar, Incomplete, Instruction-following</t>
  </si>
  <si>
    <t xml:space="preserve">Grafik 1.40: pertumbuhan LU Pertanian Tw IV 2024 ~-8% (yoy) vs Tw IV 2025 positive; Tabel 1.8: Tw IV 2025 = 4,06%.</t>
  </si>
  <si>
    <t xml:space="preserve">The question compares Tw IV 2025 with itself, which is ill-posed. The likely intent (vs Tw IV 2024) gives 'meningkat', which the chart supports, but the answer has no values and no calculation is done.</t>
  </si>
  <si>
    <t xml:space="preserve">Bagaimana pertumbuhan PDRB lapangan usaha pertanian, kehutanan, dan perikanan di Jawa Tengah pada triwulan IV 2025 dibandingkan triwulan IV 2024?</t>
  </si>
  <si>
    <t xml:space="preserve">Pertumbuhan PDRB lapangan usaha pertanian, kehutanan, dan perikanan di Jawa Tengah meningkat, dari kontraksi sekitar -8% (yoy) pada triwulan IV 2024 (Grafik 1.40) menjadi tumbuh 4,06% (yoy) pada triwulan IV 2025.</t>
  </si>
  <si>
    <t xml:space="preserve">QA0391</t>
  </si>
  <si>
    <t xml:space="preserve">Laporan-Perekonomian-Provinsi-Jawa-Tengah-Februari-2026_p041.png</t>
  </si>
  <si>
    <t xml:space="preserve">Kinerja LU Perdagangan Jawa Tengah pada tahun 2025 berapa?</t>
  </si>
  <si>
    <t xml:space="preserve">5,26%</t>
  </si>
  <si>
    <t xml:space="preserve">Temporal, Factual/Numerical, Unit</t>
  </si>
  <si>
    <t xml:space="preserve">Text: LU Perdagangan tahun 2025 tumbuh 4,63% (yoy) vs 4,15% in 2024; 5,26% (yoy) is triwulan IV 2025 growth.</t>
  </si>
  <si>
    <t xml:space="preserve">5,26% is the Tw IV 2025 figure; full-year 2025 growth was 4,63% (yoy).</t>
  </si>
  <si>
    <t xml:space="preserve">Kinerja LU Perdagangan Jawa Tengah pada tahun 2025 tumbuh 4,63% (yoy), lebih tinggi dibanding tahun 2024 sebesar 4,15% (yoy).</t>
  </si>
  <si>
    <t xml:space="preserve">QA0392</t>
  </si>
  <si>
    <t xml:space="preserve">Bagaimana kinerja LU Perdagangan Jawa Tengah pada tahun 2025 dibandingkan dengan tahun 2023?</t>
  </si>
  <si>
    <t xml:space="preserve">Kinerja pada tahun 2025 lebih tinggi dibandingkan dengan tahun 2023</t>
  </si>
  <si>
    <t xml:space="preserve">Temporal, Reasoning, Instruction-following</t>
  </si>
  <si>
    <t xml:space="preserve">Text compares 2025 (4,63% yoy) with 2024 (4,15% yoy); no 2023 annual figure. Grafik 1.49: 2023 quarterly growth ~6% (Tw I-II) falling to ~3,5% (Tw IV).</t>
  </si>
  <si>
    <t xml:space="preserve">The page gives no 2023 annual figure; the comparison stated is with 2024. Chart does not clearly show 2025 above 2023 (early 2023 quarters were higher).</t>
  </si>
  <si>
    <t xml:space="preserve">Bagaimana kinerja LU Perdagangan Jawa Tengah pada tahun 2025 dibandingkan dengan tahun 2024?</t>
  </si>
  <si>
    <t xml:space="preserve">Kinerja LU Perdagangan pada tahun 2025 tumbuh 4,63% (yoy), lebih tinggi dibandingkan tahun 2024 sebesar 4,15% (yoy).</t>
  </si>
  <si>
    <t xml:space="preserve">QA0393</t>
  </si>
  <si>
    <t xml:space="preserve">Kinerja LU Perdagangan Jawa Tengah pada tahun 2025 berapa lebih tinggi dibandingkan dengan tahun 2023?</t>
  </si>
  <si>
    <t xml:space="preserve">5,26% - 4,56% = 0,70%</t>
  </si>
  <si>
    <t xml:space="preserve">Temporal, Calculation, Instruction-following</t>
  </si>
  <si>
    <t xml:space="preserve">Text: LU Perdagangan Tw IV 2025 5,26% (yoy), Tw III 2025 4,56% (yoy); year 2025 4,63%, year 2024 4,15%.</t>
  </si>
  <si>
    <t xml:space="preserve">5,26% and 4,56% are Tw IV and Tw III 2025, not years 2025 and 2023. Year 2025 vs 2024 gap is 0,48 pp; values are from text, not chart.</t>
  </si>
  <si>
    <t xml:space="preserve">Berapa selisih pertumbuhan LU Perdagangan Jawa Tengah tahun 2025 dibandingkan tahun 2024?</t>
  </si>
  <si>
    <t xml:space="preserve">4,63% - 4,15% = 0,48 poin persentase; pertumbuhan tahun 2025 lebih tinggi 0,48 pp dibanding 2024.</t>
  </si>
  <si>
    <t xml:space="preserve">QA0394</t>
  </si>
  <si>
    <t xml:space="preserve">Laporan-Perekonomian-Provinsi-Jawa-Tengah-Februari-2026_p053.png</t>
  </si>
  <si>
    <t xml:space="preserve">Bagaimana berubah anggaran pemerintah daerah dan belanja pemerintah daerah di Provinsi Jawa Tengah tahun 2024 dan 2025?</t>
  </si>
  <si>
    <t xml:space="preserve">Anggaran pemerintah daerah di Provinsi Jawa Tengah tahun 2024 adalah Rp 27,231 miliar, dan tahun 2025 adalah Rp 24,655 miliar.</t>
  </si>
  <si>
    <t xml:space="preserve">Incomplete, Format</t>
  </si>
  <si>
    <t xml:space="preserve">Text: pendapatan 2025 Rp24,65 triliun turun 9,46% (yoy); belanja 2025 Rp25,23 triliun turun 11,68% (yoy). Grafik 2.1: pendapatan 27.231-&gt;24.655, belanja 28.567-&gt;25.232 (Rp miliar).</t>
  </si>
  <si>
    <t xml:space="preserve">Pendapatan values correct but belanja omitted; '27,231 miliar' uses a decimal comma (should be 27.231 miliar / Rp27,23 triliun).</t>
  </si>
  <si>
    <t xml:space="preserve">Bagaimana perubahan pendapatan dan belanja APBD Provinsi Jawa Tengah tahun 2024 dan 2025?</t>
  </si>
  <si>
    <t xml:space="preserve">Keduanya turun: pendapatan dari Rp27.231 miliar (2024) menjadi Rp24.655 miliar (2025), turun 9,46% (yoy); belanja dari Rp28.567 miliar menjadi Rp25.232 miliar, turun 11,68% (yoy).</t>
  </si>
  <si>
    <t xml:space="preserve">QA0395</t>
  </si>
  <si>
    <t xml:space="preserve">Bagaimana berubah pendapatan dan belanja pemerintah daerah di Provinsi Jawa Tengah tahun 2024 dan 2025?</t>
  </si>
  <si>
    <t xml:space="preserve">Pendapatan pemerintah daerah tahun 2024 adalah Rp 27,231 miliar, dan tahun 2025 adalah Rp 24,655 miliar. Belanja pemerintah daerah tahun 2024 adalah Rp 34,466 miliar, dan tahun 2025 adalah Rp 25,232 miliar.</t>
  </si>
  <si>
    <t xml:space="preserve">Factual/Numerical, Calculation, Format</t>
  </si>
  <si>
    <t xml:space="preserve">Grafik 2.1 (Rp miliar): Pendapatan 2024 27.231, 2025 24.655 (-9,46%); Belanja 2024 28.567, 2025 25.232 (-11,68%).</t>
  </si>
  <si>
    <t xml:space="preserve">Belanja 2024 given as 34,466 instead of 28.567; change not computed; decimal-comma format misstates magnitude.</t>
  </si>
  <si>
    <t xml:space="preserve">Pendapatan turun dari Rp27.231 miliar (2024) menjadi Rp24.655 miliar (2025), atau -9,46%; belanja turun dari Rp28.567 miliar menjadi Rp25.232 miliar, atau -11,68%.</t>
  </si>
  <si>
    <t xml:space="preserve">QA0396</t>
  </si>
  <si>
    <t xml:space="preserve">Factual/Numerical, Incomplete, Format</t>
  </si>
  <si>
    <t xml:space="preserve">Grafik 2.1 (Rp miliar): Pendapatan 27.231 -&gt; 24.655 (-9,46%); Belanja 28.567 -&gt; 25.232 (-11,68%).</t>
  </si>
  <si>
    <t xml:space="preserve">Belanja 2024 wrong (34,466 vs 28.567) and the direction of change (both declined) is not stated.</t>
  </si>
  <si>
    <t xml:space="preserve">Keduanya menurun: pendapatan dari Rp27.231 miliar (2024) menjadi Rp24.655 miliar (2025) dan belanja dari Rp28.567 miliar menjadi Rp25.232 miliar.</t>
  </si>
  <si>
    <t xml:space="preserve">QA0397</t>
  </si>
  <si>
    <t xml:space="preserve">Laporan-Perekonomian-Provinsi-Jawa-Tengah-Februari-2026_p054.png</t>
  </si>
  <si>
    <t xml:space="preserve">Bagaimana anggaran Belanja Operasi pada tahun 2025?</t>
  </si>
  <si>
    <t xml:space="preserve">Rp 33 miliar</t>
  </si>
  <si>
    <t xml:space="preserve">Tabel 2.2: BELANJA OPERASI 2025 = Rp16.132 miliar (2024: 16.552; perubahan -421, -2,54%). 33 is Belanja Bantuan Sosial 2025.</t>
  </si>
  <si>
    <t xml:space="preserve">Rp33 miliar is the social assistance line, not Belanja Operasi (Rp16.132 miliar). Single lookup, not a calculation.</t>
  </si>
  <si>
    <t xml:space="preserve">Berapa anggaran Belanja Operasi APBD Provinsi Jawa Tengah tahun 2025?</t>
  </si>
  <si>
    <t xml:space="preserve">Rp16.132 miliar, turun Rp421 miliar (-2,54%) dari Rp16.552 miliar pada 2024.</t>
  </si>
  <si>
    <t xml:space="preserve">QA0398</t>
  </si>
  <si>
    <t xml:space="preserve">Bagaimana perubahan anggaran Belanja Modal pada tahun 2025?</t>
  </si>
  <si>
    <t xml:space="preserve">Belanja Modal mengurangi 30,71%</t>
  </si>
  <si>
    <t xml:space="preserve">Text/Tabel 2.2: Belanja Modal meningkat 12,43% (yoy), 1.777 -&gt; 1.998 miliar, didorong belanja jalan, irigasi, jaringan +131,89%. -30,71% is Belanja Transfer.</t>
  </si>
  <si>
    <t xml:space="preserve">-30,71% belongs to Belanja Transfer; Belanja Modal actually increased 12,43%.</t>
  </si>
  <si>
    <t xml:space="preserve">Belanja Modal justru tumbuh positif sebesar 12,43% (yoy) pada 2025, terutama didorong kenaikan belanja jalan, irigasi, dan jaringan sebesar 131,89% (yoy).</t>
  </si>
  <si>
    <t xml:space="preserve">QA0399</t>
  </si>
  <si>
    <t xml:space="preserve">Persentase pertumbuhan Belanja Pemerintah pada tahun 2025?</t>
  </si>
  <si>
    <t xml:space="preserve">2,48%</t>
  </si>
  <si>
    <t xml:space="preserve">Grafik 2.2: realisasi belanja daerah Tw IV 2025 Rp23.872 miliar vs 27.187 (Tw IV 2024), g_yoy -12,19%. Tabel 2.2 total anggaran belanja -11,68%. No 2,48% on page.</t>
  </si>
  <si>
    <t xml:space="preserve">2,48% does not appear; belanja realization contracted 12,19% yoy (Grafik 2.2). 'Belanja Pemerintah' should be belanja daerah APBD Jateng.</t>
  </si>
  <si>
    <t xml:space="preserve">Berapa pertumbuhan realisasi belanja daerah Provinsi Jawa Tengah pada triwulan IV 2025?</t>
  </si>
  <si>
    <t xml:space="preserve">Realisasi belanja daerah terkontraksi 12,19% (yoy), dari Rp27.187 miliar pada triwulan IV 2024 menjadi Rp23.872 miliar pada triwulan IV 2025.</t>
  </si>
  <si>
    <t xml:space="preserve">QA0400</t>
  </si>
  <si>
    <t xml:space="preserve">Laporan-Perekonomian-Provinsi-Jawa-Tengah-Februari-2026_p056.png</t>
  </si>
  <si>
    <t xml:space="preserve">Bagaimana realisasi Pendapatan pada IV 2024 komparasi dengan IV 2025 dan IV 2025?</t>
  </si>
  <si>
    <t xml:space="preserve">Pada IV 2024, Pendapatan adalah 17,650.94 milyar, sedangkan pada IV 2025 adalah 4.973.13 milyar. Pada IV 2025, realisasi meningkat 67.74% dibandingkan IV 2024.</t>
  </si>
  <si>
    <t xml:space="preserve">Factual/Numerical, Calculation, Reasoning, Typo/Grammar</t>
  </si>
  <si>
    <t xml:space="preserve">Tabel 2.3 (Rp miliar): PAD 17.650,94 (IV 2024) -&gt; 14.973,13 (IV 2025), -15,17%; Jumlah Pendapatan 26.738,72 -&gt; 23.761,97, -9,92%.</t>
  </si>
  <si>
    <t xml:space="preserve">17.650,94 is PAD (not total), 2025 misread as 4.973,13 (should be 14.973,13), and revenue fell rather than rising 67,74%. Question repeats 'IV 2025'.</t>
  </si>
  <si>
    <t xml:space="preserve">Bagaimana realisasi pendapatan APBD Provinsi Jawa Tengah pada triwulan IV 2025 dibandingkan triwulan IV 2024?</t>
  </si>
  <si>
    <t xml:space="preserve">Jumlah pendapatan turun dari Rp26.738,72 miliar (IV 2024) menjadi Rp23.761,97 miliar (IV 2025) atau -9,92%; PAD turun dari Rp17.650,94 miliar menjadi Rp14.973,13 miliar (-15,17%).</t>
  </si>
  <si>
    <t xml:space="preserve">QA0401</t>
  </si>
  <si>
    <t xml:space="preserve">Bagaimana berlaku dengan Belanja Operasi pada IV 2024 dan IV 2025?</t>
  </si>
  <si>
    <t xml:space="preserve">Belanja Operasi pada IV 2024 adalah 16.083.87 milyar, sedangkan pada IV 2025 adalah 5.480.09 milyar. Pada IV 2025, realisasi meningkat 69.94% dibandingkan IV 2024.</t>
  </si>
  <si>
    <t xml:space="preserve">Factual/Numerical, Calculation, Reasoning, Instruction-following, Typo/Grammar</t>
  </si>
  <si>
    <t xml:space="preserve">Tabel 2.4: Belanja Operasi Rp16.083,87 M (IV 2024) -&gt; Rp15.480,09 M (IV 2025); nominal growth -3,75%; realisasi 97,17% -&gt; 95,96% of pagu.</t>
  </si>
  <si>
    <t xml:space="preserve">2025 value misread as 5.480,09 and change reported as +69,94% instead of -3,75%. Source is a table, not a chart; question garbled.</t>
  </si>
  <si>
    <t xml:space="preserve">Bagaimana perubahan realisasi Belanja Operasi Jawa Tengah pada triwulan IV 2025 dibandingkan triwulan IV 2024?</t>
  </si>
  <si>
    <t xml:space="preserve">Belanja Operasi turun dari Rp16.083,87 miliar (IV 2024) menjadi Rp15.480,09 miliar (IV 2025), atau -3,75%; rasio realisasi terhadap pagu turun dari 97,17% menjadi 95,96%.</t>
  </si>
  <si>
    <t xml:space="preserve">QA0402</t>
  </si>
  <si>
    <t xml:space="preserve">Bagaimana berlaku dengan Belanja Transfer pada IV 2024 dan IV 2025?</t>
  </si>
  <si>
    <t xml:space="preserve">Belanja Transfer pada IV 2024 adalah 9.359.00 milyar, sedangkan pada IV 2025 adalah 3.025.00 milyar. Pada IV 2025, realisasi mengurangi 69.43% dibandingkan IV 2024.</t>
  </si>
  <si>
    <t xml:space="preserve">Factual/Numerical, Calculation, Instruction-following, Typo/Grammar</t>
  </si>
  <si>
    <t xml:space="preserve">Tabel 2.4: Belanja Transfer Rp9.359,00 M (IV 2024) -&gt; Rp6.588,99 M (IV 2025), -29,60%; 3.025,00 is Belanja Bantuan keuangan IV 2024.</t>
  </si>
  <si>
    <t xml:space="preserve">2025 value taken from the wrong row (Bantuan keuangan 2024) and change -69,43% is wrong (actual -29,60%). Data in table, not text.</t>
  </si>
  <si>
    <t xml:space="preserve">Bagaimana perubahan realisasi Belanja Transfer Jawa Tengah pada triwulan IV 2025 dibandingkan triwulan IV 2024?</t>
  </si>
  <si>
    <t xml:space="preserve">Belanja Transfer turun dari Rp9.359,00 miliar (IV 2024) menjadi Rp6.588,99 miliar (IV 2025), atau -29,60%, meskipun rasio realisasi terhadap pagu naik dari 91,65% menjadi 93,11%.</t>
  </si>
  <si>
    <t xml:space="preserve">QA0403</t>
  </si>
  <si>
    <t xml:space="preserve">Laporan-Perekonomian-Provinsi-Jawa-Tengah-Februari-2026_p063.png</t>
  </si>
  <si>
    <t xml:space="preserve">Bagaimana perkembangan inflasi Jawa Tengah pada triwulan IV 2025 dibandingkan dengan triwulan sebelumnya?</t>
  </si>
  <si>
    <t xml:space="preserve">Inflasi Jawa Tengah pada triwulan IV 2025 sebesar 2,72% (yoy), lebih tinggi dibandingkan triwulan sebelumnya sebesar 2,65% (yoy).</t>
  </si>
  <si>
    <t xml:space="preserve">Text: inflasi Jawa Tengah Tw IV 2025 2,72% (yoy), lebih tinggi dari triwulan sebelumnya 2,65% (yoy). Grafik 3.1 has no value labels.</t>
  </si>
  <si>
    <t xml:space="preserve">Answer is correct, but exact figures come from the text; the chart has no data labels.</t>
  </si>
  <si>
    <t xml:space="preserve">QA0404</t>
  </si>
  <si>
    <t xml:space="preserve">Bagaimana perkembangan inflasi di Kawasan Jawa selama periode ini?</t>
  </si>
  <si>
    <t xml:space="preserve">Perkembangan inflasi di Kawasan Jawa selama periode ini menunjukkan peningkatan harga komoditas seperti cabi rawit, cabi merah, daging ayam ras, dan beras. Selain itu, peningkatan sebesar 2,65% (yoy).</t>
  </si>
  <si>
    <t xml:space="preserve">Grafik 3.2: inflasi seluruh provinsi Jawa turun ke titik terendah awal 2025 lalu naik ke ~2-2,7% (yoy) akhir 2025; text: perkembangan serupa di seluruh provinsi Jawa. 2,65% is Jateng/national Tw III.</t>
  </si>
  <si>
    <t xml:space="preserve">2,65% is Jateng's/national previous-quarter rate, not a Jawa-region figure; commodity drivers belong to Jateng. 'cabi' typos. Trend read from chart.</t>
  </si>
  <si>
    <t xml:space="preserve">Bagaimana perkembangan inflasi tahunan provinsi-provinsi di Kawasan Jawa pada akhir 2025?</t>
  </si>
  <si>
    <t xml:space="preserve">Seluruh provinsi di Kawasan Jawa menunjukkan tren inflasi yang meningkat pada triwulan IV 2025, setelah mencapai titik terendah pada awal 2025, dengan inflasi tahunan berada di kisaran sekitar 2-3% (yoy), sejalan dengan perkembangan inflasi Jawa Tengah.</t>
  </si>
  <si>
    <t xml:space="preserve">QA0405</t>
  </si>
  <si>
    <t xml:space="preserve">Bagaimana perkembangan inflasi di Kawasan Jawa pada bulan November 2025 dibandingkan dengan bulan Oktober 2025?</t>
  </si>
  <si>
    <t xml:space="preserve">Pada bulan November 2025, emas perihasan meningkat 0,66% dibandingkan dengan bulan Oktober 2025 0,59%.</t>
  </si>
  <si>
    <t xml:space="preserve">Temporal, Factual/Numerical, Reasoning, Typo/Grammar</t>
  </si>
  <si>
    <t xml:space="preserve">Tabel 3.1 (Jawa Tengah, andil yoy): Emas Perhiasan 0,59% (Okt 2025), 0,59% (Nov 2025), 0,66% (Des 2025).</t>
  </si>
  <si>
    <t xml:space="preserve">0,66% is December, not November; Oct and Nov andil are equal (0,59%). Table is Jawa Tengah, not Kawasan Jawa; andil, not inflation.</t>
  </si>
  <si>
    <t xml:space="preserve">Bagaimana andil emas perhiasan terhadap inflasi Jawa Tengah pada November 2025 dibandingkan Oktober 2025?</t>
  </si>
  <si>
    <t xml:space="preserve">Andil emas perhiasan tetap sebesar 0,59% (yoy) pada Oktober dan November 2025, kemudian naik menjadi 0,66% pada Desember 2025.</t>
  </si>
  <si>
    <t xml:space="preserve">QA0406</t>
  </si>
  <si>
    <t xml:space="preserve">Laporan-Perekonomian-Provinsi-Jawa-Tengah-Februari-2026_p065.png</t>
  </si>
  <si>
    <t xml:space="preserve">Bagaimana peningkatan harga pada komoditas di Jawa Tengah pada bulan Desember 2025 akan mengganggu pembangunan produk-olahraga?</t>
  </si>
  <si>
    <t xml:space="preserve">Peningkatan harga akan mempengaruhi biaya produksi dan mungkin mengganggu pembangunan produk-olahraga</t>
  </si>
  <si>
    <t xml:space="preserve">Page covers Tw IV 2025 inflation by group (Makanan, Perawatan Pribadi, Transportasi) and cities; nothing about 'pembangunan produk-olahraga'.</t>
  </si>
  <si>
    <t xml:space="preserve">Sports-product development is not on the page; question premise and answer are unsupported speculation.</t>
  </si>
  <si>
    <t xml:space="preserve">QA0407</t>
  </si>
  <si>
    <t xml:space="preserve">Bagaimana berlaku peningkatan harga pada komoditas di Jawa Tengah pada periode 2024-2025?</t>
  </si>
  <si>
    <t xml:space="preserve">Peningkatan harga di komoditas seperti beras, merah, dan bawang merah akan terjadi pada periode 2024-2025</t>
  </si>
  <si>
    <t xml:space="preserve">Temporal, Incomplete, Typo/Grammar, Instruction-following</t>
  </si>
  <si>
    <t xml:space="preserve">Text: Tw IV 2025 naik harga cabai rawit, cabai merah, daging ayam ras, beras, emas perhiasan, bensin; Semarang: beras, cabai merah/rawit, bawang merah, SKM, daging ayam ras.</t>
  </si>
  <si>
    <t xml:space="preserve">Commodity price increases are described for Tw IV 2025 (past), not 'akan terjadi' in 2024-2025; list is garbled ('merah') and incomplete. Evidence is text; charts show group andil, not commodities.</t>
  </si>
  <si>
    <t xml:space="preserve">Komoditas apa saja yang mengalami kenaikan harga di Jawa Tengah pada triwulan IV 2025?</t>
  </si>
  <si>
    <t xml:space="preserve">Pada triwulan IV 2025 terjadi kenaikan harga cabai rawit dan cabai merah (akibat cuaca ekstrem), daging ayam ras (permintaan program MBG), beras (masa tanam), emas perhiasan, serta bensin (Pertamax, Pertamax Turbo, Pertamax Green, Dexlite, Pertamina Dex); di Kota Semarang juga bawang merah dan SKM.</t>
  </si>
  <si>
    <t xml:space="preserve">QA0408</t>
  </si>
  <si>
    <t xml:space="preserve">Text: Tw IV 2025 kenaikan harga cabai rawit, cabai merah, daging ayam ras, beras, emas perhiasan, bensin; no numerical calculation from charts involved.</t>
  </si>
  <si>
    <t xml:space="preserve">Same answer as IV-1: wrong period/tense (2024-2025, 'akan'), garbled/incomplete list; labelled Chart-Numerical Calculation but no calculation or chart data used.</t>
  </si>
  <si>
    <t xml:space="preserve">Pada triwulan IV 2025 terjadi kenaikan harga cabai rawit, cabai merah, daging ayam ras, beras, emas perhiasan, dan bensin nonsubsidi (misalnya Pertamax dari Rp12.200 menjadi Rp12.750).</t>
  </si>
  <si>
    <t xml:space="preserve">QA0409</t>
  </si>
  <si>
    <t xml:space="preserve">Laporan-Perekonomian-Provinsi-Jawa-Tengah-Februari-2026_p073.png</t>
  </si>
  <si>
    <t xml:space="preserve">Bagaimana kinerja bank Jawa Tengah pada periode IV 2025 relatif dengan periode III 2025?</t>
  </si>
  <si>
    <t xml:space="preserve">Kinerja bank Jawa Tengah pada periode IV 2025 relatif menjadi lebih baik dibandingkan periode III 2025, dengan kinerja relatif menjadi 88,54%.</t>
  </si>
  <si>
    <t xml:space="preserve">Text 4.1: kinerja perbankan Jateng Tw IV 2025 relatif menurun; LDR 88,34% (Tw IV) vs 88,54% (Tw III); NPL naik dari 3,35% menjadi 4,26%.</t>
  </si>
  <si>
    <t xml:space="preserve">Performance worsened, not improved; 88,54% is the Tw III LDR, while Tw IV LDR is 88,34% and NPL rose to 4,26%.</t>
  </si>
  <si>
    <t xml:space="preserve">Kinerja perbankan Jawa Tengah pada triwulan IV 2025 relatif menurun: LDR turun menjadi 88,34% dari 88,54% pada triwulan III 2025, dan NPL meningkat dari 3,35% menjadi 4,26%.</t>
  </si>
  <si>
    <t xml:space="preserve">QA0410</t>
  </si>
  <si>
    <t xml:space="preserve">Bagaimana pertumbuhan kredit perbankan di Jawa Tengah pada periode IV 2025?</t>
  </si>
  <si>
    <t xml:space="preserve">Pertumbuhan kredit perbankan di Jawa Tengah pada periode IV 2025 mencapai Rp384,01 triliun.</t>
  </si>
  <si>
    <t xml:space="preserve">Text: kredit Jateng Tw IV 2025 Rp384,01 triliun, terkontraksi 0,95% (yoy), lebih dalam dari Tw III 2025 -0,05% (yoy; Rp384,98 T). Grafik 4.2 unlabeled.</t>
  </si>
  <si>
    <t xml:space="preserve">Rp384,01 triliun is the outstanding level, not growth; growth was -0,95% (yoy). Evidence is text; no chart calculation.</t>
  </si>
  <si>
    <t xml:space="preserve">Kredit perbankan Jawa Tengah pada triwulan IV 2025 terkontraksi 0,95% (yoy) dengan nominal Rp384,01 triliun, lebih dalam dari kontraksi 0,05% (yoy) pada triwulan III 2025.</t>
  </si>
  <si>
    <t xml:space="preserve">QA0411</t>
  </si>
  <si>
    <t xml:space="preserve">Bagaimana kinerja pertumbuhan DPK perbankan di Jawa Tengah pada periode IV 2025?</t>
  </si>
  <si>
    <t xml:space="preserve">Kinerja pertumbuhan DPK perbankan di Jawa Tengah pada periode IV 2025 mencapai 70,62%.</t>
  </si>
  <si>
    <t xml:space="preserve">Grafik 4.5: 70,62% = pangsa DPK DKI Jakarta; Jawa Tengah 5,43%. Grafik 4.4 (unlabeled): Jateng DPK growth Tw IV 2025 around 2% yoy, among the lowest.</t>
  </si>
  <si>
    <t xml:space="preserve">70,62% is DKI Jakarta's share of Java DPK, not Central Java DPK growth. Jateng's DPK share is 5,43%; its growth line in Grafik 4.4 is low (about 2%, unlabeled).</t>
  </si>
  <si>
    <t xml:space="preserve">Pertumbuhan DPK Jawa Tengah pada triwulan IV 2025 relatif rendah, di kisaran 2% (yoy) menurut Grafik 4.4, dengan pangsa 5,43% dari DPK perbankan Pulau Jawa (70,62% adalah pangsa DKI Jakarta).</t>
  </si>
  <si>
    <t xml:space="preserve">QA0412</t>
  </si>
  <si>
    <t xml:space="preserve">Laporan-Perekonomian-Provinsi-Jawa-Tengah-Februari-2026_p077.png</t>
  </si>
  <si>
    <t xml:space="preserve">Bagaimana perubahan pembelian DPK di kota-kota utama di Jawa Tengah selama periode IV 2025?</t>
  </si>
  <si>
    <t xml:space="preserve">Pertumbuhan DPK di kota-kota utama di Jawa Tengah selama periode IV 2025 mencapai 31,43% (Kota Semarang), 14,40% (Kota Surakarta), 8,31% (Kabupaten Kudus), 4,54% (Kabupaten Banyumas), dan 4,24% (Kota Tegal).</t>
  </si>
  <si>
    <t xml:space="preserve">Text: DPK growth Tw III-&gt;IV 2025: Surakarta 3,43%-&gt;3,70%; Kudus -4,93%-&gt;5,62%; Semarang -5,40%-&gt;-4,44%; Banyumas 7,22%-&gt;5,68%; Tegal 13,52%-&gt;8,76%. 31,43% etc. are shares.</t>
  </si>
  <si>
    <t xml:space="preserve">Answer lists DPK shares (pangsa, Grafik 4.19) as growth; actual growth rates are in text. 'Pembelian' should be 'penghimpunan'. Growth values not labelled on charts.</t>
  </si>
  <si>
    <t xml:space="preserve">Bagaimana pertumbuhan penghimpunan DPK di kabupaten/kota utama Jawa Tengah pada triwulan IV 2025?</t>
  </si>
  <si>
    <t xml:space="preserve">Kota Surakarta naik dari 3,43% menjadi 3,70% (yoy), Kabupaten Kudus dari -4,93% menjadi 5,62%, Kota Semarang membaik dari -5,40% menjadi -4,44%, sedangkan Kabupaten Banyumas melambat dari 7,22% menjadi 5,68% dan Kota Tegal dari 13,52% menjadi 8,76% (yoy).</t>
  </si>
  <si>
    <t xml:space="preserve">QA0413</t>
  </si>
  <si>
    <t xml:space="preserve">Bagaimana kontribusi kabupaten dan kota terhadap pembelian DPK di Jawa Tengah?</t>
  </si>
  <si>
    <t xml:space="preserve">Kota Semarang mempunyai kontribusi terbesar dengan 31,43%, kemudian Kota Surakarta dengan 14,40%, Kabupaten Kudus dengan 8,31%, Kabupaten Banyumas dengan 4,54%, dan Kota Tegal dengan 4,24%.</t>
  </si>
  <si>
    <t xml:space="preserve">Grafik 4.19/text: pangsa DPK Tw IV 2025 Kota Semarang 31,43%, Surakarta 14,40%, Kudus 8,31%, Banyumas 4,54%, Kota Tegal 4,24% (chart legend: Kota Magelang), lainnya 37,08%.</t>
  </si>
  <si>
    <t xml:space="preserve">Shares are correct, but the question says 'pembelian DPK' (purchase) instead of 'penghimpunan DPK'.</t>
  </si>
  <si>
    <t xml:space="preserve">Bagaimana pangsa kabupaten/kota terhadap penghimpunan DPK di Jawa Tengah pada triwulan IV 2025?</t>
  </si>
  <si>
    <t xml:space="preserve">Kota Semarang memiliki pangsa terbesar 31,43%, diikuti Kota Surakarta 14,40%, Kabupaten Kudus 8,31%, Kabupaten Banyumas 4,54%, dan Kota Tegal 4,24%.</t>
  </si>
  <si>
    <t xml:space="preserve">QA0414</t>
  </si>
  <si>
    <t xml:space="preserve">Bagaimana perubahan pembelian DPK di kota-kota utama di Jawa Tengah dibandingkan dengan periode III 2025?</t>
  </si>
  <si>
    <t xml:space="preserve">Pertumbuhan DPK di kota-kota utama di Jawa Tengah selama periode IV 2025 lebih tinggi dibandingkan periode III 2025, dengan kemampuan kota-kota utama mencapai 74,75% dibandingkan 75,29%.</t>
  </si>
  <si>
    <t xml:space="preserve">Text: DPK growth Tw IV 2025 cenderung meningkat vs Tw III, esp. Surakarta, Kudus, Semarang; Banyumas and Tegal melambat. 74,75%/75,29% = impor bahan baku share of production cost.</t>
  </si>
  <si>
    <t xml:space="preserve">74,75% and 75,29% are raw-material import proportions (section 4.3), unrelated to DPK; also omits that Banyumas and Tegal slowed.</t>
  </si>
  <si>
    <t xml:space="preserve">Bagaimana pertumbuhan DPK di kota-kota utama Jawa Tengah pada triwulan IV 2025 dibandingkan triwulan III 2025?</t>
  </si>
  <si>
    <t xml:space="preserve">Cenderung meningkat, terutama Kota Surakarta (3,43% menjadi 3,70%), Kabupaten Kudus (-4,93% menjadi 5,62%) dan Kota Semarang (-5,40% menjadi -4,44%), sementara Kabupaten Banyumas (7,22% menjadi 5,68%) dan Kota Tegal (13,52% menjadi 8,76%) melambat.</t>
  </si>
  <si>
    <t xml:space="preserve">QA0415</t>
  </si>
  <si>
    <t xml:space="preserve">Laporan-Perekonomian-Provinsi-Jawa-Tengah-Februari-2026_p081.png</t>
  </si>
  <si>
    <t xml:space="preserve">Bagaimana kualitas penyaluran kredit UMKM di Jawa Tengah pada tahun 2025?</t>
  </si>
  <si>
    <t xml:space="preserve">Kualitas penyaluran kredit UMKM di Jawa Tengah akan tetap berada pada threshold aman, dengan rasio NPL kredit UMKM di Jawa Tengah pada tahun IV 2025 tercatat stabil dan masih dalam batas aman yaitu 4.21% (diawah 5%).</t>
  </si>
  <si>
    <t xml:space="preserve">Text: kualitas penyaluran kredit UMKM masih pada threshold aman; rasio NPL kredit UMKM Tw IV 2025 tercatat stabil 4,21% (di bawah 5%).</t>
  </si>
  <si>
    <t xml:space="preserve">Core fact right (4,21%, below 5%), but 'akan' wrongly implies a forecast, 'tahun IV 2025' should be triwulan IV 2025, typos ('diawah', decimal point).</t>
  </si>
  <si>
    <t xml:space="preserve">Bagaimana kualitas penyaluran kredit UMKM di Jawa Tengah pada triwulan IV 2025?</t>
  </si>
  <si>
    <t xml:space="preserve">Kualitas penyaluran kredit UMKM di Jawa Tengah masih berada pada threshold aman, dengan rasio NPL kredit UMKM pada triwulan IV 2025 tercatat stabil sebesar 4,21% (di bawah 5%).</t>
  </si>
  <si>
    <t xml:space="preserve">QA0416</t>
  </si>
  <si>
    <t xml:space="preserve">Bagaimana berubah suku bunga kredit perbankan untuk sektor UMKM di Jawa Tengah pada tahun IV 2025?</t>
  </si>
  <si>
    <t xml:space="preserve">Suku bunga kredit untuk sektor UMKM di Jawa Tengah pada tahun IV 2025 sebesar 10.70%, lebih rendah dibandingkan tahun sebelumnya sebesar 10.85%.</t>
  </si>
  <si>
    <t xml:space="preserve">Text: suku bunga kredit UMKM Tw IV 2025 10,70%, lebih rendah dari triwulan sebelumnya 10,85%. (Grafik 4.35 labels UMKM 9,49 -&gt; 9,39; Non UMKM 10,857 -&gt; 10,707.)</t>
  </si>
  <si>
    <t xml:space="preserve">Values match the text but the comparison is with the previous quarter, not previous year; figures come from text (the chart shows different UMKM values), no calculation.</t>
  </si>
  <si>
    <t xml:space="preserve">Bagaimana perubahan suku bunga kredit perbankan untuk sektor UMKM di Jawa Tengah pada triwulan IV 2025?</t>
  </si>
  <si>
    <t xml:space="preserve">Suku bunga kredit UMKM di Jawa Tengah pada triwulan IV 2025 sebesar 10,70%, lebih rendah dibandingkan triwulan sebelumnya sebesar 10,85%.</t>
  </si>
  <si>
    <t xml:space="preserve">QA0417</t>
  </si>
  <si>
    <t xml:space="preserve">Bagaimana berubah kualitas penyaluran kredit UMKM di Jawa Tengah pada tahun IV 2025?</t>
  </si>
  <si>
    <t xml:space="preserve">Kualitas penyaluran kredit UMKM di Jawa Tengah pada tahun IV 2025 akan tetap berada pada threshold aman, dengan rasio NPL kredit UMKM di Jawa Tengah pada tahun IV 2025 tercatat stabil dan masih dalam batas aman yaitu 4.21% (diawah 5%).</t>
  </si>
  <si>
    <t xml:space="preserve">Instruction-following, Typo/Grammar, Temporal</t>
  </si>
  <si>
    <t xml:space="preserve">Text: rasio NPL kredit UMKM Tw IV 2025 tercatat stabil, 4,21% (di bawah 5%). No NPL chart on page.</t>
  </si>
  <si>
    <t xml:space="preserve">Answer essentially right (stable, 4,21%), but there is no NPL chart (text source), and wording errors ('tahun IV', 'akan', 'diawah').</t>
  </si>
  <si>
    <t xml:space="preserve">Bagaimana perubahan kualitas penyaluran kredit UMKM di Jawa Tengah pada triwulan IV 2025?</t>
  </si>
  <si>
    <t xml:space="preserve">Kualitas kredit UMKM tetap terjaga: rasio NPL kredit UMKM pada triwulan IV 2025 tercatat stabil sebesar 4,21%, di bawah threshold 5%.</t>
  </si>
  <si>
    <t xml:space="preserve">QA0418</t>
  </si>
  <si>
    <t xml:space="preserve">Laporan-Perekonomian-Provinsi-Jawa-Tengah-Februari-2026_p097.png</t>
  </si>
  <si>
    <t xml:space="preserve">Indeks kondisi ketenagakerjaan pada periode IV 2025 berapa?</t>
  </si>
  <si>
    <t xml:space="preserve">95,78</t>
  </si>
  <si>
    <t xml:space="preserve">Text: indeks ketersediaan lapangan kerja Tw IV 2025 berada pada level 95,78 (naik 14,01% dari 81,77); indeks penghasilan 109,46.</t>
  </si>
  <si>
    <t xml:space="preserve">95,78 is correct for the job-availability index, but the question's 'indeks kondisi ketenagakerjaan' is ambiguous (penghasilan index is 109,46) and the value is read from text with no calculation.</t>
  </si>
  <si>
    <t xml:space="preserve">Berapa indeks ketersediaan lapangan kerja saat ini pada triwulan IV 2025?</t>
  </si>
  <si>
    <t xml:space="preserve">95,78, meningkat 14,01% dibandingkan triwulan sebelumnya (81,77).</t>
  </si>
  <si>
    <t xml:space="preserve">QA0419</t>
  </si>
  <si>
    <t xml:space="preserve">Bagaimana perubahan nilai NTP pada periode IV 2025 dibandingkan dengan periode III 2025?</t>
  </si>
  <si>
    <t xml:space="preserve">NTP pada periode IV 2025 meningkat 14,01% dibandingkan periode III 2025</t>
  </si>
  <si>
    <t xml:space="preserve">Text/Tabel 6.6: NTP Des 2025 117,57, meningkat 0,62% dari 116,84 (Sep 2025). 14,01% is the job-availability index increase.</t>
  </si>
  <si>
    <t xml:space="preserve">NTP rose 0,62%, not 14,01% (that figure belongs to the job-availability index).</t>
  </si>
  <si>
    <t xml:space="preserve">NTP meningkat 0,62%, dari 116,84 pada September 2025 (triwulan III) menjadi 117,57 pada Desember 2025 (triwulan IV).</t>
  </si>
  <si>
    <t xml:space="preserve">QA0420</t>
  </si>
  <si>
    <t xml:space="preserve">Indeks yang diterima petani pada periode IV 2025 berapa?</t>
  </si>
  <si>
    <t xml:space="preserve">117,57</t>
  </si>
  <si>
    <t xml:space="preserve">Tabel 6.6 Des 2025: Indeks Yang Diterima Petani (It) 150,96; NTP 117,57.</t>
  </si>
  <si>
    <t xml:space="preserve">117,57 is NTP, not the index received by farmers (150,96). Value comes from a table, not a chart (pure lookup, table label kept).</t>
  </si>
  <si>
    <t xml:space="preserve">150,96 (Desember 2025).</t>
  </si>
  <si>
    <t xml:space="preserve">QA0421</t>
  </si>
  <si>
    <t xml:space="preserve">Laporan_Analisis_Uang_Beredar_Posisi_Desember_2024</t>
  </si>
  <si>
    <t xml:space="preserve">Laporan_Analisis_Uang_Beredar_Posisi_Desember_2024_p001.png</t>
  </si>
  <si>
    <t xml:space="preserve">Bagaimana posisi M2 pada Desember 2024?</t>
  </si>
  <si>
    <t xml:space="preserve">M2 pada Desember 2024 mencapai sebesar Rp9,210,8 triliun, atau tumbuh sebesar 4,4% (yoy).</t>
  </si>
  <si>
    <t xml:space="preserve">Text &amp; Tabel 1: posisi M2 Desember 2024 Rp9.210,8 triliun, tumbuh 4,4% (yoy), setelah 6,5% (yoy) pada November.</t>
  </si>
  <si>
    <t xml:space="preserve">The values are correct, but the number is written with mixed separators ('Rp9,210,8'), which is ambiguous.</t>
  </si>
  <si>
    <t xml:space="preserve">Posisi M2 pada Desember 2024 tercatat sebesar Rp9.210,8 triliun, atau tumbuh sebesar 4,4% (yoy), setelah pada bulan sebelumnya tumbuh 6,5% (yoy).</t>
  </si>
  <si>
    <t xml:space="preserve">QA0422</t>
  </si>
  <si>
    <t xml:space="preserve">Bagaimana perkembangan M2 pada Desember 2024 dibandingkan dengan M1?</t>
  </si>
  <si>
    <t xml:space="preserve">M2 pada Desember 2024 mencapai sebesar Rp5,223,9 triliun, atau tumbuh sebesar 9,1% (yoy), sedangkan M1 mencapai sebesar Rp5,223,9 triliun, atau tumbuh sebesar 5,8% (yoy).</t>
  </si>
  <si>
    <t xml:space="preserve">Text/Tabel 1 (Des 2024): M2 Rp9.210,8 triliun, tumbuh 4,4% (yoy); M1 Rp5.223,9 triliun, tumbuh 5,8% (yoy), pangsa 56,7% dari M2. 9,1% is M1 growth in Nov 2024.</t>
  </si>
  <si>
    <t xml:space="preserve">The M2 figures are wrong: it gives M1's level (5.223,9) and M1's November growth (9,1%). M1 is correct. Grafik 1 does not show M1; the values are in the text/table.</t>
  </si>
  <si>
    <t xml:space="preserve">Pada Desember 2024, M2 tercatat Rp9.210,8 triliun atau tumbuh 4,4% (yoy), sedangkan M1 tercatat Rp5.223,9 triliun (pangsa 56,7% dari M2) atau tumbuh 5,8% (yoy), sehingga pertumbuhan M1 lebih tinggi dari M2.</t>
  </si>
  <si>
    <t xml:space="preserve">QA0423</t>
  </si>
  <si>
    <t xml:space="preserve">Bagaimana perkembangan kredit pada Desember 2024?</t>
  </si>
  <si>
    <t xml:space="preserve">Kredit pada Desember 2024 mencapai sebesar 9,110,8 triliun, atau tumbuh sebesar 10,1% (yoy).</t>
  </si>
  <si>
    <t xml:space="preserve">Text: penyaluran kredit Desember 2024 tumbuh 9,1% (yoy), setelah 10,1% (yoy) pada November. The page gives no credit level in Rp.</t>
  </si>
  <si>
    <t xml:space="preserve">10,1% is the November growth; December is 9,1%. The level '9,110,8 triliun' does not appear on the page. The source is text, not a chart calculation.</t>
  </si>
  <si>
    <t xml:space="preserve">Penyaluran kredit pada Desember 2024 tumbuh sebesar 9,1% (yoy), melambat dibandingkan bulan sebelumnya yang tumbuh sebesar 10,1% (yoy).</t>
  </si>
  <si>
    <t xml:space="preserve">QA0424</t>
  </si>
  <si>
    <t xml:space="preserve">M2-Februari-2026-_007</t>
  </si>
  <si>
    <t xml:space="preserve">M2-Februari-2026-_007_p001.png</t>
  </si>
  <si>
    <t xml:space="preserve">Bagaimana posisi M2 pada bulan Februari 2026 dibandingkan dengan bulan Januari 2026?</t>
  </si>
  <si>
    <t xml:space="preserve">Posisi M2 pada bulan Februari 2026 lebih tinggi dari bulan Januari 2026, dengan pertumbuhan sebesar 8,7% (yoy).</t>
  </si>
  <si>
    <t xml:space="preserve">Reasoning, Instruction-following</t>
  </si>
  <si>
    <t xml:space="preserve">Tabel 1 M2: Jan 2026 Rp10.116,2 T, Feb 2026 Rp10.089,9 T; growth 10,0% (Jan) vs 8,7% yoy (Feb).</t>
  </si>
  <si>
    <t xml:space="preserve">Feb 2026 M2 position is lower than January (10.089,9 vs 10.116,2 T) and growth slowed from 10,0% to 8,7%; answer says higher. January position is only in the table.</t>
  </si>
  <si>
    <t xml:space="preserve">Posisi M2 pada Februari 2026 sebesar Rp10.089,9 triliun, lebih rendah dari Januari 2026 (Rp10.116,2 triliun); pertumbuhannya melambat menjadi 8,7% (yoy) dari 10,0% (yoy).</t>
  </si>
  <si>
    <t xml:space="preserve">QA0425</t>
  </si>
  <si>
    <t xml:space="preserve">Bagaimana pertumbuhan M2 pada bulan Februari 2026 dibandingkan dengan M1?</t>
  </si>
  <si>
    <t xml:space="preserve">Pertumbuhan M2 pada bulan Februari 2026 lebih tinggi dari M1, dengan pertumbuhan sebesar 8,7% (yoy) dibandingkan 14,4% (yoy) M1.</t>
  </si>
  <si>
    <t xml:space="preserve">Text/Tabel 1: Feb 2026 M2 tumbuh 8,7% (yoy), M1 tumbuh 14,4% (yoy).</t>
  </si>
  <si>
    <t xml:space="preserve">Numbers right but conclusion wrong: 8,7% is lower than 14,4%, so M2 growth is lower than M1. Comparison, not a calculation.</t>
  </si>
  <si>
    <t xml:space="preserve">Pertumbuhan M2 pada Februari 2026 sebesar 8,7% (yoy), lebih rendah dibandingkan pertumbuhan M1 sebesar 14,4% (yoy).</t>
  </si>
  <si>
    <t xml:space="preserve">QA0426</t>
  </si>
  <si>
    <t xml:space="preserve">Bagaimana posisi Uang Beredar Laku pada bulan Februari 2026 dibandingkan dengan bulan Januari 2026?</t>
  </si>
  <si>
    <t xml:space="preserve">Posisi Uang Beredar Laku pada bulan Februari 2026 lebih tinggi dari bulan Januari 2026, dengan pertumbuhan sebesar 8,7% (yoy).</t>
  </si>
  <si>
    <t xml:space="preserve">Tabel 1 Uang Beredar Luas (M2): Jan 2026 10.116,2, Feb 2026 10.089,9 triliun Rp; yoy 10,0 vs 8,7. No chart on page.</t>
  </si>
  <si>
    <t xml:space="preserve">'Laku' is a garble of 'Luas'; Feb position is lower than Jan, not higher, and growth slowed. No chart shown.</t>
  </si>
  <si>
    <t xml:space="preserve">Bagaimana posisi Uang Beredar Luas (M2) pada Februari 2026 dibandingkan dengan Januari 2026?</t>
  </si>
  <si>
    <t xml:space="preserve">Posisi Uang Beredar Luas pada Februari 2026 sebesar Rp10.089,9 triliun, lebih rendah dari Januari 2026 (Rp10.116,2 triliun), dengan pertumbuhan melambat dari 10,0% menjadi 8,7% (yoy).</t>
  </si>
  <si>
    <t xml:space="preserve">QA0427</t>
  </si>
  <si>
    <t xml:space="preserve">M2-Februari-2026-</t>
  </si>
  <si>
    <t xml:space="preserve">M2-Februari-2026-_p001.png</t>
  </si>
  <si>
    <t xml:space="preserve">Posisi M2 pada Februari 2026 lebih tinggi dibandingkan dengan bulan Januari 2026, dengan sebesar 8,7% (yoy).</t>
  </si>
  <si>
    <t xml:space="preserve">Reasoning, Incomplete</t>
  </si>
  <si>
    <t xml:space="preserve">Text/Tabel 1: M2 Feb 2026 Rp10.089,9 triliun, tumbuh 8,7% (yoy), setelah Jan 2026 tumbuh 10,0% (yoy); Jan position 10.116,2.</t>
  </si>
  <si>
    <t xml:space="preserve">M2 was not higher: position slightly lower than January (10.116,2) and growth slowed from 10,0% to 8,7% yoy.</t>
  </si>
  <si>
    <t xml:space="preserve">Posisi M2 Februari 2026 sebesar Rp10.089,9 triliun, sedikit lebih rendah dari Januari 2026 (Rp10.116,2 triliun); pertumbuhannya melambat menjadi 8,7% (yoy) dari 10,0% (yoy).</t>
  </si>
  <si>
    <t xml:space="preserve">QA0428</t>
  </si>
  <si>
    <t xml:space="preserve">Bagaimana perkembangan M1 dan M2 pada bulan Februari 2026?</t>
  </si>
  <si>
    <t xml:space="preserve">M1 pada bulan Februari 2026 adalah Rp 5,887,0 triliun, sedangkan M2 adalah Rp 10,089,9 triliun.</t>
  </si>
  <si>
    <t xml:space="preserve">Instruction-following, Format, Incomplete</t>
  </si>
  <si>
    <t xml:space="preserve">Text &amp; Tabel 1: M1 Feb 2026 Rp5.887,0 triliun tumbuh 14,4% (yoy); M2 Rp10.089,9 triliun tumbuh 8,7% (yoy).</t>
  </si>
  <si>
    <t xml:space="preserve">Levels correct but odd number format ('5,887,0'), growth ('perkembangan') omitted, and it is a lookup, not a table calculation.</t>
  </si>
  <si>
    <t xml:space="preserve">Pada Februari 2026 M1 tercatat Rp5.887,0 triliun (tumbuh 14,4% yoy) dan M2 Rp10.089,9 triliun (tumbuh 8,7% yoy).</t>
  </si>
  <si>
    <t xml:space="preserve">QA0429</t>
  </si>
  <si>
    <t xml:space="preserve">Bagaimana kemajuan kredit pada bulan Februari 2026 dibandingkan dengan bulan Januari 2026?</t>
  </si>
  <si>
    <t xml:space="preserve">Kredit pada bulan Februari 2026 lebih banyak dibandingkan dengan bulan Januari 2026, dengan sebesar 14,7% (yoy).</t>
  </si>
  <si>
    <t xml:space="preserve">Text: penyaluran kredit Februari 2026 tumbuh 8,9% (yoy), melanjutkan pertumbuhan Januari 2026 sebesar 10,2% (yoy). 14,7% is M0 growth in January. No chart on page.</t>
  </si>
  <si>
    <t xml:space="preserve">14,7% is unrelated (M0 Jan); credit growth slowed from 10,2% to 8,9% yoy. Evidence is text, not chart.</t>
  </si>
  <si>
    <t xml:space="preserve">Bagaimana perkembangan penyaluran kredit pada Februari 2026 dibandingkan Januari 2026?</t>
  </si>
  <si>
    <t xml:space="preserve">Kredit tumbuh 8,9% (yoy) pada Februari 2026, melambat dibandingkan Januari 2026 sebesar 10,2% (yoy).</t>
  </si>
  <si>
    <t xml:space="preserve">QA0430</t>
  </si>
  <si>
    <t xml:space="preserve">M2-Februari-2026-_p003.png</t>
  </si>
  <si>
    <t xml:space="preserve">Bagaimana perkembangan DP Ketiga pada bulan Februari 2026?</t>
  </si>
  <si>
    <t xml:space="preserve">Perkembangan DP Ketiga pada bulan Februari 2026 mencapai 9,449,1 triliun Rupiah, dengan pertumbuhan 9,2% (yoy).</t>
  </si>
  <si>
    <t xml:space="preserve">Text: penghimpunan DPK Februari 2026 tercatat Rp9.449,1 triliun, tumbuh 9,2% (yoy).</t>
  </si>
  <si>
    <t xml:space="preserve">Value, unit, growth and period match the text; 'DP Ketiga' is awkward but understandable.</t>
  </si>
  <si>
    <t xml:space="preserve">QA0431</t>
  </si>
  <si>
    <t xml:space="preserve">Bagaimana pertumbuhan DP Ketiga pada bulan Januari 2026 dibandingkan dengan bulan Februari 2026?</t>
  </si>
  <si>
    <t xml:space="preserve">Pertumbuhan DP Ketiga pada bulan Januari 2026 adalah 8,112,6 triliun Rupiah, dan pada bulan Februari 2026 adalah 8,082,0 triliun Rupiah.</t>
  </si>
  <si>
    <t xml:space="preserve">Text/Tabel 3: DPK growth 10,8% (yoy) Jan 2026 -&gt; 9,2% (yoy) Feb 2026; total 9.487,2 -&gt; 9.449,1 T. 8.112,6/8.082,0 are Rupiah DPK levels.</t>
  </si>
  <si>
    <t xml:space="preserve">Answer gives Rupiah-deposit levels, not growth; growth was 10,8% yoy (Jan) vs 9,2% yoy (Feb). Evidence is text/table, not chart.</t>
  </si>
  <si>
    <t xml:space="preserve">Pertumbuhan DPK melambat dari 10,8% (yoy) pada Januari 2026 menjadi 9,2% (yoy) pada Februari 2026.</t>
  </si>
  <si>
    <t xml:space="preserve">QA0432</t>
  </si>
  <si>
    <t xml:space="preserve">Pertumbuhan DP Ketiga pada bulan Januari 2026 lebih tinggi dibandingkan bulan Februari 2026.</t>
  </si>
  <si>
    <t xml:space="preserve">Text/Tabel 3: DPK tumbuh 9,2% (yoy) Feb 2026, melanjutkan pertumbuhan bulan sebelumnya 10,8% (yoy). Grafik 3 too coarse to read Jan vs Feb 2026.</t>
  </si>
  <si>
    <t xml:space="preserve">Direction correct, but values are omitted and evidence is text/table rather than a chart.</t>
  </si>
  <si>
    <t xml:space="preserve">Pertumbuhan DPK pada Januari 2026 (10,8% yoy) lebih tinggi dibandingkan Februari 2026 (9,2% yoy).</t>
  </si>
  <si>
    <t xml:space="preserve">QA0433</t>
  </si>
  <si>
    <t xml:space="preserve">M2-Januari-2026_008</t>
  </si>
  <si>
    <t xml:space="preserve">M2-Januari-2026_008_p001.png</t>
  </si>
  <si>
    <t xml:space="preserve">Bagaimana berangkat keberatan M2 pada bulan Januari 2026?</t>
  </si>
  <si>
    <t xml:space="preserve">M2 pada Januari 2026 bertambah sebesar 10,0% (yoy).</t>
  </si>
  <si>
    <t xml:space="preserve">Text &amp; Tabel 1: M2 Januari 2026 tumbuh 10,0% (yoy), mencapai Rp10.117,8 triliun (Des 2025: 9,6%).</t>
  </si>
  <si>
    <t xml:space="preserve">Value correct, but the question is garbled ('berangkat keberatan' instead of 'perkembangan/pertumbuhan').</t>
  </si>
  <si>
    <t xml:space="preserve">Bagaimana pertumbuhan M2 pada bulan Januari 2026?</t>
  </si>
  <si>
    <t xml:space="preserve">M2 pada Januari 2026 tumbuh 10,0% (yoy), lebih tinggi dari 9,6% (yoy) pada Desember 2025, sehingga mencapai Rp10.117,8 triliun.</t>
  </si>
  <si>
    <t xml:space="preserve">QA0434</t>
  </si>
  <si>
    <t xml:space="preserve">Bagaimana berangkat keberatan M1 pada bulan Januari 2026?</t>
  </si>
  <si>
    <t xml:space="preserve">M1 pada Januari 2026 bertambah sebesar 14,9% (yoy).</t>
  </si>
  <si>
    <t xml:space="preserve">Text &amp; Tabel 1: M1 Januari 2026 Rp5.923,3 T, tumbuh 14,9% (yoy) vs 14,0% Des 2025. No chart on the page.</t>
  </si>
  <si>
    <t xml:space="preserve">Value correct, but the page has no chart (evidence in text/table) and the question is garbled.</t>
  </si>
  <si>
    <t xml:space="preserve">Bagaimana pertumbuhan M1 pada bulan Januari 2026?</t>
  </si>
  <si>
    <t xml:space="preserve">M1 pada Januari 2026 tumbuh 14,9% (yoy) menjadi Rp5.923,3 triliun, lebih tinggi dari 14,0% (yoy) pada bulan sebelumnya.</t>
  </si>
  <si>
    <t xml:space="preserve">QA0435</t>
  </si>
  <si>
    <t xml:space="preserve">Bagaimana berangkat keberatan M2 pada bulan Desember 2025?</t>
  </si>
  <si>
    <t xml:space="preserve">M2 pada Desember 2025 bertambah sebesar 9,6% (yoy).</t>
  </si>
  <si>
    <t xml:space="preserve">Text &amp; Tabel 1: M2 Desember 2025 tumbuh 9,6% (yoy), Rp10.134,7 T. No chart.</t>
  </si>
  <si>
    <t xml:space="preserve">Value correct, but it is a direct lookup from text/table (no chart, no calculation); question garbled.</t>
  </si>
  <si>
    <t xml:space="preserve">Berapa pertumbuhan M2 pada bulan Desember 2025?</t>
  </si>
  <si>
    <t xml:space="preserve">M2 pada Desember 2025 tumbuh sebesar 9,6% (yoy).</t>
  </si>
  <si>
    <t xml:space="preserve">QA0436</t>
  </si>
  <si>
    <t xml:space="preserve">M2-Maret-2026_009</t>
  </si>
  <si>
    <t xml:space="preserve">M2-Maret-2026_009_p001.png</t>
  </si>
  <si>
    <t xml:space="preserve">Bagaimana perubahan M2 pada bulan Maret 2026?</t>
  </si>
  <si>
    <t xml:space="preserve">M2 meningkat 9,7% (yoy) pada bulan Maret 2026.</t>
  </si>
  <si>
    <t xml:space="preserve">Text: M2 tumbuh 9,7% (yoy) pada Maret 2026 (Feb 8,7%), mencapai Rp10.355,1 triliun.</t>
  </si>
  <si>
    <t xml:space="preserve">Correct value, period and unit.</t>
  </si>
  <si>
    <t xml:space="preserve">QA0437</t>
  </si>
  <si>
    <t xml:space="preserve">Bagaimana perubahan M1 pada bulan Maret 2026?</t>
  </si>
  <si>
    <t xml:space="preserve">M1 meningkat 8,9% (yoy) pada bulan Maret 2026.</t>
  </si>
  <si>
    <t xml:space="preserve">Text/Tabel 1: M1 Maret 2026 tumbuh 14,4% (yoy), Rp6.033,9 triliun. 8,9% is kredit growth.</t>
  </si>
  <si>
    <t xml:space="preserve">8,9% belongs to credit; M1 grew 14,4% yoy. No chart on page; stated in text.</t>
  </si>
  <si>
    <t xml:space="preserve">M1 tumbuh 14,4% (yoy) pada Maret 2026 dan tercatat Rp6.033,9 triliun.</t>
  </si>
  <si>
    <t xml:space="preserve">QA0438</t>
  </si>
  <si>
    <t xml:space="preserve">Bagaimana perubahan kredit pada bulan Maret 2026?</t>
  </si>
  <si>
    <t xml:space="preserve">Kredit meningkat 16,8% (yoy) pada bulan Maret 2026.</t>
  </si>
  <si>
    <t xml:space="preserve">Text: penyaluran kredit Maret 2026 tumbuh 8,9% (yoy), stabil dibanding Februari 2026. 16,8% is M0 adjusted growth.</t>
  </si>
  <si>
    <t xml:space="preserve">16,8% is M0 adjusted; credit grew 8,9% yoy. No chart on page.</t>
  </si>
  <si>
    <t xml:space="preserve">Penyaluran kredit pada Maret 2026 tumbuh 8,9% (yoy), stabil dibandingkan pertumbuhan pada Februari 2026.</t>
  </si>
  <si>
    <t xml:space="preserve">QA0439</t>
  </si>
  <si>
    <t xml:space="preserve">M2-Maret-2026</t>
  </si>
  <si>
    <t xml:space="preserve">M2-Maret-2026_p001.png</t>
  </si>
  <si>
    <t xml:space="preserve">Bagaimana perubahan M2 pada Maret 2026 dibandingkan dengan M1 pada bulan yang sama?</t>
  </si>
  <si>
    <t xml:space="preserve">M2 meningkat 9,7% (yoy), sementara M1 meningkat 14,4% (yoy).</t>
  </si>
  <si>
    <t xml:space="preserve">Text: M2 tumbuh 9,7% (yoy) pada Maret 2026, didorong M1 yang tumbuh 14,4% (yoy) dan uang kuasi 5,2% (yoy).</t>
  </si>
  <si>
    <t xml:space="preserve">Both growth rates and period match the text.</t>
  </si>
  <si>
    <t xml:space="preserve">QA0440</t>
  </si>
  <si>
    <t xml:space="preserve">Bagaimana berdasarkan dokumen, berapa posisi M2 pada Maret 2026?</t>
  </si>
  <si>
    <t xml:space="preserve">Posisi M2 pada Maret 2026 adalah 10,355,1 triliun.</t>
  </si>
  <si>
    <t xml:space="preserve">Text &amp; Tabel 1: posisi M2 Maret 2026 Rp10.355,1 triliun. No chart on the page.</t>
  </si>
  <si>
    <t xml:space="preserve">Value right but written '10,355,1' without Rp; figure is stated in text (no chart, no calculation).</t>
  </si>
  <si>
    <t xml:space="preserve">Berapa posisi M2 pada Maret 2026?</t>
  </si>
  <si>
    <t xml:space="preserve">Posisi M2 pada Maret 2026 tercatat sebesar Rp10.355,1 triliun.</t>
  </si>
  <si>
    <t xml:space="preserve">QA0441</t>
  </si>
  <si>
    <t xml:space="preserve">Bagaimana berdasarkan dokumen, berapa perubahan M2 pada Maret 2026 dibandingkan dengan bulan sebelumnya?</t>
  </si>
  <si>
    <t xml:space="preserve">M2 meningkat 8,7% (yoy) dibandingkan dengan bulan sebelumnya.</t>
  </si>
  <si>
    <t xml:space="preserve">Text: M2 Maret 2026 tumbuh 9,7% (yoy), lebih tinggi dari Februari 2026 8,7% (yoy); Tabel 1: 10.088,1 (Feb) -&gt; 10.355,1 (Mar) triliun.</t>
  </si>
  <si>
    <t xml:space="preserve">8,7% is February's growth; March growth is 9,7% yoy (up 1 pp), and M2 rose Rp267,0 T month on month. No chart on page.</t>
  </si>
  <si>
    <t xml:space="preserve">Bagaimana perubahan pertumbuhan M2 pada Maret 2026 dibandingkan bulan sebelumnya?</t>
  </si>
  <si>
    <t xml:space="preserve">M2 pada Maret 2026 tumbuh 9,7% (yoy), lebih tinggi dibandingkan Februari 2026 sebesar 8,7% (yoy); posisinya naik dari Rp10.088,1 triliun menjadi Rp10.355,1 triliun.</t>
  </si>
  <si>
    <t xml:space="preserve">QA0442</t>
  </si>
  <si>
    <t xml:space="preserve">M2-Maret-2026_p003.png</t>
  </si>
  <si>
    <t xml:space="preserve">Bagaimana berdasarkan data dari tabel 3, perkembangan DPK pada Maret 2026? </t>
  </si>
  <si>
    <t xml:space="preserve">Tumbuh 10,7% (yoy).</t>
  </si>
  <si>
    <t xml:space="preserve">Tabel 3 Total Jenis Simpanan Mar'26: Rp9.658,5 T, 10,7% (yoy); text: DPK Maret 2026 Rp9.658,5 T tumbuh 10,7% (yoy) vs 9,2% Feb.</t>
  </si>
  <si>
    <t xml:space="preserve">10,7% (yoy) is correct, but this is a table/text lookup, not a chart calculation; 'Bagaimana berdasarkan' is awkward.</t>
  </si>
  <si>
    <t xml:space="preserve">Berdasarkan Tabel 3, bagaimana perkembangan DPK pada Maret 2026?</t>
  </si>
  <si>
    <t xml:space="preserve">DPK Maret 2026 sebesar Rp9.658,5 triliun, tumbuh 10,7% (yoy), lebih tinggi dari 9,2% (yoy) pada Februari 2026.</t>
  </si>
  <si>
    <t xml:space="preserve">QA0443</t>
  </si>
  <si>
    <t xml:space="preserve">Bagaimana berdasarkan data dari tabel 4, perkembangan kredit pada Maret 2026? </t>
  </si>
  <si>
    <t xml:space="preserve">Kredit yang disalurkan oleh perbankan pada Maret 2026 tumbuh positif. Penyaluran kredit pada Maret 2026 mencapai sebesar Rp. 8,516 trillion. Tumbuh 15,9% (yoy) dan 2,4% (yoy) pada bulan sebelumnya. Tumbuh 8,9% (yoy) pada bulan sebelumnya. Tumbuh 14,0% (yoy) dan 3,0% (yoy) pada bulan sebelumnya. Tumbuh 13,8% (yoy) dan 3,2% (yoy) pada bulan sebelumnya. Tumbuh 3,7% (yoy) pada bulan sebelumnya.</t>
  </si>
  <si>
    <t xml:space="preserve">Factual/Numerical, Format, Instruction-following, Typo/Grammar</t>
  </si>
  <si>
    <t xml:space="preserve">Tabel 4 is DPK by nasabah, not credit. Text: kredit Mar 2026 Rp8.516,0 T, tumbuh stabil vs Feb 8,9% (yoy); korporasi 14,0%, perorangan 3,0% (prev 13,8%, 3,2%).</t>
  </si>
  <si>
    <t xml:space="preserve">Credit is not in Tabel 4 (text only). Answer mixes DPK growth figures (15,9%, 2,4%) into credit, repeats fragments, and uses English 'trillion'. Evidence is text, not chart.</t>
  </si>
  <si>
    <t xml:space="preserve">Bagaimana perkembangan kredit perbankan pada Maret 2026?</t>
  </si>
  <si>
    <t xml:space="preserve">Kredit Maret 2026 tercatat Rp8.516,0 triliun, tumbuh stabil dibandingkan Februari 2026 (8,9% yoy), didorong kredit korporasi 14,0% (yoy) dan perorangan 3,0% (yoy), dari 13,8% dan 3,2% bulan sebelumnya.</t>
  </si>
  <si>
    <t xml:space="preserve">QA0444</t>
  </si>
  <si>
    <t xml:space="preserve">Bagaimana berdasarkan data dari grafik 3, pertumbuhan DPK pada Maret 2026? </t>
  </si>
  <si>
    <t xml:space="preserve">Text: penghimpunan DPK Maret 2026 Rp9.658,5 triliun, tumbuh 10,7% (yoy); Tabel 3/4 Mar'26 10,7. Grafik 3 bars unlabeled.</t>
  </si>
  <si>
    <t xml:space="preserve">10,7% (yoy) is correct and stated in text; the reference to Grafik 3 is loose but the value is verifiable.</t>
  </si>
  <si>
    <t xml:space="preserve">QA0445</t>
  </si>
  <si>
    <t xml:space="preserve">NPI-Tw-III-2025</t>
  </si>
  <si>
    <t xml:space="preserve">NPI-Tw-III-2025_p009.png</t>
  </si>
  <si>
    <t xml:space="preserve">Bagaimana perkembangan neraca pembayaran di Indonesia pada triwulan III 2025?</t>
  </si>
  <si>
    <t xml:space="preserve">Neraca pembayaran di Indonesia mencatat deficit sebesar 6,4 miliar dollar AS pada triwulan III 2025.</t>
  </si>
  <si>
    <t xml:space="preserve">Text: NPI triwulan III 2025 mencatat defisit sebesar 6,4 miliar dolar AS (Grafik 1).</t>
  </si>
  <si>
    <t xml:space="preserve">Value, direction and period correct.</t>
  </si>
  <si>
    <t xml:space="preserve">QA0446</t>
  </si>
  <si>
    <t xml:space="preserve">Bagaimana perkembangan neraca transaksi berjalannya di Indonesia pada triwulan III 2025?</t>
  </si>
  <si>
    <t xml:space="preserve">Neraca TB mencatat surplus sebesar 4,0 miliar dollar AS pada triwulan III 2025, dengan deficit sebesar 2,7 miliar dollar AS pada triwulan II 2025.</t>
  </si>
  <si>
    <t xml:space="preserve">Text: TB Tw III 2025 surplus 4,0 miliar dolar AS (1,1% PDB), berbalik dari defisit 2,7 miliar dolar AS (0,8% PDB) Tw II 2025. Grafik 1 bars unlabelled.</t>
  </si>
  <si>
    <t xml:space="preserve">Values correct, but they come from text; Grafik 1 has no value labels.</t>
  </si>
  <si>
    <t xml:space="preserve">Neraca Transaksi Berjalan mencatat surplus 4,0 miliar dolar AS (1,1% dari PDB) pada triwulan III 2025, berbalik dari defisit 2,7 miliar dolar AS (0,8% dari PDB) pada triwulan II 2025.</t>
  </si>
  <si>
    <t xml:space="preserve">QA0447</t>
  </si>
  <si>
    <t xml:space="preserve">Bagaimana perkembangan neraca transaksi modal dan financial di Indonesia pada triwulan III 2025?</t>
  </si>
  <si>
    <t xml:space="preserve">Neraca TMF mencatat deficit sebesar 8,1 miliar dollar AS pada triwulan III 2025, dengan deficit sebesar 3,5 miliar dollar AS pada triwulan sebelumnya.</t>
  </si>
  <si>
    <t xml:space="preserve">Text: TMF mencatat defisit 8,1 miliar dolar AS pada Tw III 2025, meningkat dari defisit 3,5 miliar dolar AS pada triwulan sebelumnya.</t>
  </si>
  <si>
    <t xml:space="preserve">Values correct, but stated in text; no chart calculation performed.</t>
  </si>
  <si>
    <t xml:space="preserve">Neraca Transaksi Modal dan Finansial mencatat defisit 8,1 miliar dolar AS pada triwulan III 2025, meningkat dari defisit 3,5 miliar dolar AS pada triwulan II 2025.</t>
  </si>
  <si>
    <t xml:space="preserve">QA0448</t>
  </si>
  <si>
    <t xml:space="preserve">NPI-Tw-III-2025_p013.png</t>
  </si>
  <si>
    <t xml:space="preserve">Bagaimana pertumbuhan ekspor nonmigas ke Amerika Serikat pada tahun 2025?</t>
  </si>
  <si>
    <t xml:space="preserve">Tumbuh 12,3%</t>
  </si>
  <si>
    <t xml:space="preserve">Temporal, Instruction-following, Incomplete</t>
  </si>
  <si>
    <t xml:space="preserve">Text/Tabel 3: ekspor nonmigas ke AS melambat, tumbuh 12,3% (yoy) Tw III 2025 vs 26,6% Tw II 2025 (16,8% Tw I). No chart on page.</t>
  </si>
  <si>
    <t xml:space="preserve">12,3% is Tw III 2025 yoy growth, not full-year 2025; answer omits the slowdown from 26,6%. Evidence is text/table, not chart.</t>
  </si>
  <si>
    <t xml:space="preserve">Bagaimana pertumbuhan ekspor nonmigas ke Amerika Serikat pada triwulan III 2025?</t>
  </si>
  <si>
    <t xml:space="preserve">Ekspor nonmigas ke Amerika Serikat melambat, tumbuh 12,3% (yoy) pada triwulan III 2025 dibandingkan 26,6% (yoy) pada triwulan II 2025.</t>
  </si>
  <si>
    <t xml:space="preserve">QA0449</t>
  </si>
  <si>
    <t xml:space="preserve">Kontraksi pertumbuhan ekspor nonmigas ke Jepang pada tahun 2025</t>
  </si>
  <si>
    <t xml:space="preserve">Tumbuh 16,8%</t>
  </si>
  <si>
    <t xml:space="preserve">Reasoning, Temporal, Typo/Grammar</t>
  </si>
  <si>
    <t xml:space="preserve">Text: kontraksi pertumbuhan ekspor nonmigas ke Jepang 16,8% (yoy) pada Tw III 2025, lebih rendah dari kontraksi 18,4% pada Tw II 2025 (Tabel 3: -16,8).</t>
  </si>
  <si>
    <t xml:space="preserve">Direction wrong: exports to Japan contracted 16,8% (yoy), not grew. Figure is Tw III 2025, not full-year; question is a fragment.</t>
  </si>
  <si>
    <t xml:space="preserve">Berapa kontraksi pertumbuhan ekspor nonmigas ke Jepang pada triwulan III 2025?</t>
  </si>
  <si>
    <t xml:space="preserve">Ekspor nonmigas ke Jepang terkontraksi 16,8% (yoy) pada triwulan III 2025, lebih rendah dibandingkan kontraksi 18,4% (yoy) pada triwulan II 2025.</t>
  </si>
  <si>
    <t xml:space="preserve">QA0450</t>
  </si>
  <si>
    <t xml:space="preserve">Pertumbuhan ekspor nonmigas ke Malaysia pada tahun 2025</t>
  </si>
  <si>
    <t xml:space="preserve">Tumbuh 3,6%</t>
  </si>
  <si>
    <t xml:space="preserve">Text/Tabel 3: ekspor nonmigas ke Malaysia tumbuh 3,6% (yoy) Tw III 2025, lebih rendah dari 19,8% Tw II 2025. No chart.</t>
  </si>
  <si>
    <t xml:space="preserve">3,6% is Tw III 2025 yoy growth, not full-year 2025; no chart exists (text/table source); question is a fragment.</t>
  </si>
  <si>
    <t xml:space="preserve">Berapa pertumbuhan ekspor nonmigas ke Malaysia pada triwulan III 2025?</t>
  </si>
  <si>
    <t xml:space="preserve">Ekspor nonmigas ke Malaysia tumbuh 3,6% (yoy) pada triwulan III 2025, lebih rendah dari 19,8% (yoy) pada triwulan II 2025.</t>
  </si>
  <si>
    <t xml:space="preserve">QA0451</t>
  </si>
  <si>
    <t xml:space="preserve">NPI-Tw-III-2025_p017.png</t>
  </si>
  <si>
    <t xml:space="preserve">Bagaimana perkembangan ekspor gas dalam LNG dan NG pada periode laporan III 2025?</t>
  </si>
  <si>
    <t xml:space="preserve">Ekspor gas dalam LNG mencapai 152 juta MMBTU dan NG mencapai 133 juta MMBTU pada periode laporan III 2025.</t>
  </si>
  <si>
    <t xml:space="preserve">Text: volume ekspor LNG turun dari 152 juta MMBTU (Tw II 2025) menjadi 133 juta MMBTU (Tw III 2025); NG naik dari 38 menjadi 39 juta MMBTU.</t>
  </si>
  <si>
    <t xml:space="preserve">152 and 133 are LNG's Tw II and Tw III volumes, not LNG vs NG. NG was 39 juta MMBTU; LNG declined while NG rose slightly.</t>
  </si>
  <si>
    <t xml:space="preserve">Volume ekspor LNG turun dari 152 juta MMBTU pada triwulan II 2025 menjadi 133 juta MMBTU pada triwulan III 2025, sedangkan volume ekspor NG meningkat terbatas dari 38 juta menjadi 39 juta MMBTU.</t>
  </si>
  <si>
    <t xml:space="preserve">QA0452</t>
  </si>
  <si>
    <t xml:space="preserve">Bagaimana perbedaan harga ekspor gas LNG dan NG pada periode laporan III 2025?</t>
  </si>
  <si>
    <t xml:space="preserve">Harga ekspor LNG sebesar 9,2 juta AS/juta MMBTU dan harga ekspor NG sebesar 10,9 juta AS/juta MMBTU.</t>
  </si>
  <si>
    <t xml:space="preserve">Unit, Calculation, Instruction-following</t>
  </si>
  <si>
    <t xml:space="preserve">Text/Tabel 8: harga ekspor LNG Tw III 2025 9,2 dolar AS/juta MMBTU; NG (gas alam) 10,9 dolar AS/juta MMBTU. No chart of gas prices.</t>
  </si>
  <si>
    <t xml:space="preserve">Prices are in dolar AS per juta MMBTU, not 'juta AS'; the requested difference (1,7 dolar AS/juta MMBTU) is not computed. Data from text/table, not chart.</t>
  </si>
  <si>
    <t xml:space="preserve">Harga ekspor LNG sebesar 9,2 dolar AS/juta MMBTU dan NG sebesar 10,9 dolar AS/juta MMBTU, sehingga harga NG lebih tinggi 1,7 dolar AS/juta MMBTU.</t>
  </si>
  <si>
    <t xml:space="preserve">QA0453</t>
  </si>
  <si>
    <t xml:space="preserve">Bagaimana perkembangan neraca perdagangan jasa pada periode laporan III 2025?</t>
  </si>
  <si>
    <t xml:space="preserve">Neraca perdagangan jasa meningkat sebesar 4,3 juta dolar AS, dengan deficit sebesar 2,1 juta dolar AS pada periode laporan III 2025.</t>
  </si>
  <si>
    <t xml:space="preserve">Text: neraca jasa Tw III 2025 defisit 4,3 miliar dolar AS, menurun dari defisit 5,2 miliar (Tw II), didorong surplus jasa perjalanan; 2,1 miliar is transport deficit. Grafik 8 unlabeled.</t>
  </si>
  <si>
    <t xml:space="preserve">4,3 is the services deficit (not an increase) in miliar, not juta; 2,1 miliar is the transport deficit. Figures come from text, not from the unlabeled chart.</t>
  </si>
  <si>
    <t xml:space="preserve">Neraca perdagangan jasa triwulan III 2025 defisit 4,3 miliar dolar AS, menurun dibandingkan defisit 5,2 miliar dolar AS pada triwulan II 2025, terutama karena kenaikan surplus jasa perjalanan; defisit jasa transportasi sekitar 2,1 miliar dolar AS.</t>
  </si>
  <si>
    <t xml:space="preserve">QA0454</t>
  </si>
  <si>
    <t xml:space="preserve">NPI-Tw-III-2025_p029.png</t>
  </si>
  <si>
    <t xml:space="preserve">Bagaimana perubahan nilai Transaksi Berlanjut pada periode IV 2024 dan IV 2025?</t>
  </si>
  <si>
    <t xml:space="preserve">Transaksi Berlanjut mengurangi 2,247 juta AS pada IV 2024 menjadi 2,418 juta AS pada IV 2025.</t>
  </si>
  <si>
    <t xml:space="preserve">Temporal, Factual/Numerical, Unit, Typo/Grammar</t>
  </si>
  <si>
    <t xml:space="preserve">Tabel 1 (juta dolar AS): Transaksi Berjalan Tw I 2024 lama -2.427/baru -2.418; Tw IV 2024 lama -1.208/baru -1.293. No Tw IV 2025 column (2025 has Tw I-II only).</t>
  </si>
  <si>
    <t xml:space="preserve">The Lama/Baru columns are misread as IV 2024/IV 2025, and -2,247 is a misread of -2,427. The unit should be juta dolar AS. 'Berlanjut' and 'mengurangi' are wrong words.</t>
  </si>
  <si>
    <t xml:space="preserve">Bagaimana perubahan nilai Transaksi Berjalan triwulan IV 2024 antara publikasi lama dan publikasi baru?</t>
  </si>
  <si>
    <t xml:space="preserve">Transaksi Berjalan triwulan IV 2024 direvisi dari defisit 1.208 juta dolar AS (publikasi lama) menjadi defisit 1.293 juta dolar AS (publikasi baru), atau defisit melebar 85 juta dolar AS.</t>
  </si>
  <si>
    <t xml:space="preserve">QA0455</t>
  </si>
  <si>
    <t xml:space="preserve">Bagaimana perubahan nilai Transaksi Jasa pada periode IV 2024 dan IV 2025?</t>
  </si>
  <si>
    <t xml:space="preserve">Transaksi Jasa mengurangi 4,212 juta AS pada IV 2024 menjadi 4,213 juta AS pada IV 2025.</t>
  </si>
  <si>
    <t xml:space="preserve">Temporal, Instruction-following, Unit, Typo/Grammar</t>
  </si>
  <si>
    <t xml:space="preserve">Tabel 1: Jasa Tw I 2024 lama -4.212/baru -4.213; Tw IV 2024 lama -5.164/baru -5.169 juta dolar AS. No Tw IV 2025 data.</t>
  </si>
  <si>
    <t xml:space="preserve">-4,212/-4,213 are the Tw I 2024 old/new values, not IV 2024/IV 2025. The source is a table, not text. The unit is incomplete and 'mengurangi' is the wrong word.</t>
  </si>
  <si>
    <t xml:space="preserve">Bagaimana perubahan nilai Transaksi Jasa triwulan IV 2024 antara publikasi lama dan publikasi baru?</t>
  </si>
  <si>
    <t xml:space="preserve">Transaksi Jasa triwulan IV 2024 direvisi dari defisit 5.164 juta dolar AS (publikasi lama) menjadi defisit 5.169 juta dolar AS (publikasi baru), atau defisit melebar 5 juta dolar AS.</t>
  </si>
  <si>
    <t xml:space="preserve">QA0456</t>
  </si>
  <si>
    <t xml:space="preserve">Bagaimana perubahan nilai Transaksi Modal dan Keuangan pada periode IV 2024 dan IV 2025?</t>
  </si>
  <si>
    <t xml:space="preserve">Transaksi Modal dan Keuangan mengurangi 2,388 juta AS pada IV 2024 menjadi 2,385 juta AS pada IV 2025.</t>
  </si>
  <si>
    <t xml:space="preserve">Tabel 1: Transaksi Modal dan Finansial Tw I 2024 lama -2.388/baru -2.385; Tw IV 2024 lama 9.397/baru 9.651 juta dolar AS. No chart and no Tw IV 2025.</t>
  </si>
  <si>
    <t xml:space="preserve">-2,388/-2,385 are the Tw I 2024 old/new values, not IV 2024/IV 2025. There is no chart on the page. The unit is incomplete and the wording is odd.</t>
  </si>
  <si>
    <t xml:space="preserve">Bagaimana perubahan nilai Transaksi Modal dan Finansial triwulan IV 2024 antara publikasi lama dan publikasi baru?</t>
  </si>
  <si>
    <t xml:space="preserve">Transaksi Modal dan Finansial triwulan IV 2024 direvisi dari surplus 9.397 juta dolar AS (publikasi lama) menjadi surplus 9.651 juta dolar AS (publikasi baru), atau naik 254 juta dolar AS.</t>
  </si>
  <si>
    <t xml:space="preserve">QA0457</t>
  </si>
  <si>
    <t xml:space="preserve">NPI_Tw-IV_2025</t>
  </si>
  <si>
    <t xml:space="preserve">NPI_Tw-IV_2025_p014.png</t>
  </si>
  <si>
    <t xml:space="preserve">Bagaimana kinerja ekspor nonmigas ke Amerika Serikat pada periode IV 2025?</t>
  </si>
  <si>
    <t xml:space="preserve">Kinerja ekspor nonmigas ke Amerika Serikat meningkat sebesar 10,8% (yoy) pada periode IV 2025, melambat dari periode III 2025 sebesar 12,3% (yoy).</t>
  </si>
  <si>
    <t xml:space="preserve">Text &amp; Tabel 3: ekspor nonmigas ke AS Tw IV 2025 tumbuh 10,8% (yoy), melambat dari Tw III 2025 12,3% (yoy).</t>
  </si>
  <si>
    <t xml:space="preserve">Answer correct, but page has no chart; values are in text/table.</t>
  </si>
  <si>
    <t xml:space="preserve">QA0458</t>
  </si>
  <si>
    <t xml:space="preserve">Bagaimana kinerja ekspor nonmigas ke Korea Selatan pada periode IV 2025?</t>
  </si>
  <si>
    <t xml:space="preserve">Kinerja ekspor nonmigas ke Korea Selatan meningkat sebesar 3,7% (yoy) pada periode IV 2025, lebih rendah dibandingkan periode III 2025 yang meningkat 10,9% (yoy).</t>
  </si>
  <si>
    <t xml:space="preserve">Tabel 3 Korea Selatan: Tw III 2025 -6,2%, Tw IV 2025 7,6% (yoy); text: ekspor ke Korea Selatan mencatat perbaikan. 3,7%/10,9% are Tiongkok.</t>
  </si>
  <si>
    <t xml:space="preserve">Values belong to Tiongkok; Korea improved from -6,2% to 7,6% yoy. Figures come from Tabel 3.</t>
  </si>
  <si>
    <t xml:space="preserve">Ekspor nonmigas ke Korea Selatan tumbuh 7,6% (yoy) pada triwulan IV 2025, membaik dibandingkan triwulan III 2025 yang terkontraksi 6,2% (yoy).</t>
  </si>
  <si>
    <t xml:space="preserve">QA0459</t>
  </si>
  <si>
    <t xml:space="preserve">Bagaimana kinerja ekspor nonmigas ke India pada periode IV 2025?</t>
  </si>
  <si>
    <t xml:space="preserve">Kinerja ekspor nonmigas ke India meningkat sebesar 16,0% (yoy) pada periode IV 2025, lebih tinggi dibandingkan periode III 2025 yang meningkat 10,3% (yoy).</t>
  </si>
  <si>
    <t xml:space="preserve">Text: ekspor nonmigas ke India Tw IV 2025 menurun dan terkontraksi 16,0% (yoy), setelah Tw III tumbuh 10,3% (yoy). Tabel 3: -16,0.</t>
  </si>
  <si>
    <t xml:space="preserve">Direction wrong: exports to India contracted 16,0%, lower than Tw III's 10,3% growth. Text-based, no chart.</t>
  </si>
  <si>
    <t xml:space="preserve">Kinerja ekspor nonmigas ke India menurun dan terkontraksi 16,0% (yoy) pada triwulan IV 2025, setelah tumbuh positif 10,3% (yoy) pada triwulan III 2025.</t>
  </si>
  <si>
    <t xml:space="preserve">QA0460</t>
  </si>
  <si>
    <t xml:space="preserve">NPI_Tw-IV_2025_p015.png</t>
  </si>
  <si>
    <t xml:space="preserve">Kinerja ekspor ke Thailand pada tahun 2025 berapa?</t>
  </si>
  <si>
    <t xml:space="preserve">17,5%</t>
  </si>
  <si>
    <t xml:space="preserve">Temporal, Unit, Format</t>
  </si>
  <si>
    <t xml:space="preserve">Text: kinerja ekspor ke Thailand membaik dengan tumbuh 17,5% (yoy) pada triwulan IV 2025, dari 10,9% (yoy) pada triwulan III 2025.</t>
  </si>
  <si>
    <t xml:space="preserve">Value correct but it is Tw IV 2025 growth (not full-year 2025) and the bare answer lacks (yoy).</t>
  </si>
  <si>
    <t xml:space="preserve">Berapa pertumbuhan kinerja ekspor ke Thailand pada triwulan IV 2025?</t>
  </si>
  <si>
    <t xml:space="preserve">Tumbuh 17,5% (yoy) pada triwulan IV 2025, meningkat dari 10,9% (yoy) pada triwulan III 2025.</t>
  </si>
  <si>
    <t xml:space="preserve">QA0461</t>
  </si>
  <si>
    <t xml:space="preserve">Perbaikan kontraksi ekspor nonmigas ke Vietnam pada tahun 2025 berapa?</t>
  </si>
  <si>
    <t xml:space="preserve">2,4%</t>
  </si>
  <si>
    <t xml:space="preserve">Reasoning, Instruction-following, Temporal, Unit</t>
  </si>
  <si>
    <t xml:space="preserve">Text: ekspor ke Vietnam Tw IV 2025 tumbuh 2,4% (yoy), tidak setinggi Tw III sebesar 4,9% (yoy).</t>
  </si>
  <si>
    <t xml:space="preserve">2,4% is right, but Vietnam did not improve from a contraction (growth slowed); period is Tw IV; source is text, not chart calculation.</t>
  </si>
  <si>
    <t xml:space="preserve">Berapa pertumbuhan ekspor nonmigas ke Vietnam pada triwulan IV 2025?</t>
  </si>
  <si>
    <t xml:space="preserve">Tumbuh 2,4% (yoy) pada triwulan IV 2025, melambat dari 4,9% (yoy) pada triwulan sebelumnya.</t>
  </si>
  <si>
    <t xml:space="preserve">QA0462</t>
  </si>
  <si>
    <t xml:space="preserve">Kinerja ekspor nonmigas ke Korea Salatan pada tahun 2025 berapa?</t>
  </si>
  <si>
    <t xml:space="preserve">7,6%</t>
  </si>
  <si>
    <t xml:space="preserve">Instruction-following, Temporal, Unit, Typo/Grammar</t>
  </si>
  <si>
    <t xml:space="preserve">Text: kinerja ekspor nonmigas ke Korea Selatan mengalami perbaikan dan tumbuh sebesar 7,6% (yoy) (Tw IV 2025). Grafik 6 is about imports.</t>
  </si>
  <si>
    <t xml:space="preserve">Value correct but it is in text, not a chart; period is Tw IV 2025; (yoy) missing; 'Salatan' typo.</t>
  </si>
  <si>
    <t xml:space="preserve">Berapa pertumbuhan kinerja ekspor nonmigas ke Korea Selatan pada triwulan IV 2025?</t>
  </si>
  <si>
    <t xml:space="preserve">Tumbuh 7,6% (yoy) pada triwulan IV 2025.</t>
  </si>
  <si>
    <t xml:space="preserve">QA0463</t>
  </si>
  <si>
    <t xml:space="preserve">NPI_Tw-IV_2025_p018.png</t>
  </si>
  <si>
    <t xml:space="preserve">Bagaimana perubahan harga ekspor minyak di Indonesia pada tahun 2024 dan 2025?</t>
  </si>
  <si>
    <t xml:space="preserve">Harga ekspor minyak meningkat dari 68,8 dollar AS/barrel pada tahun 2024 menjadi 70,3 dollar AS/barrel pada tahun 2025.</t>
  </si>
  <si>
    <t xml:space="preserve">Tabel 6 harga ekspor: minyak mentah 79,5 (2024) -&gt; 67,5 (2025); produk kilang 82,6 -&gt; 69,8 dolar AS/bl. 68,8 and 70,3 are SLC and OPEC world prices before Tw IV 2025 (text).</t>
  </si>
  <si>
    <t xml:space="preserve">Uses world benchmark prices (SLC, OPEC) and claims an increase; Indonesia's oil export prices fell in 2025. Evidence is Tabel 6.</t>
  </si>
  <si>
    <t xml:space="preserve">Harga ekspor minyak menurun: minyak mentah dari 79,5 dolar AS/barel pada 2024 menjadi 67,5 dolar AS/barel pada 2025, dan produk kilang dari 82,6 menjadi 69,8 dolar AS/barel.</t>
  </si>
  <si>
    <t xml:space="preserve">QA0464</t>
  </si>
  <si>
    <t xml:space="preserve">Bagaimana jumlah import minyak di Indonesia pada tahun 2024 dan 2025?</t>
  </si>
  <si>
    <t xml:space="preserve">Jumlah import minyak meningkat dari 27,5 miliar dollar AS pada tahun 2024 menjadi 30,5 miliar dollar AS pada tahun 2025.</t>
  </si>
  <si>
    <t xml:space="preserve">Text/Tabel 7: total impor minyak 2025 27,5 miliar dolar AS (27.548,8 juta), lebih rendah dari 30,5 miliar (30.459,1 juta) pada 2024.</t>
  </si>
  <si>
    <t xml:space="preserve">Direction reversed: imports fell from 30,5 (2024) to 27,5 miliar dolar AS (2025). No calculation is required, so the calculation label does not fit.</t>
  </si>
  <si>
    <t xml:space="preserve">Impor minyak menurun dari 30,5 miliar dolar AS pada tahun 2024 menjadi 27,5 miliar dolar AS pada tahun 2025, terutama karena turunnya harga minyak global.</t>
  </si>
  <si>
    <t xml:space="preserve">QA0465</t>
  </si>
  <si>
    <t xml:space="preserve">Bagaimana jumlah ekspor gas dalam 2025?</t>
  </si>
  <si>
    <t xml:space="preserve">Jumlah ekspor gas mencapai 1,7 miliar dollar AS pada tahun 2025.</t>
  </si>
  <si>
    <t xml:space="preserve">Text: ekspor gas pada triwulan IV 2025 tercatat 1,7 miliar dolar AS, relatif stabil dengan triwulan sebelumnya. Tabel 8 not on page; no chart of gas.</t>
  </si>
  <si>
    <t xml:space="preserve">1,7 miliar dolar AS is the Tw IV 2025 quarterly value, not full-year 2025; value is from text, not a chart calculation.</t>
  </si>
  <si>
    <t xml:space="preserve">Berapa ekspor gas pada triwulan IV 2025?</t>
  </si>
  <si>
    <t xml:space="preserve">Ekspor gas pada triwulan IV 2025 tercatat sebesar 1,7 miliar dolar AS, relatif stabil dengan triwulan sebelumnya.</t>
  </si>
  <si>
    <t xml:space="preserve">QA0466</t>
  </si>
  <si>
    <t xml:space="preserve">PEKKI_EDISI_III_2020</t>
  </si>
  <si>
    <t xml:space="preserve">PEKKI_EDISI_III_2020_p030.png</t>
  </si>
  <si>
    <t xml:space="preserve">Bagaimana perkembangan ekonomi keuangan dan kerja sama internasional di tahun 2020?</t>
  </si>
  <si>
    <t xml:space="preserve">ECB (Bank Sentral Eropa) dan IMF (Bank Dunia) berbagi pendapat bahwa ekonomi akan mengalami penurunan besar di tahun 2020, dengan perkembangan ekonomi keuangan dan kerja sama internasional.</t>
  </si>
  <si>
    <t xml:space="preserve">Factual/Numerical, Incomplete, Typo/Grammar</t>
  </si>
  <si>
    <t xml:space="preserve">Text/Tabel 1.3: ECB (Sep 2020) revised EA outlook to -8,0% (2020) and 5,0% (2021) from -8,7%/5,2%; IMF WEO Jun-20: -10,2% (2020). Page title is 'Perkembangan Ekonomi Keuangan dan Kerja Sama Internasional'.</t>
  </si>
  <si>
    <t xml:space="preserve">Question uses the publication title as a topic; answer is circular, gives no figures, and wrongly glosses IMF as 'Bank Dunia'.</t>
  </si>
  <si>
    <t xml:space="preserve">Bagaimana prospek ekonomi Kawasan Euro pada tahun 2020 menurut ECB?</t>
  </si>
  <si>
    <t xml:space="preserve">Ekonomi Kawasan Euro diperkirakan terkontraksi dalam pada 2020; ECB (September 2020) merevisi ke atas outlook 2020 menjadi -8,0% (yoy) dari -8,7%, dan 2021 menjadi 5,0% (dari 5,2%), sementara IMF memperkirakan -10,2% untuk 2020.</t>
  </si>
  <si>
    <t xml:space="preserve">QA0467</t>
  </si>
  <si>
    <t xml:space="preserve">Bagaimana perkiraan GDP dan HICP di tahun 2020?</t>
  </si>
  <si>
    <t xml:space="preserve">GDP di tahun 2020 akan mengalami penurunan sebesar 8,7% dan HICP akan mengalami penurunan 0,3%.</t>
  </si>
  <si>
    <t xml:space="preserve">Tabel 1.3 2020: GDP ECB -8,0 / EC -8,7 / IMF -10,2; HICP ECB 0,3 / EC 0,3 / IMF 0,2 (% yoy, positive).</t>
  </si>
  <si>
    <t xml:space="preserve">-8,7% is EC (or ECB's earlier) estimate, source unspecified; HICP 0,3% is positive inflation, not a decline. Data is in a table, no chart/calculation.</t>
  </si>
  <si>
    <t xml:space="preserve">Bagaimana perkiraan GDP dan HICP Kawasan Euro tahun 2020 menurut ECB (Sep-20)?</t>
  </si>
  <si>
    <t xml:space="preserve">ECB (Sep-20) memperkirakan GDP Kawasan Euro 2020 terkontraksi -8,0% (yoy) dan inflasi HICP sebesar 0,3% (yoy); EC memperkirakan GDP -8,7% dan IMF -10,2%.</t>
  </si>
  <si>
    <t xml:space="preserve">QA0468</t>
  </si>
  <si>
    <t xml:space="preserve">Bagaimana prospek kepemilikan Eropa pada tahun 2020?</t>
  </si>
  <si>
    <t xml:space="preserve">ECB menilai kepemilikan Eropa pada tahun 2020 akan mengalami penurunan 8,7% dan 5,2%, sementara IMF menilai 5,2% dan 6,3%.</t>
  </si>
  <si>
    <t xml:space="preserve">No 'kepemilikan' (ownership) data on page. Tabel 1.3: ECB 2020/2021 GDP -8,0/5,0 (prev -8,7/5,2); IMF -10,2/6,0 (prev -7,5/4,7).</t>
  </si>
  <si>
    <t xml:space="preserve">Metric asked (European ownership) does not exist; answer's figures are jumbled (5,2 is a growth rate, IMF 5,2/6,3 not in Tabel 1.3) and unsupported.</t>
  </si>
  <si>
    <t xml:space="preserve">QA0469</t>
  </si>
  <si>
    <t xml:space="preserve">PEKKI_EDISI_III_2020_p048.png</t>
  </si>
  <si>
    <t xml:space="preserve">Bagaimana perubahan harga komoditas selama periode TW1-20 dan TW2-20?</t>
  </si>
  <si>
    <t xml:space="preserve">Harga komoditas bergerak variatif selama periode TW1-20 dan TW2-20, dengan beberapa komoditas mengalami peningkatan dan penurunan harga.</t>
  </si>
  <si>
    <t xml:space="preserve">Grafik 1.47: rata-rata harga TW2-20 vs TW1-20 mostly negative (oil WTI/Brent ~-40%, coal ~-19%), gold positive; point-to-point mostly positive (oil ~+90%).</t>
  </si>
  <si>
    <t xml:space="preserve">'Variatif' is correct in spirit but generic; gives no commodities or magnitudes from the chart.</t>
  </si>
  <si>
    <t xml:space="preserve">Harga komoditas bergerak variatif: secara rata-rata sebagian besar komoditas turun pada TW2-20 dibanding TW1-20 (penurunan terdalam minyak WTI dan Brent sekitar -40%), sementara emas naik; secara point-to-point sebagian besar naik, terutama minyak (sekitar +90%).</t>
  </si>
  <si>
    <t xml:space="preserve">QA0470</t>
  </si>
  <si>
    <t xml:space="preserve">Bagaimana perubahan harga batu bara selama periode TW1-20 dan TW2-20?</t>
  </si>
  <si>
    <t xml:space="preserve">Harga batu bara meningkat dari 68 USD/metric ton pada TW1-20 menjadi 52 USD/metric ton pada TW2-20.</t>
  </si>
  <si>
    <t xml:space="preserve">Tabel 1.8 Batu Bara (USD/metric ton): rata-rata 68 (TW1-20) -&gt; 55 (TW2-20); last price 68 -&gt; 52.</t>
  </si>
  <si>
    <t xml:space="preserve">68 -&gt; 52 is a decrease, not an increase. Values come from Tabel 1.8, not a chart.</t>
  </si>
  <si>
    <t xml:space="preserve">Harga batu bara turun: harga terakhir dari 68 USD/metric ton (TW1-20) menjadi 52 USD/metric ton (TW2-20), atau turun sekitar 23,5%; rata-rata harga turun dari 68 menjadi 55 USD/metric ton (sekitar -19,1%).</t>
  </si>
  <si>
    <t xml:space="preserve">QA0471</t>
  </si>
  <si>
    <t xml:space="preserve">Bagaimana perubahan harga emas selama periode TW1-20 dan TW2-20?</t>
  </si>
  <si>
    <t xml:space="preserve">Harga emas meningkat selama periode TW1-20 dan TW2-20, dengan rata-rata harga emas meningkat 1.585 USD/ounce pada TW1-20 menjadi 1.785 USD/ounce pada TW2-20.</t>
  </si>
  <si>
    <t xml:space="preserve">Text: harga emas meningkat 8,3% qtq atau 12,9% ptp. Tabel 1.8 Emas: rata-rata 1.582 -&gt; 1.714; last price 1.577 -&gt; 1.781 USD/ounce.</t>
  </si>
  <si>
    <t xml:space="preserve">Averages misread (1.585/1.785); 1.785 is roughly the last price, and the TW2-20 average is 1.714.</t>
  </si>
  <si>
    <t xml:space="preserve">Harga emas meningkat 8,3% (qtq) atau 12,9% (ptp); rata-rata harga naik dari 1.582 USD/ounce pada TW1-20 menjadi 1.714 USD/ounce pada TW2-20.</t>
  </si>
  <si>
    <t xml:space="preserve">QA0472</t>
  </si>
  <si>
    <t xml:space="preserve">SK-Maret-2026_014</t>
  </si>
  <si>
    <t xml:space="preserve">SK-Maret-2026_014_p001.png</t>
  </si>
  <si>
    <t xml:space="preserve">Indeks Kondisi Ekonomi Saat Ini pada Maret 2026 berapa?</t>
  </si>
  <si>
    <t xml:space="preserve">130,4</t>
  </si>
  <si>
    <t xml:space="preserve">Grafik 1 &amp; text: Maret 2026 IKE 115,4; IEK 130,4; IKK 122,9.</t>
  </si>
  <si>
    <t xml:space="preserve">130,4 is the Consumer Expectations Index (IEK); the Current Economic Condition Index (IKE) is 115,4.</t>
  </si>
  <si>
    <t xml:space="preserve">Berapa Indeks Kondisi Ekonomi Saat Ini (IKE) pada Maret 2026?</t>
  </si>
  <si>
    <t xml:space="preserve">Indeks Kondisi Ekonomi Saat Ini (IKE) pada Maret 2026 sebesar 115,4.</t>
  </si>
  <si>
    <t xml:space="preserve">QA0473</t>
  </si>
  <si>
    <t xml:space="preserve">Kontribusi dari Indeks Kondisi Ekonomi Saat Ini pada Maret 2026 pada level konsumen keyakinan pada kondisi ekonomi saat ini berapa?</t>
  </si>
  <si>
    <t xml:space="preserve">59,6</t>
  </si>
  <si>
    <t xml:space="preserve">Page gives index levels only (IKK 122,9, IKE 115,4, IEK 130,4); no 'kontribusi' of IKE to IKK and no value 59,6.</t>
  </si>
  <si>
    <t xml:space="preserve">Question is garbled and asks for a contribution metric that the page does not report; 59,6 appears nowhere on the page.</t>
  </si>
  <si>
    <t xml:space="preserve">QA0474</t>
  </si>
  <si>
    <t xml:space="preserve">Kontribusi dari Indeks Ekspesitasi Konsumen pada Maret 2026 berapa?</t>
  </si>
  <si>
    <t xml:space="preserve">31,7</t>
  </si>
  <si>
    <t xml:space="preserve">Text: IEK Maret 2026 130,4; no contribution figure for IEK and no value 31,7 on page.</t>
  </si>
  <si>
    <t xml:space="preserve">The contribution of IEK is not reported on the page and 31,7 is fabricated; question asks for an absent metric.</t>
  </si>
  <si>
    <t xml:space="preserve">QA0475</t>
  </si>
  <si>
    <t xml:space="preserve">SK-Maret-2026</t>
  </si>
  <si>
    <t xml:space="preserve">SK-Maret-2026_p004.png</t>
  </si>
  <si>
    <t xml:space="preserve">Bagaimana perbedaan indeks ekspeseksi ketersediaan lapangan kerja pada kelompok penguasaan dan kelompok usia?</t>
  </si>
  <si>
    <t xml:space="preserve">Indeks ekspeseksi ketersediaan lapangan kerja pada kelompok penguasaan lebih tinggi dibandingkan kelompok usia.</t>
  </si>
  <si>
    <t xml:space="preserve">Text: ekspektasi ketersediaan lapangan kerja meningkat pada pendidikan pascasarjana (136,3; Grafik 14) dan menurut usia hanya naik pada &gt;60 tahun (118,3; Grafik 15). Grafik 14/15 not on page.</t>
  </si>
  <si>
    <t xml:space="preserve">'ekspeseksi'/'penguasaan' are garbled (expectation; education group). Direction roughly right (136,3 &gt; 118,3) but no values; evidence is text since Grafik 14/15 are not shown.</t>
  </si>
  <si>
    <t xml:space="preserve">Bagaimana perbedaan indeks ekspektasi ketersediaan lapangan kerja pada kelompok pendidikan pascasarjana dan kelompok usia &gt;60 tahun?</t>
  </si>
  <si>
    <t xml:space="preserve">Indeks pada kelompok pascasarjana sebesar 136,3, lebih tinggi dibandingkan kelompok usia &gt;60 tahun sebesar 118,3; keduanya merupakan kelompok yang mencatat peningkatan.</t>
  </si>
  <si>
    <t xml:space="preserve">QA0476</t>
  </si>
  <si>
    <t xml:space="preserve">Bagaimana indeks ekspeseksi penguasaan berubah antara periode 2016 dan 2021?</t>
  </si>
  <si>
    <t xml:space="preserve">Indeks ekspeseksi penguasaan meningkat dari 136,3 pada periode 2016 menjadi 140,6 pada periode 2021.</t>
  </si>
  <si>
    <t xml:space="preserve">Grafik 11 covers Jan 2023-Mar 2026 only; 136,3 = pascasarjana IEKLK (text), 140,6 = IEP usia 31-40 (Grafik 13).</t>
  </si>
  <si>
    <t xml:space="preserve">No 2016 or 2021 data exist on the page; the answer stitches together unrelated values. 'indeks ekspeseksi penguasaan' is garbled.</t>
  </si>
  <si>
    <t xml:space="preserve">QA0477</t>
  </si>
  <si>
    <t xml:space="preserve">Bagaimana indeks ekspeseksi penguasaan pada kelompok usia &gt; 60 tahun?</t>
  </si>
  <si>
    <t xml:space="preserve">Indeks ekspeseksi penguasaan pada kelompok usia &gt; 60 tahun adalah 118,3.</t>
  </si>
  <si>
    <t xml:space="preserve">Text: ekspektasi ketersediaan lapangan kerja meningkat hanya pada kelompok usia &gt;60 tahun dengan indeks 118,3 (Grafik 15, not shown).</t>
  </si>
  <si>
    <t xml:space="preserve">118,3 is correct for job-availability expectation at age &gt;60, but the index name is garbled and the value is from text, with no calculation.</t>
  </si>
  <si>
    <t xml:space="preserve">Berapa indeks ekspektasi ketersediaan lapangan kerja pada kelompok usia &gt;60 tahun?</t>
  </si>
  <si>
    <t xml:space="preserve">Indeks ekspektasi ketersediaan lapangan kerja kelompok usia &gt;60 tahun sebesar 118,3, satu-satunya kelompok usia yang meningkat.</t>
  </si>
  <si>
    <t xml:space="preserve">QA0478</t>
  </si>
  <si>
    <t xml:space="preserve">SKDU-TRIWULAN-III-2022</t>
  </si>
  <si>
    <t xml:space="preserve">SKDU-TRIWULAN-III-2022_p003.png</t>
  </si>
  <si>
    <t xml:space="preserve">Bagaimana kondisi keuangan dan askeks kredit pada periode III-2022?</t>
  </si>
  <si>
    <t xml:space="preserve">Kondisi keuangan masih cukup baik, dengan askeks pembayaran yang lebih mudah.</t>
  </si>
  <si>
    <t xml:space="preserve">Sidebar/text: kondisi keuangan perusahaan Tw III-2022 cukup baik, dengan akses pembiayaan yang lebih mudah; SB akses kredit 2,79% (vs 2,64%).</t>
  </si>
  <si>
    <t xml:space="preserve">Core content correct, but 'askeks' typo and 'akses pembayaran' should be 'akses pembiayaan/kredit'.</t>
  </si>
  <si>
    <t xml:space="preserve">Bagaimana kondisi keuangan dan akses kredit perusahaan pada triwulan III-2022?</t>
  </si>
  <si>
    <t xml:space="preserve">Kondisi keuangan perusahaan masih cukup baik, dengan akses pembiayaan (kredit perbankan) yang lebih mudah dibandingkan triwulan sebelumnya.</t>
  </si>
  <si>
    <t xml:space="preserve">QA0479</t>
  </si>
  <si>
    <t xml:space="preserve">Bagaimana kondisi rentabilitas pada periode III-2022?</t>
  </si>
  <si>
    <t xml:space="preserve">Kondisi rentabilitas meningkat dari periode II-2022, dengan meningkat 7,37% pada periode III-2022.</t>
  </si>
  <si>
    <t xml:space="preserve">Grafik 4/text: SB rentabilitas 16,40% Tw III-2022, lebih rendah dari 18,80% Tw II-2022; 7,37% is share answering 'buruk' in Tw II.</t>
  </si>
  <si>
    <t xml:space="preserve">Rentabilitas slowed (18,80% -&gt; 16,40%), not increased; 7,37% is misattributed.</t>
  </si>
  <si>
    <t xml:space="preserve">Kondisi rentabilitas cukup baik meski melambat: SB rentabilitas 16,40% pada triwulan III-2022, lebih rendah dari 18,80% pada triwulan II-2022.</t>
  </si>
  <si>
    <t xml:space="preserve">QA0480</t>
  </si>
  <si>
    <t xml:space="preserve">Bagaimana kondisi keuangan pada periode III-2022 dibandingkan periode II-2022?</t>
  </si>
  <si>
    <t xml:space="preserve">Kondisi keuangan meningkat 5,39% dari periode II-2022 pada periode III-2022.</t>
  </si>
  <si>
    <t xml:space="preserve">Reasoning, Factual/Numerical, Calculation</t>
  </si>
  <si>
    <t xml:space="preserve">Grafik 3/text: SB likuiditas 19,64% Tw III-2022 vs 20,46% Tw II-2022 (-0,82 pp); 5,39% is share answering 'buruk' in Tw II.</t>
  </si>
  <si>
    <t xml:space="preserve">Financial/liquidity condition declined slightly, not increased by 5,39% (that value is the Tw II 'bad' response share).</t>
  </si>
  <si>
    <t xml:space="preserve">Kondisi keuangan (likuiditas) sedikit menurun: SB likuiditas 19,64% pada triwulan III-2022, turun 0,82 poin persen dari 20,46% pada triwulan II-2022, meski masih cukup baik.</t>
  </si>
  <si>
    <t xml:space="preserve">QA0481</t>
  </si>
  <si>
    <t xml:space="preserve">SKDU-TRIWULAN-III-2022_p005.png</t>
  </si>
  <si>
    <t xml:space="preserve">Bagaimana perkembangan inflasi sejak 2017 hingga 2022?</t>
  </si>
  <si>
    <t xml:space="preserve">Inflasi meningkat dari 3,45% pada tahun 2017 menjadi 3,42% pada tahun 2022.</t>
  </si>
  <si>
    <t xml:space="preserve">Grafik 7 Inflasi-SKDU: 3,45 (2017), 3,96 (2018), 3,53 (2019), 3,42 (2020), 2,82 (2021), 3,42 (2022* SKDU Q3); Realisasi: 3,61, 3,13, 2,72, 1,68, 1,87 (2017-2021).</t>
  </si>
  <si>
    <t xml:space="preserve">3,45% -&gt; 3,42% is not an increase; the SKDU expectation peaked in 2018, fell to 2,82% in 2021 and rose to 3,42% for 2022, while realized inflation fell to 1,87% in 2021. Trend task, not extraction.</t>
  </si>
  <si>
    <t xml:space="preserve">Prakiraan inflasi SKDU naik dari 3,45% (2017) ke puncak 3,96% (2018), lalu turun hingga 2,82% (2021) dan kembali naik menjadi 3,42% untuk 2022; realisasi inflasi turun dari 3,61% (2017) ke 1,68% (2020) dan 1,87% (2021).</t>
  </si>
  <si>
    <t xml:space="preserve">QA0482</t>
  </si>
  <si>
    <t xml:space="preserve">Bagaimana perbedaan antara inflasi SBU dan realisasi investasi di tahun 2022?</t>
  </si>
  <si>
    <t xml:space="preserve">Inflasi SBU pada tahun 2022 adalah 3,42%, sementara realisasi investasi adalah 3,38%.</t>
  </si>
  <si>
    <t xml:space="preserve">Unit, Calculation, Typo/Grammar</t>
  </si>
  <si>
    <t xml:space="preserve">Text/Grafik 7: prakiraan inflasi 2022 3,42% (yoy). Text G: SBT investasi Tw III-2022 3,38% (a net balance, not a rate).</t>
  </si>
  <si>
    <t xml:space="preserve">Both numbers are on the page, but 3,38% is an SBT (saldo bersih tertimbang), not an investment realization rate; 'SBU' garbled; no difference computed though labelled calculation.</t>
  </si>
  <si>
    <t xml:space="preserve">Berapa prakiraan inflasi 2022 dan SBT realisasi investasi pada triwulan III-2022 menurut SKDU?</t>
  </si>
  <si>
    <t xml:space="preserve">Responden memprakirakan inflasi hingga akhir 2022 sebesar 3,42% (yoy), sementara realisasi investasi triwulan III-2022 tercatat dengan SBT 3,38%, lebih rendah dari SBT 4,75% pada triwulan sebelumnya.</t>
  </si>
  <si>
    <t xml:space="preserve">QA0483</t>
  </si>
  <si>
    <t xml:space="preserve">Bagaimana responden memilih sektor keuangan dan real estate pada tahun 2022?</t>
  </si>
  <si>
    <t xml:space="preserve">Responden memilih sektor Keuangan 3,68%, dan Real Estate 3,71%.</t>
  </si>
  <si>
    <t xml:space="preserve">Text: prakiraan inflasi tertinggi di sektor Keuangan, Real Estate dan Jasa Perusahaan (3,71%), diikuti Konstruksi (3,68%), Perdagangan, Hotel dan Restoran (3,54%).</t>
  </si>
  <si>
    <t xml:space="preserve">Keuangan and Real Estate are one combined sector at 3,71%; 3,68% belongs to Konstruksi. Question garbled ('memilih').</t>
  </si>
  <si>
    <t xml:space="preserve">Berapa prakiraan inflasi 2022 menurut responden sektor Keuangan, Real Estate dan Jasa Perusahaan?</t>
  </si>
  <si>
    <t xml:space="preserve">Responden sektor Keuangan, Real Estate dan Jasa Perusahaan memprakirakan inflasi 2022 sebesar 3,71%, tertinggi di antara sektor, diikuti Konstruksi 3,68%.</t>
  </si>
  <si>
    <t xml:space="preserve">QA0484</t>
  </si>
  <si>
    <t xml:space="preserve">SKDU-Triwulan-I-2026</t>
  </si>
  <si>
    <t xml:space="preserve">SKDU-Triwulan-I-2026_p003.png</t>
  </si>
  <si>
    <t xml:space="preserve">Kondisi keuangan pada periode 2026 berapa?</t>
  </si>
  <si>
    <t xml:space="preserve">Kondisi keuangan pada periode 2026 adalah 17,05%</t>
  </si>
  <si>
    <t xml:space="preserve">Text: Saldo Bersih (SB) Likuiditas triwulan I 2026 sebesar 17,05%, lebih rendah dari SB 18,72% pada triwulan IV 2025.</t>
  </si>
  <si>
    <t xml:space="preserve">17,05% is correct but specifically the SB liquidity indicator for Q1 2026; question is vague ('kondisi keuangan', 'periode 2026') and the answer lacks 'SB likuiditas'.</t>
  </si>
  <si>
    <t xml:space="preserve">Berapa Saldo Bersih (SB) likuiditas perusahaan pada triwulan I 2026?</t>
  </si>
  <si>
    <t xml:space="preserve">SB likuiditas triwulan I 2026 sebesar 17,05%, lebih rendah dibandingkan 18,72% pada triwulan IV 2025.</t>
  </si>
  <si>
    <t xml:space="preserve">QA0485</t>
  </si>
  <si>
    <t xml:space="preserve">Kondisi rentabilitas pada periode 2026 berapa?</t>
  </si>
  <si>
    <t xml:space="preserve">Kondisi rentabilitas pada periode 2026 adalah 24,04%</t>
  </si>
  <si>
    <t xml:space="preserve">Grafik 4 Kondisi Rentabilitas: SB Tw I 2026 = 14,87 (Tw IV 2025 16,51). 24,04% is % responden 'lebih baik' (text, Lampiran Tabel 3).</t>
  </si>
  <si>
    <t xml:space="preserve">The rentabilitas condition (SB) in Grafik 4 for Q1 2026 is 14,87%; 24,04% is the share of respondents answering 'lebih baik', not shown in the chart.</t>
  </si>
  <si>
    <t xml:space="preserve">Berapa Saldo Bersih (SB) kondisi rentabilitas pada triwulan I 2026?</t>
  </si>
  <si>
    <t xml:space="preserve">SB rentabilitas triwulan I 2026 sebesar 14,87%, lebih rendah dari 16,51% pada triwulan IV 2025.</t>
  </si>
  <si>
    <t xml:space="preserve">QA0486</t>
  </si>
  <si>
    <t xml:space="preserve">Grafik 3 Kondisi Likuiditas: SB Tw I 2026 = 17,05 (labelled).</t>
  </si>
  <si>
    <t xml:space="preserve">Duplicate of IV-0; 17,05% is correct as SB likuiditas, but it is a direct chart read with no calculation, and the question is vague.</t>
  </si>
  <si>
    <t xml:space="preserve">Berapa Saldo Bersih (SB) likuiditas perusahaan pada triwulan I 2026 menurut Grafik 3?</t>
  </si>
  <si>
    <t xml:space="preserve">17,05%</t>
  </si>
  <si>
    <t xml:space="preserve">QA0487</t>
  </si>
  <si>
    <t xml:space="preserve">SPIME Tw III-2017</t>
  </si>
  <si>
    <t xml:space="preserve">SPIME 20Tw 20III-2017_p001.png</t>
  </si>
  <si>
    <t xml:space="preserve">Pertumbuhan ekonomi Indonesia pada tahun 2017 sebesar-besarnya berapa?</t>
  </si>
  <si>
    <t xml:space="preserve">5,09% (yoy)</t>
  </si>
  <si>
    <t xml:space="preserve">Text: perekonomian Indonesia tahun 2017 diperkirakan tumbuh sebesar 5,09% (yoy).</t>
  </si>
  <si>
    <t xml:space="preserve">The value is correct, but the question is garbled ('sebesar-besarnya'), and the bare answer does not say it is a forecast.</t>
  </si>
  <si>
    <t xml:space="preserve">Berapa perkiraan pertumbuhan ekonomi Indonesia pada tahun 2017?</t>
  </si>
  <si>
    <t xml:space="preserve">Pertumbuhan ekonomi Indonesia pada tahun 2017 diperkirakan sebesar 5,09% (yoy).</t>
  </si>
  <si>
    <t xml:space="preserve">QA0488</t>
  </si>
  <si>
    <t xml:space="preserve">Pertumbuhan ekonomi Indonesia pada tahun 2016 sebesar-besarnya berapa?</t>
  </si>
  <si>
    <t xml:space="preserve">5,02% (yoy)</t>
  </si>
  <si>
    <t xml:space="preserve">Text: realisasi pertumbuhan ekonomi 2016 sebesar 5,02% (yoy). Grafik 1 shows only quarterly 2016 values (4,92; 5,18; 5,01; 4,94).</t>
  </si>
  <si>
    <t xml:space="preserve">The value is correct, but it is a text lookup; Grafik 1 has no annual value and no calculation is done. The question wording is garbled.</t>
  </si>
  <si>
    <t xml:space="preserve">Berapa realisasi pertumbuhan ekonomi Indonesia pada tahun 2016?</t>
  </si>
  <si>
    <t xml:space="preserve">Realisasi pertumbuhan ekonomi Indonesia pada tahun 2016 sebesar 5,02% (yoy).</t>
  </si>
  <si>
    <t xml:space="preserve">QA0489</t>
  </si>
  <si>
    <t xml:space="preserve">Pertumbuhan ekonomi Indonesia pada tahun 2017 dibandingkan dengan tahun 2016 berapa banyak?</t>
  </si>
  <si>
    <t xml:space="preserve">0,07% (yoy)</t>
  </si>
  <si>
    <t xml:space="preserve">Unit, Instruction-following, Typo/Grammar</t>
  </si>
  <si>
    <t xml:space="preserve">Text: 2017 diperkirakan 5,09% (yoy) vs realisasi 2016 5,02% (yoy); difference 0,07 pp.</t>
  </si>
  <si>
    <t xml:space="preserve">The difference of 0,07 is right, but it is in percentage points, not '% (yoy)'. The values come from the text, not the chart, and the question is awkward.</t>
  </si>
  <si>
    <t xml:space="preserve">Berapa selisih perkiraan pertumbuhan ekonomi Indonesia tahun 2017 dibandingkan realisasi tahun 2016?</t>
  </si>
  <si>
    <t xml:space="preserve">Pertumbuhan ekonomi Indonesia tahun 2017 diperkirakan 5,09% (yoy), lebih tinggi 0,07 poin persentase dibandingkan realisasi tahun 2016 sebesar 5,02% (yoy).</t>
  </si>
  <si>
    <t xml:space="preserve">QA0490</t>
  </si>
  <si>
    <t xml:space="preserve">SPIME 20Tw 20III-2017_p003.png</t>
  </si>
  <si>
    <t xml:space="preserve">Bagaimana perkiraan kondisi ekonomi Indonesia pada tahun 2018?</t>
  </si>
  <si>
    <t xml:space="preserve">Responden menilai perkondisi ekonomi Indonesia pada tahun 2018 sebagaimana dengan tahun 2017, dengan sekitar 5,31% responden menilai ekonomi sebagai 5,31% (yoy).</t>
  </si>
  <si>
    <t xml:space="preserve">Text: responden optimis ekonomi 2018 semakin membaik, diperkirakan tumbuh 5,31% (yoy). Tabel 2: 2017 mpe 5,09; 2018 &gt;=5,25 (mpe 5,31).</t>
  </si>
  <si>
    <t xml:space="preserve">Answer garbled: 5,31% is the forecast growth, not a share of respondents, and 2018 is expected to improve vs 2017, not be the same.</t>
  </si>
  <si>
    <t xml:space="preserve">Responden optimis perekonomian Indonesia tahun 2018 akan semakin membaik, dengan pertumbuhan ekonomi diperkirakan sebesar 5,31% (yoy), lebih tinggi dari perkiraan 2017 (5,09%).</t>
  </si>
  <si>
    <t xml:space="preserve">QA0491</t>
  </si>
  <si>
    <t xml:space="preserve">Bagaimana perkiraan inflasi pada tahun 2018?</t>
  </si>
  <si>
    <t xml:space="preserve">Laju inflasi pada tahun 2018 diperkirakan semakin tinggi pada level 3,18% (yoy).</t>
  </si>
  <si>
    <t xml:space="preserve">Text: laju inflasi 2018 diperkirakan semakin terkendali pada level 3,18% (yoy), lebih rendah dibandingkan perkiraan inflasi 2017. Tabel 2: &lt;=3,50 (mpe 3,18).</t>
  </si>
  <si>
    <t xml:space="preserve">Value 3,18% right, but direction wrong: inflation expected lower/more controlled, not higher. Value is in text, not Grafik 3.</t>
  </si>
  <si>
    <t xml:space="preserve">Laju inflasi pada tahun 2018 diperkirakan semakin terkendali pada level 3,18% (yoy), lebih rendah dibandingkan perkiraan inflasi tahun 2017.</t>
  </si>
  <si>
    <t xml:space="preserve">QA0492</t>
  </si>
  <si>
    <t xml:space="preserve">Bagaimana perkiraan PDB pada tahun 2018?</t>
  </si>
  <si>
    <t xml:space="preserve">Perkiraan PDB pada tahun 2018 adalah 60,0% responden, berbanding dengan 40,0% pada tahun 2017.</t>
  </si>
  <si>
    <t xml:space="preserve">Factual/Numerical, Instruction-following, Incomplete</t>
  </si>
  <si>
    <t xml:space="preserve">Grafik 2: range 5,00-5,24%: 2017 100,0%, 2018 40,0% responden; range &gt;=5,25%: 2017 0,0%, 2018 60,0%.</t>
  </si>
  <si>
    <t xml:space="preserve">40,0% is the 2018 share for 5,00-5,24%, not 2017; answer omits the ranges. Chart read, no calculation.</t>
  </si>
  <si>
    <t xml:space="preserve">Bagaimana sebaran perkiraan responden terhadap pertumbuhan PDB tahun 2018 dibandingkan tahun 2017?</t>
  </si>
  <si>
    <t xml:space="preserve">Untuk 2018, 60,0% responden memperkirakan PDB tumbuh &gt;=5,25% dan 40,0% pada kisaran 5,00-5,24%; sedangkan untuk 2017, 100,0% responden memperkirakan kisaran 5,00-5,24%.</t>
  </si>
  <si>
    <t xml:space="preserve">QA0493</t>
  </si>
  <si>
    <t xml:space="preserve">TKM-Februari-2026</t>
  </si>
  <si>
    <t xml:space="preserve">TKM-Februari-2026_p014.png</t>
  </si>
  <si>
    <t xml:space="preserve">Bagaimana strategi kepemilikan kebijakan moneter oleh Pemerintah Indonesia dalam 2026?</t>
  </si>
  <si>
    <t xml:space="preserve">Pemerintah Indonesia akan menggunakan kebijakan moneter untuk meningkatkan investasi, meliputi peningkatan ketersediaan kebijakan, meningkatkan ketersediaan kebijakan Sistem Pembayaran Bank Indonesia (SPBI), dan meningkatkan ketersediaan kebijakan Sistem Pembayaran Industri (SPI) untuk meningkatkan ketersediaan kebijakan NKRI, Ramadan, dan Berhenti Idulfitri (SERAMBI) 2026.</t>
  </si>
  <si>
    <t xml:space="preserve">Factual/Numerical, Typo/Grammar, Reasoning</t>
  </si>
  <si>
    <t xml:space="preserve">Text lists Bank Indonesia's measures: (1) stabilisasi Rupiah via NDF/spot/DNDF + SBN; (2) operasi moneter pro-market; (3) sinergi dgn Pemerintah utk pelonggaran makroprudensial (PINISI, SBDK); (4) PIDI; (5) kesiapan sistem pembayaran HBKN (SERAMBI 2026).</t>
  </si>
  <si>
    <t xml:space="preserve">Policy is by Bank Indonesia, not the Government; answer is garbled/fabricated ('Sistem Pembayaran Industri (SPI)', 'NKRI, Ramadan, dan Berhenti Idulfitri') and misses the actual strategies.</t>
  </si>
  <si>
    <t xml:space="preserve">Apa saja strategi kebijakan yang ditempuh Bank Indonesia pada awal 2026?</t>
  </si>
  <si>
    <t xml:space="preserve">Penguatan stabilisasi nilai tukar Rupiah (intervensi NDF, spot, DNDF dan pembelian SBN), strategi operasi moneter pro-market, sinergi dengan Pemerintah untuk efektivitas pelonggaran makroprudensial (PINISI, SBDK), pengembangan PIDI, serta penguatan kesiapan sistem pembayaran menghadapi HBKN Idulfitri 1447 H melalui SERAMBI 2026.</t>
  </si>
  <si>
    <t xml:space="preserve">QA0494</t>
  </si>
  <si>
    <t xml:space="preserve">Bagaimana Pemerintah Indonesia melakukan peningkatan ketersediaan kebijakan kebijakan Sistem Pembayaran Bank Indonesia (SPBI) dan Sistem Pembayaran Industri (SPI) dalam periode 2024-2026?</t>
  </si>
  <si>
    <t xml:space="preserve">Pemerintah Indonesia akan meningkatkan ketersediaan kebijakan Sistem Pembayaran Bank Indonesia (SPBI) dan Sistem Pembayaran Industri (SPI) secara bertahap dalam periode 2024-2026.</t>
  </si>
  <si>
    <t xml:space="preserve">Point 5: memastikan ketersediaan, keandalan dan keamanan SPBI dan sistem pembayaran industri menghadapi HBKN Idulfitri 1447 H (by Bank Indonesia). No 2024-2026 period; no chart.</t>
  </si>
  <si>
    <t xml:space="preserve">Actor is Bank Indonesia not the Government, period 2024-2026 and 'secara bertahap' are invented; evidence is text, not chart.</t>
  </si>
  <si>
    <t xml:space="preserve">Bagaimana Bank Indonesia memperkuat kesiapan SPBI dan sistem pembayaran industri menghadapi HBKN Idulfitri 1447 H?</t>
  </si>
  <si>
    <t xml:space="preserve">Dengan memastikan ketersediaan, keandalan dan keamanan Sistem Pembayaran Bank Indonesia (SPBI) dan sistem pembayaran industri dalam menghadapi periode HBKN Idulfitri 1447 H.</t>
  </si>
  <si>
    <t xml:space="preserve">QA0495</t>
  </si>
  <si>
    <t xml:space="preserve">Bagaimana Pemerintah Indonesia meningkatkan ketersediaan kebijakan NKRI, Ramadan, dan Berhenti Idulfitri (SERAMBI) 2026?</t>
  </si>
  <si>
    <t xml:space="preserve">Pemerintah Indonesia akan meningkatkan ketersediaan kebijakan NKRI, Ramadan, dan Berhenti Idulfitri (SERAMBI) 2026 sebesar-besarnya dengan berdasarkan data yang diberikan.</t>
  </si>
  <si>
    <t xml:space="preserve">Incomplete, Factual/Numerical, Typo/Grammar, Instruction-following</t>
  </si>
  <si>
    <t xml:space="preserve">Point 5: menjamin ketersediaan uang Rupiah dalam jumlah memadai dan berkualitas di seluruh wilayah NKRI, antara lain melalui program Semarak Rupiah Ramadan dan Berkah Idulfitri (SERAMBI) 2026.</t>
  </si>
  <si>
    <t xml:space="preserve">SERAMBI name garbled and answer is empty ('sebesar-besarnya...'); actor is BI; text-only, no chart calculation.</t>
  </si>
  <si>
    <t xml:space="preserve">Apa tujuan program Semarak Rupiah Ramadan dan Berkah Idulfitri (SERAMBI) 2026?</t>
  </si>
  <si>
    <t xml:space="preserve">Menjamin ketersediaan uang Rupiah dalam jumlah yang memadai dan berkualitas di seluruh wilayah NKRI menjelang HBKN Idulfitri 1447 H.</t>
  </si>
  <si>
    <t xml:space="preserve">QA0496</t>
  </si>
  <si>
    <t xml:space="preserve">Apa yang menjadi faktor pendorong melambatnya perekonomian Kalteng di akhir triwulan?</t>
  </si>
  <si>
    <t xml:space="preserve">Melemahnya ekspor luar negeri menjadi faktor pendorong melambatnya perekonomian Kalteng di akhir triwulan.</t>
  </si>
  <si>
    <t xml:space="preserve">Heading text: 'Melemahnya ekspor luar negeri menjadi faktor pendorong melambatnya perekonomian Kalteng di akhir triwulan'.</t>
  </si>
  <si>
    <t xml:space="preserve">Answer matches the page heading exactly.</t>
  </si>
  <si>
    <t xml:space="preserve">QA0497</t>
  </si>
  <si>
    <t xml:space="preserve">Pendapatan Bruto Daerah (PDRB) sektor pertanian pada tahun 2012 berapa?</t>
  </si>
  <si>
    <t xml:space="preserve">27,99</t>
  </si>
  <si>
    <t xml:space="preserve">Instruction-following, Unit, Format</t>
  </si>
  <si>
    <t xml:space="preserve">Tabel 1.1: Pertanian 2012 = 27,99 (% share of PDRB).</t>
  </si>
  <si>
    <t xml:space="preserve">Value correct but is a single-cell lookup (no calculation), bare number without % share unit.</t>
  </si>
  <si>
    <t xml:space="preserve">Berapa pangsa sektor pertanian terhadap PDRB Kalimantan Tengah pada tahun 2012?</t>
  </si>
  <si>
    <t xml:space="preserve">Pangsa sektor pertanian terhadap PDRB Kalimantan Tengah pada tahun 2012 sebesar 27,99%.</t>
  </si>
  <si>
    <t xml:space="preserve">QA0498</t>
  </si>
  <si>
    <t xml:space="preserve">Pendapatan Bruto Daerah (PDRB) pada tahun 2012 berapa?</t>
  </si>
  <si>
    <t xml:space="preserve">100.00</t>
  </si>
  <si>
    <t xml:space="preserve">Tabel 1.1: PDRB 2012 = 100.00 (total of % shares). No chart on page.</t>
  </si>
  <si>
    <t xml:space="preserve">Value is in a table, not a chart; 100.00 is the total share (%), not a PDRB value, so bare answer is misleading.</t>
  </si>
  <si>
    <t xml:space="preserve">Berapa total pangsa PDRB Kalimantan Tengah menurut sektor ekonomi pada tahun 2012 dalam Tabel 1.1?</t>
  </si>
  <si>
    <t xml:space="preserve">Total pangsa PDRB menurut sektor ekonomi pada tahun 2012 adalah 100,00% (Tabel 1.1 menyajikan struktur dalam persen, bukan nilai rupiah).</t>
  </si>
  <si>
    <t xml:space="preserve">QA0499</t>
  </si>
  <si>
    <t xml:space="preserve">Apakah realisasi APBD di triwulan IV mencapai 89,9%?</t>
  </si>
  <si>
    <t xml:space="preserve">Ya, realisasi APBD di triwulan IV mencapai 89,9%.</t>
  </si>
  <si>
    <t xml:space="preserve">Text and Tabel 1.3: Realisasi APBD Prov. Tw IV (2012 Q4) mencapai 89,9% (Rp2,36T), vs 86,53% in the same period 2011.</t>
  </si>
  <si>
    <t xml:space="preserve">Answer is correct, but the value comes from text/Tabel 1.3, not a chart; category label wrong.</t>
  </si>
  <si>
    <t xml:space="preserve">Ya, realisasi APBD Provinsi Kalimantan Tengah di triwulan IV 2012 mencapai 89,9%, lebih tinggi dari 86,53% pada periode yang sama tahun 2011.</t>
  </si>
  <si>
    <t xml:space="preserve">QA0500</t>
  </si>
  <si>
    <t xml:space="preserve">Berapakah realisasi anggaran K/L yang bersumber dari APBN terterap?</t>
  </si>
  <si>
    <t xml:space="preserve">Realisasi anggaran K/L yang bersumber dari APBN terterap sebesar 97,0%.</t>
  </si>
  <si>
    <t xml:space="preserve">Tabel 1.3/text: K/L (APBN) 2012 Q4 realisasi 97,0% (Rp4,74T of pagu Rp4,86T).</t>
  </si>
  <si>
    <t xml:space="preserve">Value correct but it is a single-cell lookup (also in text), not a table calculation; 'terterap' is a typo for 'terserap' and period is missing.</t>
  </si>
  <si>
    <t xml:space="preserve">Berapakah realisasi anggaran K/L yang bersumber dari APBN pada triwulan IV 2012?</t>
  </si>
  <si>
    <t xml:space="preserve">Realisasi anggaran K/L yang bersumber dari APBN pada triwulan IV 2012 sebesar 97,0% atau Rp4,74 triliun.</t>
  </si>
  <si>
    <t xml:space="preserve">QA0501</t>
  </si>
  <si>
    <t xml:space="preserve">Berapa persentase pertumbuhan konsumsi pemerintah?</t>
  </si>
  <si>
    <t xml:space="preserve">Persentase pertumbuhan konsumsi pemerintah mencatat sebesar 10,69%.</t>
  </si>
  <si>
    <t xml:space="preserve">Text: Konsumsi pemerintah di periode laporan mencatat pertumbuhan sebesar 10,69% dengan kontribusi 2,07% (yoy).</t>
  </si>
  <si>
    <t xml:space="preserve">Value 10,69% matches the text exactly; text category correct.</t>
  </si>
  <si>
    <t xml:space="preserve">QA0502</t>
  </si>
  <si>
    <t xml:space="preserve">Apakah pertumbuhan investasi PMTB pada periode III-2011 hingga IV-2012?</t>
  </si>
  <si>
    <t xml:space="preserve">Pertumbuhan investasi PMTB pada periode III-2011 hingga IV-2012 adalah sebesar 10%</t>
  </si>
  <si>
    <t xml:space="preserve">Grafik 1.5 (%yoy): PMTB ~10,9 (III-2011), ~8,6 (II-2012), ~10,5 (III-2012), ~14 (IV-2012).</t>
  </si>
  <si>
    <t xml:space="preserve">Single '10%' does not match the series; values vary and peak ~14% in IV-2012. Question wording 'Apakah ... ?' is garbled.</t>
  </si>
  <si>
    <t xml:space="preserve">Berapa pertumbuhan investasi PMTB pada periode III-2011 hingga IV-2012?</t>
  </si>
  <si>
    <t xml:space="preserve">Pertumbuhan investasi PMTB sekitar 10,9% (III-2011), 8,6% (II-2012), 10,5% (III-2012), dan 14% (yoy) pada IV-2012.</t>
  </si>
  <si>
    <t xml:space="preserve">QA0503</t>
  </si>
  <si>
    <t xml:space="preserve">Berapa realisasi pengadaan semen di Kalteng pada periode IV-2012?</t>
  </si>
  <si>
    <t xml:space="preserve">Realisasi pengadaan semen di Kalteng pada periode IV-2012 sebesar 80,000 ton</t>
  </si>
  <si>
    <t xml:space="preserve">Grafik 1.6: bar realisasi pengadaan semen Tw IV-2012 ~160.000 ton (highest in series).</t>
  </si>
  <si>
    <t xml:space="preserve">IV-2012 bar is ~160,000 ton, not 80,000. Value comes from a chart, not text.</t>
  </si>
  <si>
    <t xml:space="preserve">Realisasi pengadaan semen di Kalteng pada triwulan IV-2012 sekitar 160.000 ton.</t>
  </si>
  <si>
    <t xml:space="preserve">QA0504</t>
  </si>
  <si>
    <t xml:space="preserve">Bagaimana tren pertumbuhan ekspor pada periode IV-2012?</t>
  </si>
  <si>
    <t xml:space="preserve">Tren pertumbuhan ekspor pada periode IV-2012 adalah negatif dan lebih rendah dibandingkan triwulan sebelumnya, dari 10,58% menjadi -2,79% (yoy).</t>
  </si>
  <si>
    <t xml:space="preserve">Text 1.2.3: pertumbuhan ekspor negatif dan lebih rendah dari triwulan sebelumnya, dari 10,58% menjadi -2,79% (yoy).</t>
  </si>
  <si>
    <t xml:space="preserve">Answer is correct but it is stated in the paragraph, not calculated from a chart.</t>
  </si>
  <si>
    <t xml:space="preserve">Pertumbuhan ekspor pada triwulan IV-2012 negatif dan lebih rendah dibandingkan triwulan sebelumnya, dari 10,58% menjadi -2,79% (yoy).</t>
  </si>
  <si>
    <t xml:space="preserve">QA0505</t>
  </si>
  <si>
    <t xml:space="preserve">Apakah ada perubahan dalam nilai ekspor batubara di Kalteng sepanjang tahun 2011-2012?</t>
  </si>
  <si>
    <t xml:space="preserve">Tidak ada penurunan yang signifikan dalam nilai ekspor batubara di Kalteng sepanjang tahun 2011-2012, meskipun ada penurunan yang terlihat pada beberapa periode tertentu.</t>
  </si>
  <si>
    <t xml:space="preserve">Grafik 1.13 batubara (juta US$): ~175 (Tw I-11), ~85 (II), ~100 (III), ~185 (IV), peak ~215 (Tw I-12), ~165, ~80, ~60 (Tw IV-12).</t>
  </si>
  <si>
    <t xml:space="preserve">Value dropped sharply from ~215 to ~60 juta US$ during 2012, so 'no significant decline' is wrong. Evidence is Grafik 1.13, not text.</t>
  </si>
  <si>
    <t xml:space="preserve">Ya. Nilai ekspor batubara Kalteng berfluktuasi: turun pada Tw II-2011, naik hingga puncak sekitar 215 juta US$ pada Tw I-2012, lalu turun tajam hingga sekitar 60 juta US$ pada Tw IV-2012.</t>
  </si>
  <si>
    <t xml:space="preserve">QA0506</t>
  </si>
  <si>
    <t xml:space="preserve">Apakah ada perubahan dalam volume ekspor batubara di Kalteng sepanjang tahun 2011-2012?</t>
  </si>
  <si>
    <t xml:space="preserve">Terdapat penurunan dalam volume ekspor batubara di Kalteng sepanjang tahun 2011-2012, terutama pada periode tertentu.</t>
  </si>
  <si>
    <t xml:space="preserve">Incomplete, Instruction-following</t>
  </si>
  <si>
    <t xml:space="preserve">Grafik 1.14 batubara (ribu ton): ~1.100 (Tw I-11), ~380 (II), ~540 (III), ~1.000 (IV), ~1.450 (Tw I-12), ~1.350, ~500, ~300 (Tw IV-12).</t>
  </si>
  <si>
    <t xml:space="preserve">Answer is vague ('periode tertentu'); volume fell in Tw II-2011, rose to a peak in Tw I-2012, then fell sharply to ~300 ribu ton. Trend question fits Chart-Time-Sensitive.</t>
  </si>
  <si>
    <t xml:space="preserve">Ya. Volume ekspor batubara turun pada Tw II-2011 (~380 ribu ton), naik hingga puncak ~1.450 ribu ton pada Tw I-2012, lalu turun tajam hingga ~300 ribu ton pada Tw IV-2012.</t>
  </si>
  <si>
    <t xml:space="preserve">QA0507</t>
  </si>
  <si>
    <t xml:space="preserve">Apakah ada peningkatan ekspor batubara ke Jepang pada tahun 2012?</t>
  </si>
  <si>
    <t xml:space="preserve">Ekspor batubara ke Jepang pada tahun 2012 meningkat menjadi 29,2% dari total ekspor batubara Kalteng, meskipun masih lebih rendah dibandingkan dengan 38,1% pada tahun 2011.</t>
  </si>
  <si>
    <t xml:space="preserve">Text: kontribusi ekspor ke Jepang 38,1% (2011) turun menjadi 29,2% (2012 Jan-Sep).</t>
  </si>
  <si>
    <t xml:space="preserve">Share to Jepang decreased (38,1% -&gt; 29,2%), answer says 'meningkat' (self-contradictory). Data from text, not chart calculation.</t>
  </si>
  <si>
    <t xml:space="preserve">Tidak. Kontribusi ekspor batubara ke Jepang turun dari 38,1% pada tahun 2011 menjadi 29,2% dari total ekspor batubara Kalteng pada tahun 2012 (Jan-Sep).</t>
  </si>
  <si>
    <t xml:space="preserve">QA0508</t>
  </si>
  <si>
    <t xml:space="preserve">Apakah pertumbuhan sektor pertanian di Kalimantan Tengah pada periode IV-2012?</t>
  </si>
  <si>
    <t xml:space="preserve">2,88%</t>
  </si>
  <si>
    <t xml:space="preserve">Text 1.3.1: laju pertumbuhan sektor pertanian melambat pada level 2,88% di triwulan IV; Tabel 1.4 Pertanian IV-12 = 2.88.</t>
  </si>
  <si>
    <t xml:space="preserve">Answer 2,88% matches text. 'Apakah' is awkward for 'Berapa' but understandable.</t>
  </si>
  <si>
    <t xml:space="preserve">QA0509</t>
  </si>
  <si>
    <t xml:space="preserve">Berapa persentase penurunan produksi padi di Kalimantan Tengah pada periode IV-2012?</t>
  </si>
  <si>
    <t xml:space="preserve">60%</t>
  </si>
  <si>
    <t xml:space="preserve">Text: padi from Kapuas, Pulang Pisau, Sukamara = 60% of total 640.414 ton; produksi padi 2012 naik 43.678 ton (7,16%). No decline % given; no chart.</t>
  </si>
  <si>
    <t xml:space="preserve">60% is the three regencies' share of total rice output, not a decline. Page gives no decline %; annual 2012 output rose 7,16%. Evidence is text, not chart.</t>
  </si>
  <si>
    <t xml:space="preserve">Bagaimana perkembangan produksi padi Kalimantan Tengah tahun 2012?</t>
  </si>
  <si>
    <t xml:space="preserve">Produksi padi 2012 diperkirakan meningkat 43.678 ton (7,16%) dari 610.236 ton pada 2011 menjadi sekitar 640.414 ton, meskipun pada triwulan IV produksi mulai menurun setelah puncak panen.</t>
  </si>
  <si>
    <t xml:space="preserve">QA0510</t>
  </si>
  <si>
    <t xml:space="preserve">Berdasarkan tabel, sektor mana yang memiliki kontribusi terbesar terhadap PDRB?</t>
  </si>
  <si>
    <t xml:space="preserve">Pertanian</t>
  </si>
  <si>
    <t xml:space="preserve">Tabel 1.4 Kontribusi IV-12: Pertambangan 1.58, Perdagangan 1.47, Keuangan 0.82, Pertanian 0.79. Pertanian largest only in III-11 (2.29), III-12 (1.98).</t>
  </si>
  <si>
    <t xml:space="preserve">For the report period (Tw IV-2012) the largest contribution is Pertambangan dan penggalian (1,58), not Pertanian. Period missing; ranking from table is Comparison, not Chart calculation.</t>
  </si>
  <si>
    <t xml:space="preserve">Berdasarkan tabel, sektor mana yang memiliki kontribusi terbesar terhadap pertumbuhan PDRB pada triwulan IV-2012?</t>
  </si>
  <si>
    <t xml:space="preserve">Sektor pertambangan dan penggalian, dengan kontribusi 1,58%, diikuti perdagangan, hotel dan restoran (1,47%).</t>
  </si>
  <si>
    <t xml:space="preserve">QA0511</t>
  </si>
  <si>
    <t xml:space="preserve">Berapa persentase total aset perbankan di Kota Palangka Raya?</t>
  </si>
  <si>
    <t xml:space="preserve">34,0%</t>
  </si>
  <si>
    <t xml:space="preserve">Text para 1: di Kota Palangka Raya tersebar sebanyak 34,0% aset perbankan atau Rp7,16 triliun.</t>
  </si>
  <si>
    <t xml:space="preserve">Value 34,0% matches the text.</t>
  </si>
  <si>
    <t xml:space="preserve">QA0512</t>
  </si>
  <si>
    <t xml:space="preserve">Berapakah total aset perbankan di Kota Palangka Raya?</t>
  </si>
  <si>
    <t xml:space="preserve">Rp 7,16 triliun</t>
  </si>
  <si>
    <t xml:space="preserve">Text para 1: 34,0% aset perbankan atau sebesar Rp7,16 triliun di Kota Palangka Raya. No chart.</t>
  </si>
  <si>
    <t xml:space="preserve">Value correct but it comes from running text; page has no chart.</t>
  </si>
  <si>
    <t xml:space="preserve">Total aset perbankan di Kota Palangka Raya sebesar Rp7,16 triliun (34,0% dari aset perbankan Kalteng).</t>
  </si>
  <si>
    <t xml:space="preserve">QA0513</t>
  </si>
  <si>
    <t xml:space="preserve">Berapa persentase aset perbankan di Kabupaten Kotawaringin Barat?</t>
  </si>
  <si>
    <t xml:space="preserve">9,0%</t>
  </si>
  <si>
    <t xml:space="preserve">Text para 1: Kabupaten Kotawaringin Barat (9,0%). No chart.</t>
  </si>
  <si>
    <t xml:space="preserve">Value correct, but it's a text lookup, not a chart calculation.</t>
  </si>
  <si>
    <t xml:space="preserve">9,0% aset perbankan Kalteng tersebar di Kabupaten Kotawaringin Barat.</t>
  </si>
  <si>
    <t xml:space="preserve">QA0514</t>
  </si>
  <si>
    <t xml:space="preserve">Apakah tren pertumbuhan kredit pertanian dalam setahun terakhir?</t>
  </si>
  <si>
    <t xml:space="preserve">Tren pertumbuhan kredit pertanian dalam setahun terakhir menunjukkan penurunan.</t>
  </si>
  <si>
    <t xml:space="preserve">Text: pangsa kredit pertanian menunjukkan tren menurun dalam setahun terakhir; kredit investasi melambat sejalan dengan laju pertumbuhan kredit sektor pertanian.</t>
  </si>
  <si>
    <t xml:space="preserve">Text supports a declining/slowing trend for agricultural credit over the last year.</t>
  </si>
  <si>
    <t xml:space="preserve">QA0515</t>
  </si>
  <si>
    <t xml:space="preserve">Berdasarkan Grafik 3.5, apakah pertumbuhan kredit sektor ekonomi utama (yoy) berada dalam tren yang sama dengan pertumbuhan kredit sektor pertanian?</t>
  </si>
  <si>
    <t xml:space="preserve">Tidak, pertumbuhan kredit sektor ekonomi utama (yoy) berada dalam tren yang berbeda dengan pertumbuhan kredit sektor pertanian.</t>
  </si>
  <si>
    <t xml:space="preserve">Grafik 3.5 legend shows only KMK, KK, Pertumbuhan (%yoy); no agricultural-sector series is identified in the chart.</t>
  </si>
  <si>
    <t xml:space="preserve">Premise compares a 'sektor pertanian' series in Grafik 3.5 that does not exist; answer cannot be verified from the chart.</t>
  </si>
  <si>
    <t xml:space="preserve">QA0516</t>
  </si>
  <si>
    <t xml:space="preserve">Berapakah total kredit sektor pertanian pada periode 2012?</t>
  </si>
  <si>
    <t xml:space="preserve">4,762,938 juta</t>
  </si>
  <si>
    <t xml:space="preserve">Tabel 3.4 (Rp juta), Pertanian Total Kredit = 4.762.938.</t>
  </si>
  <si>
    <t xml:space="preserve">Value correct but it comes from Tabel 3.4 (a table total lookup), not a chart; answer uses English thousand separators and omits 'Rp'.</t>
  </si>
  <si>
    <t xml:space="preserve">Berdasarkan Tabel 3.4, berapakah total kredit sektor pertanian di Kalteng pada triwulan IV-2012?</t>
  </si>
  <si>
    <t xml:space="preserve">Rp4.762.938 juta.</t>
  </si>
  <si>
    <t xml:space="preserve">QA0517</t>
  </si>
  <si>
    <t xml:space="preserve">Banyaknya kredit yang dikelola oleh UMKM di periode IV-2012 sebesar Rp 3,38 triliun</t>
  </si>
  <si>
    <t xml:space="preserve">Text: penyaluran kredit UMKM pada triwulan IV-2012 tercatat sebesar Rp3,38 triliun.</t>
  </si>
  <si>
    <t xml:space="preserve">Answer correct, but the 'question' is a declarative statement that already contains the answer; UMKM credit is 'disalurkan', not 'dikelola'.</t>
  </si>
  <si>
    <t xml:space="preserve">QA0518</t>
  </si>
  <si>
    <t xml:space="preserve">Jumlah kredit UMKM pada periode IV-2012 mencapai 3,387 triliun</t>
  </si>
  <si>
    <t xml:space="preserve">Periode IV-2012 mencapai 3,387,553 triliun</t>
  </si>
  <si>
    <t xml:space="preserve">Unit, Factual/Numerical, Instruction-following, Typo/Grammar</t>
  </si>
  <si>
    <t xml:space="preserve">Tabel 3.5 total kredit UMKM Tw IV-2012 = 3,387,552 (Rp juta); text: Rp3,38 triliun. No chart.</t>
  </si>
  <si>
    <t xml:space="preserve">Answer '3,387,553 triliun' misreads last digit and uses wrong unit (value is Rp juta = ~Rp3,39 triliun). Statement not a question; no chart on page.</t>
  </si>
  <si>
    <t xml:space="preserve">Berapa jumlah kredit UMKM pada triwulan IV-2012?</t>
  </si>
  <si>
    <t xml:space="preserve">Rp3.387.552 juta atau sekitar Rp3,38 triliun.</t>
  </si>
  <si>
    <t xml:space="preserve">QA0519</t>
  </si>
  <si>
    <t xml:space="preserve">Jumlah kredit modal kerja pada periode IV-2012 mencapai 2,551,372 triliun</t>
  </si>
  <si>
    <t xml:space="preserve">2,551,372 triliun</t>
  </si>
  <si>
    <t xml:space="preserve">Factual/Numerical, Unit, Instruction-following, Typo/Grammar</t>
  </si>
  <si>
    <t xml:space="preserve">Tabel 3.5: Modal Kerja Tw IV-2012 = 2,601,996 (Rp juta); 2,551,372 is total kredit UMKM Tw III-2011.</t>
  </si>
  <si>
    <t xml:space="preserve">Wrong cell (2,551,372 = total Tw III-2011) and wrong unit (Rp juta, not triliun). Pure table lookup, no chart/calculation; statement not a question.</t>
  </si>
  <si>
    <t xml:space="preserve">Berapa jumlah kredit modal kerja UMKM pada triwulan IV-2012?</t>
  </si>
  <si>
    <t xml:space="preserve">Rp2.601.996 juta (sekitar Rp2,60 triliun).</t>
  </si>
  <si>
    <t xml:space="preserve">QA0520</t>
  </si>
  <si>
    <t xml:space="preserve">Apakah BI melakukan kegiatan Pemberian Tanda Tidak Berharga (PTTB) terhadap uang yang tidak layak edar?</t>
  </si>
  <si>
    <t xml:space="preserve">Ya, BI melakukan kegiatan Pemberian Tanda Tidak Berharga (PTTB) terhadap uang yang tidak layak edar.</t>
  </si>
  <si>
    <t xml:space="preserve">Text 3.2.1.1: BI melakukan kegiatan Pemberian Tanda Tidak Berharga (PTTB) terhadap uang yang tidak layak edar.</t>
  </si>
  <si>
    <t xml:space="preserve">Correct, stated in the paragraph.</t>
  </si>
  <si>
    <t xml:space="preserve">QA0521</t>
  </si>
  <si>
    <t xml:space="preserve">Berapa jumlah uang kartal yang dimusnahkan?</t>
  </si>
  <si>
    <t xml:space="preserve">Jumlah uang kartal yang dimusnahkan sebesar Rp8,91 miliar atau lebih banyak 69,43% dibandingkan periode tahun lalu (yoy).</t>
  </si>
  <si>
    <t xml:space="preserve">Text: Jumlah uang kartal yang dimusnahkan sebesar Rp8,91 miliar atau lebih banyak 69,43% (yoy).</t>
  </si>
  <si>
    <t xml:space="preserve">The answer matches the text, but it is a text lookup, not a chart calculation.</t>
  </si>
  <si>
    <t xml:space="preserve">QA0522</t>
  </si>
  <si>
    <t xml:space="preserve">Bagaimana persentase PTTB terhadap inflow?</t>
  </si>
  <si>
    <t xml:space="preserve">Persentase PTTB terhadap inflow sebesar 3,78%, yang menggambarkan bahwa hanya 3,78% dari seluruh uang yang disetorkan kembali ke Bank Indonesia dinyatakan tidak layak edar.</t>
  </si>
  <si>
    <t xml:space="preserve">Text: Rasio PTTB terhadap inflow sebesar 3,78%; hanya 3,78% dari uang yang disetorkan kembali ke BI dinyatakan tidak layak edar.</t>
  </si>
  <si>
    <t xml:space="preserve">The value is correct but it comes from the text, not read from the chart.</t>
  </si>
  <si>
    <t xml:space="preserve">Persentase PTTB terhadap inflow sebesar 3,78%, artinya hanya 3,78% dari seluruh uang yang disetorkan kembali ke Bank Indonesia dinyatakan tidak layak edar.</t>
  </si>
  <si>
    <t xml:space="preserve">QA0523</t>
  </si>
  <si>
    <t xml:space="preserve">Apakah total APBD Kalimantan Tengah pada Tahun Anggaran (TA) 2012 mencapai Rp11,6 triliun?</t>
  </si>
  <si>
    <t xml:space="preserve">Ya</t>
  </si>
  <si>
    <t xml:space="preserve">Text: Total APBD Kalimantan Tengah TA 2012 mencapai Rp11,6 triliun.</t>
  </si>
  <si>
    <t xml:space="preserve">Verified in paragraph 4.1.</t>
  </si>
  <si>
    <t xml:space="preserve">QA0524</t>
  </si>
  <si>
    <t xml:space="preserve">Bagaimana kenaikan APBD Kalimantan Tengah dari TA 2011 ke TA 2012?</t>
  </si>
  <si>
    <t xml:space="preserve">Kenaikan APBD Kalimantan Tengah dari TA 2011 ke TA 2012 mencapai 14,8%.</t>
  </si>
  <si>
    <t xml:space="preserve">Text: APBD TA 2012 Rp11,6 triliun, naik 14,8% dibandingkan tahun 2011.</t>
  </si>
  <si>
    <t xml:space="preserve">Answer 14,8% is correct but it comes from text; page has no chart.</t>
  </si>
  <si>
    <t xml:space="preserve">Kenaikan APBD Kalimantan Tengah dari TA 2011 ke TA 2012 mencapai 14,8%, menjadi Rp11,6 triliun.</t>
  </si>
  <si>
    <t xml:space="preserve">QA0525</t>
  </si>
  <si>
    <t xml:space="preserve">Apakah APBD Kalimantan Tengah TA 2012 mencapai total belanja Rp11,6 triliun?</t>
  </si>
  <si>
    <t xml:space="preserve">Text: belanja ditargetkan Rp11,6 triliun; Tabel 4.1 Total Belanja 2012 = 11.603.391 juta.</t>
  </si>
  <si>
    <t xml:space="preserve">Answer 'Ya' is correct, but no chart and no calculation; it is a text lookup.</t>
  </si>
  <si>
    <t xml:space="preserve">Ya, total belanja APBD Kalimantan Tengah TA 2012 ditargetkan mencapai Rp11,6 triliun (Rp11.603.391 juta).</t>
  </si>
  <si>
    <t xml:space="preserve">QA0526</t>
  </si>
  <si>
    <t xml:space="preserve">Apakah tingkat kesejahteraan petani di Kalimantan Tengah pada triwulan IV 2012 lebih rendah dibandingkan triwulan sebelumnya?</t>
  </si>
  <si>
    <t xml:space="preserve">Ya, tingkat kesejahteraan petani di Kalimantan Tengah pada triwulan IV 2012 lebih rendah dibandingkan triwulan sebelumnya.</t>
  </si>
  <si>
    <t xml:space="preserve">Text: kesejahteraan petani pada triwulan IV terindikasi lebih menurun dibandingkan triwulan sebelumnya.</t>
  </si>
  <si>
    <t xml:space="preserve">Correct yes/no answer stated in text.</t>
  </si>
  <si>
    <t xml:space="preserve">QA0527</t>
  </si>
  <si>
    <t xml:space="preserve">Berapakah indeks NTP pada Desember 2012?</t>
  </si>
  <si>
    <t xml:space="preserve">Indeks NTP pada Desember 2012 mencapai 98,66.</t>
  </si>
  <si>
    <t xml:space="preserve">Text and Tabel 5.2: Nilai Tukar Petani Des-12 = 98,66.</t>
  </si>
  <si>
    <t xml:space="preserve">Value correct but it comes from text/table, not a chart.</t>
  </si>
  <si>
    <t xml:space="preserve">Indeks NTP pada Desember 2012 tercatat sebesar 98,66.</t>
  </si>
  <si>
    <t xml:space="preserve">QA0528</t>
  </si>
  <si>
    <t xml:space="preserve">Berapa persentase penurunan jumlah penduduk miskin di Kalimantan Tengah dalam 10 tahun terakhir?</t>
  </si>
  <si>
    <t xml:space="preserve">Persentase penurunan jumlah penduduk miskin di Kalimantan Tengah dalam 10 tahun terakhir sebesar 0,54% setiap tahunnya.</t>
  </si>
  <si>
    <t xml:space="preserve">Text: persentase penduduk miskin di Kalteng terus menurun dengan rata-rata penurunan sebesar 0,54% setiap tahunnya (10 tahun terakhir).</t>
  </si>
  <si>
    <t xml:space="preserve">Answer correct but evidence is running text, not a chart.</t>
  </si>
  <si>
    <t xml:space="preserve">Dalam 10 tahun terakhir persentase penduduk miskin di Kalimantan Tengah turun rata-rata 0,54% setiap tahunnya.</t>
  </si>
  <si>
    <t xml:space="preserve">QA0529</t>
  </si>
  <si>
    <t xml:space="preserve">Buku apa yang memberikan inspirasi untuk penulis?</t>
  </si>
  <si>
    <t xml:space="preserve">Buku </t>
  </si>
  <si>
    <t xml:space="preserve">'Inspirasi': books by Boediono (Ekonomi Indonesia: Dalam Lintasan Sejarah), Radius Prawiro (Pergulatan Indonesia Membangun Ekonomi), J. Soedradjad Djiwandono, Bacelius Ruru.</t>
  </si>
  <si>
    <t xml:space="preserve">Question is answerable from the Inspirasi box, but the answer is just 'Buku' with no title.</t>
  </si>
  <si>
    <t xml:space="preserve">Penulis terinspirasi oleh buku Bapak Boediono (Ekonomi Indonesia: Dalam Lintasan Sejarah), Bapak Radius Prawiro (Pergulatan Indonesia Membangun Ekonomi: Pragmatisme Dalam Aksi), autobiografi Bapak J. Soedradjad Djiwandono (Mensyukuri Pasang Surutnya Hidup), dan Bapak Bacelius Ruru (Tiga Dekade Perjalanan Karier).</t>
  </si>
  <si>
    <t xml:space="preserve">QA0530</t>
  </si>
  <si>
    <t xml:space="preserve">Buku apa yang membahas tentang pertumbuhan ekonomi Indonesia?</t>
  </si>
  <si>
    <t xml:space="preserve">'Inspirasi' lists Boediono 'Ekonomi Indonesia: Dalam Lintasan Sejarah' and Radius Prawiro 'Pergulatan Indonesia Membangun Ekonomi'. No chart.</t>
  </si>
  <si>
    <t xml:space="preserve">Answer 'Buku' gives no title; evidence is text, not a chart. Titles about the Indonesian economy are on the page.</t>
  </si>
  <si>
    <t xml:space="preserve">Buku apa dalam bagian Inspirasi yang judulnya membahas ekonomi Indonesia?</t>
  </si>
  <si>
    <t xml:space="preserve">Buku Bapak Boediono 'Ekonomi Indonesia: Dalam Lintasan Sejarah' dan buku Bapak Radius Prawiro 'Pergulatan Indonesia Membangun Ekonomi: Pragmatisme Dalam Aksi'.</t>
  </si>
  <si>
    <t xml:space="preserve">QA0531</t>
  </si>
  <si>
    <t xml:space="preserve">Berapa tahun yang ditulis dalam dokumen ini?</t>
  </si>
  <si>
    <t xml:space="preserve">2025</t>
  </si>
  <si>
    <t xml:space="preserve">Footer: 'DES 2025', page 9. No chart or calculation.</t>
  </si>
  <si>
    <t xml:space="preserve">2025 is correct (edition Des 2025) but it is a text lookup, not a chart calculation; question wording is awkward.</t>
  </si>
  <si>
    <t xml:space="preserve">Dokumen ini merupakan edisi bulan dan tahun berapa?</t>
  </si>
  <si>
    <t xml:space="preserve">Edisi Desember 2025.</t>
  </si>
  <si>
    <t xml:space="preserve">QA0532</t>
  </si>
  <si>
    <t xml:space="preserve">Bulan mana jumlah penyelenggara ITSK terdaftar mencapai puncak?</t>
  </si>
  <si>
    <t xml:space="preserve">Bulan Juni 2025</t>
  </si>
  <si>
    <t xml:space="preserve">Terdaftar bars peak at 30 in Jun 2025 (Jan 17 ... Mei 29, Jun 30).</t>
  </si>
  <si>
    <t xml:space="preserve">June 2025 is the peak of registered ITSK providers in the chart.</t>
  </si>
  <si>
    <t xml:space="preserve">QA0533</t>
  </si>
  <si>
    <t xml:space="preserve">Total aset penyelenggara ITSK terdaftar pada bulan Januari 2025 sebesar berapa?</t>
  </si>
  <si>
    <t xml:space="preserve">379,47 Miliar</t>
  </si>
  <si>
    <t xml:space="preserve">Total Aset chart Jan 2025 (Rp Miliar): PKA 379,47; PAJK 106,27 (sum 485,74).</t>
  </si>
  <si>
    <t xml:space="preserve">379,47 is only the PKA series; the chart has two series and the answer omits PAJK/label. It is a direct read, not a calculation.</t>
  </si>
  <si>
    <t xml:space="preserve">Berapa total aset penyelenggara ITSK terdaftar (PKA dan PAJK) pada bulan Januari 2025?</t>
  </si>
  <si>
    <t xml:space="preserve">Pada Januari 2025 total aset PKA terdaftar Rp379,47 miliar dan PAJK terdaftar Rp106,27 miliar (gabungan Rp485,74 miliar).</t>
  </si>
  <si>
    <t xml:space="preserve">QA0534</t>
  </si>
  <si>
    <t xml:space="preserve">Jumlah penyelenggara ITSK terdaftar pada bulan Mei 2025 sebanyak berapa?</t>
  </si>
  <si>
    <t xml:space="preserve">47</t>
  </si>
  <si>
    <t xml:space="preserve">Chart May 2025: Jumlah Permohonan 47, Terdaftar 29 (PAJK 19, PKA 10).</t>
  </si>
  <si>
    <t xml:space="preserve">47 is the number of applications, not registered providers (29). Value comes from the bar chart, not text; bare number.</t>
  </si>
  <si>
    <t xml:space="preserve">Jumlah penyelenggara ITSK terdaftar pada Mei 2025 sebanyak 29 (19 PAJK dan 10 PKA).</t>
  </si>
  <si>
    <t xml:space="preserve">QA0535</t>
  </si>
  <si>
    <t xml:space="preserve">Banyaknya pengguna PAJK terdaftar di provinsi apa yang memiliki jumlah pengguna tertinggi?</t>
  </si>
  <si>
    <t xml:space="preserve">DKI Jakarta</t>
  </si>
  <si>
    <t xml:space="preserve">Text: provinsi dengan jumlah pengguna terbanyak berada di DKI Jakarta (3.276.235 pengguna).</t>
  </si>
  <si>
    <t xml:space="preserve">Correct and stated in the paragraph.</t>
  </si>
  <si>
    <t xml:space="preserve">QA0536</t>
  </si>
  <si>
    <t xml:space="preserve">Seberapa banyak pengguna PAJK terdaftar di Jawa Tengah berbanding dengan Jawa Timur?</t>
  </si>
  <si>
    <t xml:space="preserve">Jawa Tengah memiliki 843,367 pengguna, sedangkan Jawa Timur memiliki 1.409.364 pengguna</t>
  </si>
  <si>
    <t xml:space="preserve">Bar chart: Jawa Tengah 843.367 (5%), Jawa Timur 1.409.364 (9%).</t>
  </si>
  <si>
    <t xml:space="preserve">Both values read correctly from the chart.</t>
  </si>
  <si>
    <t xml:space="preserve">QA0537</t>
  </si>
  <si>
    <t xml:space="preserve">Berapa persentase pengguna PAJK terdaftar di DKI Jakarta?</t>
  </si>
  <si>
    <t xml:space="preserve">20%</t>
  </si>
  <si>
    <t xml:space="preserve">Bar chart label and text: DKI Jakarta 3.276.235 (20%).</t>
  </si>
  <si>
    <t xml:space="preserve">20% is correct but it is read directly from the chart/text, no calculation.</t>
  </si>
  <si>
    <t xml:space="preserve">Persentase pengguna PAJK terdaftar di DKI Jakarta sebesar 20% dari total pengguna (November 2025).</t>
  </si>
  <si>
    <t xml:space="preserve">QA0538</t>
  </si>
  <si>
    <t xml:space="preserve">Banyaknya tenaga kerja penyelelengara ITSK yang terdaftar pada periode November 2025?</t>
  </si>
  <si>
    <t xml:space="preserve">117</t>
  </si>
  <si>
    <t xml:space="preserve">Incomplete, Factual/Numerical, Typo/Grammar</t>
  </si>
  <si>
    <t xml:space="preserve">Nov 2025: PKA terdaftar 117, PAJK terdaftar 445 (total 562).</t>
  </si>
  <si>
    <t xml:space="preserve">Question asks total ITSK workforce without specifying type; 117 is only PKA. Total of both types is 562. Typo 'penyelelengara'.</t>
  </si>
  <si>
    <t xml:space="preserve">Berapa jumlah tenaga kerja penyelenggara ITSK jenis PKA yang terdaftar pada periode November 2025?</t>
  </si>
  <si>
    <t xml:space="preserve">Pada November 2025, tenaga kerja penyelenggara ITSK jenis PKA yang terdaftar sebanyak 117 (sementara jenis PAJK sebanyak 445, sehingga total 562).</t>
  </si>
  <si>
    <t xml:space="preserve">QA0539</t>
  </si>
  <si>
    <t xml:space="preserve">Jumlah tenaga kerja penyelelengara ITSK jenis PJK pada periode November 2025?</t>
  </si>
  <si>
    <t xml:space="preserve">445</t>
  </si>
  <si>
    <t xml:space="preserve">Side text: 'Pada periode November 2025, total tenaga kerja penyelenggara ITSK jenis PAJK sebanyak 445.'</t>
  </si>
  <si>
    <t xml:space="preserve">Value 445 correct and stated in text, but question names type 'PJK' instead of PAJK and answer is a bare number.</t>
  </si>
  <si>
    <t xml:space="preserve">Berapa jumlah tenaga kerja penyelenggara ITSK jenis PAJK pada periode November 2025?</t>
  </si>
  <si>
    <t xml:space="preserve">Pada periode November 2025, total tenaga kerja penyelenggara ITSK jenis PAJK sebanyak 445.</t>
  </si>
  <si>
    <t xml:space="preserve">QA0540</t>
  </si>
  <si>
    <t xml:space="preserve">Total pedagang aset keuangan digital (PAKD) pada periode Desember 2025?</t>
  </si>
  <si>
    <t xml:space="preserve">25</t>
  </si>
  <si>
    <t xml:space="preserve">Instruction-following, Format</t>
  </si>
  <si>
    <t xml:space="preserve">Table titled '25 Pedagang Aset Keuangan Digital (PAKD)' with 25 rows; bulletin edition Des 2025.</t>
  </si>
  <si>
    <t xml:space="preserve">Answer 25 is correct, but the source is a table (count of rows/title), not a chart; answer is a bare number.</t>
  </si>
  <si>
    <t xml:space="preserve">Terdapat 25 Pedagang Aset Keuangan Digital (PAKD) pada edisi Desember 2025.</t>
  </si>
  <si>
    <t xml:space="preserve">QA0541</t>
  </si>
  <si>
    <t xml:space="preserve">Berapa jumlah DAK yang diperdagangkan pada bulan November 2025?</t>
  </si>
  <si>
    <t xml:space="preserve">1.347</t>
  </si>
  <si>
    <t xml:space="preserve">Text/headline: 1.347 Aset Kripto yang dapat diperdagangkan (DAK), naik dari 1.301 via 2 SK CFX in November 2025.</t>
  </si>
  <si>
    <t xml:space="preserve">1.347 is correct but comes from text/headline, not a chart, and it is not a time-series trend; bare number without unit.</t>
  </si>
  <si>
    <t xml:space="preserve">Pada November 2025 terdapat 1.347 aset kripto dalam Daftar Aset Kripto (DAK), naik dari 1.301.</t>
  </si>
  <si>
    <t xml:space="preserve">QA0542</t>
  </si>
  <si>
    <t xml:space="preserve">Berapakah jumlah DAK yang diperdagangkan pada bulan Agustus 2025?</t>
  </si>
  <si>
    <t xml:space="preserve">45,22 DAK</t>
  </si>
  <si>
    <t xml:space="preserve">Page gives DAK count only as of Nov 2025 (1.301 -&gt; 1.347). 45,22 is August transaction value (Grafik), not DAK count.</t>
  </si>
  <si>
    <t xml:space="preserve">The number of DAK in August 2025 is not on the page; the answer reuses the August transaction value with a wrong unit ('DAK').</t>
  </si>
  <si>
    <t xml:space="preserve">QA0543</t>
  </si>
  <si>
    <r>
      <rPr>
        <sz val="10"/>
        <rFont val="Arial"/>
        <family val="0"/>
        <charset val="1"/>
      </rPr>
      <t xml:space="preserve">Berapakah nilai transaksi</t>
    </r>
    <r>
      <rPr>
        <sz val="10"/>
        <rFont val="Noto Sans CJK SC"/>
        <family val="2"/>
      </rPr>
      <t xml:space="preserve">资产 </t>
    </r>
    <r>
      <rPr>
        <sz val="10"/>
        <rFont val="Arial"/>
        <family val="0"/>
        <charset val="1"/>
      </rPr>
      <t xml:space="preserve">kripto pada bulan Oktober 2025?</t>
    </r>
  </si>
  <si>
    <t xml:space="preserve">49,29</t>
  </si>
  <si>
    <t xml:space="preserve">Grafik Nilai Transaksi Aset Kripto: Okt 2025 = 49,29 (monthly values sum to Rp449,53 triliun Ytd per text).</t>
  </si>
  <si>
    <r>
      <rPr>
        <sz val="10"/>
        <rFont val="Arial"/>
        <family val="0"/>
        <charset val="1"/>
      </rPr>
      <t xml:space="preserve">Value 49,29 is correct, but question contains Chinese characters ('</t>
    </r>
    <r>
      <rPr>
        <sz val="10"/>
        <rFont val="Noto Sans CJK SC"/>
        <family val="2"/>
      </rPr>
      <t xml:space="preserve">资产</t>
    </r>
    <r>
      <rPr>
        <sz val="10"/>
        <rFont val="Arial"/>
        <family val="0"/>
        <charset val="1"/>
      </rPr>
      <t xml:space="preserve">') and answer lacks unit (Rp triliun).</t>
    </r>
  </si>
  <si>
    <t xml:space="preserve">Berapakah nilai transaksi aset kripto pada bulan Oktober 2025?</t>
  </si>
  <si>
    <t xml:space="preserve">Rp49,29 triliun.</t>
  </si>
  <si>
    <t xml:space="preserve">QA0544</t>
  </si>
  <si>
    <t xml:space="preserve">Apakah Indonesia masuk dalam peringkat Top 3 Global Islamic Economy 2024?</t>
  </si>
  <si>
    <t xml:space="preserve">Ya, Indonesia masuk dalam peringkat Top 3 Global Islamic Economy 2024.</t>
  </si>
  <si>
    <t xml:space="preserve">Text: Indonesia mempertahankan posisinya di peringkat Top 3 Global Islamic Economy 2024.</t>
  </si>
  <si>
    <t xml:space="preserve">Correct yes/no answer from text.</t>
  </si>
  <si>
    <t xml:space="preserve">QA0545</t>
  </si>
  <si>
    <t xml:space="preserve">Berapa jumlah investasi halal tertinggi yang ditempati Indonesia?</t>
  </si>
  <si>
    <t xml:space="preserve">Indonesia mencapai US$ 1,6 miliar sebagai investasi halal tertinggi.</t>
  </si>
  <si>
    <t xml:space="preserve">Text: mencatat investasi halal tertinggi di dunia yaitu senilai US$ 1,6 miliar.</t>
  </si>
  <si>
    <t xml:space="preserve">Value correct but it is in running text, not a chart; question wording slightly awkward.</t>
  </si>
  <si>
    <t xml:space="preserve">Berapa nilai investasi halal Indonesia yang tercatat tertinggi di dunia?</t>
  </si>
  <si>
    <t xml:space="preserve">Investasi halal Indonesia senilai US$1,6 miliar, tertinggi di dunia.</t>
  </si>
  <si>
    <t xml:space="preserve">QA0546</t>
  </si>
  <si>
    <t xml:space="preserve">Peningkatan ekosistem fintech syariah di Indonesia sebesar berapa?</t>
  </si>
  <si>
    <t xml:space="preserve">Peningkatan ekosistem fintech syariah di Indonesia sebesar 306 Miliar USD pada tahun 2028 dengan CAGR 13,6%.</t>
  </si>
  <si>
    <t xml:space="preserve">Chart note: Pasar fintech syariah dunia diproyeksikan tumbuh menjadi 306 Miliar USD pada tahun 2028 CAGR 13,6%.</t>
  </si>
  <si>
    <t xml:space="preserve">306 miliar USD / CAGR 13,6% refers to the global fintech syariah market, not Indonesia; no calculation involved.</t>
  </si>
  <si>
    <t xml:space="preserve">Berapa proyeksi nilai pasar fintech syariah dunia pada tahun 2028?</t>
  </si>
  <si>
    <t xml:space="preserve">Pasar fintech syariah dunia diproyeksikan mencapai 306 miliar USD pada tahun 2028 dengan CAGR 13,6%.</t>
  </si>
  <si>
    <t xml:space="preserve">QA0547</t>
  </si>
  <si>
    <t xml:space="preserve">Apakah sektor pertanian yang menjadi sektor utama pembangunan ekonomi di Provinsi Maluku Utara?</t>
  </si>
  <si>
    <t xml:space="preserve">Ya, sektor pertanian menjadi sektor utama pembangunan ekonomi di Provinsi Maluku Utara.</t>
  </si>
  <si>
    <t xml:space="preserve">Text: pembangunan ekonomi di provinsi ini sebagian besar ditopang oleh sektor pertanian (lebih dari setengah tenaga kerja; sumbangan 24,84% PDRB).</t>
  </si>
  <si>
    <t xml:space="preserve">Correct and directly supported by the text.</t>
  </si>
  <si>
    <t xml:space="preserve">QA0548</t>
  </si>
  <si>
    <t xml:space="preserve">Berapakah persentase pertumbuhan PDRB di Provinsi Maluku Utara pada tahun 2012?</t>
  </si>
  <si>
    <t xml:space="preserve">Persentase pertumbuhan PDRB di Provinsi Maluku Utara pada tahun 2012 adalah 6,98%.</t>
  </si>
  <si>
    <t xml:space="preserve">Tabel 1, row PDRB, 2012 = 6,98%.</t>
  </si>
  <si>
    <t xml:space="preserve">Answer correct, but it is a single-cell table lookup, not a numerical calculation (no exact label exists; table label kept).</t>
  </si>
  <si>
    <t xml:space="preserve">Laju pertumbuhan PDRB Maluku Utara pada tahun 2012 adalah 6,98% (Tabel 1).</t>
  </si>
  <si>
    <t xml:space="preserve">QA0549</t>
  </si>
  <si>
    <t xml:space="preserve">Berapakah jumlah tenaga kerja yang bekerja per sektor pada tahun 2012?</t>
  </si>
  <si>
    <t xml:space="preserve">Jumlah tenaga kerja yang bekerja per sektor pada tahun 2012 tidak disebutkan dalam dokumen.</t>
  </si>
  <si>
    <t xml:space="preserve">Page only mentions 'jumlah tenaga kerja per sektor' as an indicator and that pertanian has &gt;half of labour share; no employment figures or chart for 2012.</t>
  </si>
  <si>
    <t xml:space="preserve">Asked data (employment per sector 2012) and the claimed chart are absent; answer is a non-answer. Not answerable from page.</t>
  </si>
  <si>
    <t xml:space="preserve">QA0550</t>
  </si>
  <si>
    <t xml:space="preserve">Berapa persentase luas laut di Provinsi Maluku Utara?</t>
  </si>
  <si>
    <t xml:space="preserve">69,08%</t>
  </si>
  <si>
    <t xml:space="preserve">Text: persentase luas laut (69,08%) lebih besar dari luas daratan (30,92%).</t>
  </si>
  <si>
    <t xml:space="preserve">Correct value from text; category fits.</t>
  </si>
  <si>
    <t xml:space="preserve">QA0551</t>
  </si>
  <si>
    <t xml:space="preserve">Berapa jumlah kapal perikanan yang berukuran di atas 30 GT?</t>
  </si>
  <si>
    <t xml:space="preserve">37 kapal</t>
  </si>
  <si>
    <t xml:space="preserve">Text: armada 3.245 unit; 37 kapal berukuran di atas 30 GT, 10-30 GT 124 kapal. No chart.</t>
  </si>
  <si>
    <t xml:space="preserve">Answer 37 kapal is correct, but the value comes from running text, not a chart.</t>
  </si>
  <si>
    <t xml:space="preserve">QA0552</t>
  </si>
  <si>
    <t xml:space="preserve">Berapa total produksi ikan pelagis besar tahun 2014?</t>
  </si>
  <si>
    <t xml:space="preserve">106.510 ton</t>
  </si>
  <si>
    <t xml:space="preserve">Text: potensi ikan pelagis besar 106.510 ton/tahun, produksi saat ini 37.460 ton (pemanfaatan 35,17%). 2014 is tied only to overall utilization 29,31%.</t>
  </si>
  <si>
    <t xml:space="preserve">106.510 ton is annual potential, not production; production is 37.460 ton and not dated 2014. Value is in text, no chart.</t>
  </si>
  <si>
    <t xml:space="preserve">Berapa produksi ikan pelagis besar saat ini di Maluku Utara?</t>
  </si>
  <si>
    <t xml:space="preserve">37.460 ton, dari potensi 106.510 ton per tahun (pemanfaatan 35,17%).</t>
  </si>
  <si>
    <t xml:space="preserve">QA0553</t>
  </si>
  <si>
    <t xml:space="preserve">Bagaimana peningkatan anggaran pendapatan dari APBD 2016 menjadi APBD 2017?</t>
  </si>
  <si>
    <t xml:space="preserve">Peningkatan anggaran pendapatan dari APBD 2016 menjadi APBD 2017 sebesar 32,48%.</t>
  </si>
  <si>
    <t xml:space="preserve">Text: anggaran pendapatan APBD 2017 Rp2,86 triliun, meningkat 32,48% dari APBD 2016.</t>
  </si>
  <si>
    <t xml:space="preserve">Correct, matches the text and Tabel 2.1.</t>
  </si>
  <si>
    <t xml:space="preserve">QA0554</t>
  </si>
  <si>
    <t xml:space="preserve">Berapakah anggaran belanja pada APBD 2016?</t>
  </si>
  <si>
    <t xml:space="preserve">Anggaran belanja pada APBD 2016 sebesar Rp 2,65 triliun.</t>
  </si>
  <si>
    <t xml:space="preserve">Text: anggaran belanja pada APBD 2016 tercatat Rp2,65 triliun (Tabel 2.1: Rp2.647,81 miliar).</t>
  </si>
  <si>
    <t xml:space="preserve">The value is correct but the page has no chart; it is stated in the text and the table.</t>
  </si>
  <si>
    <t xml:space="preserve">Anggaran belanja pada APBD 2016 sebesar Rp2,65 triliun.</t>
  </si>
  <si>
    <t xml:space="preserve">QA0555</t>
  </si>
  <si>
    <t xml:space="preserve">Berapakah defisit APBD Provinsi Maluku Utara pada tahun 2017?</t>
  </si>
  <si>
    <t xml:space="preserve">Defisit APBD Provinsi Maluku Utara pada tahun 2017 sebesar Rp 44,34 miliar.</t>
  </si>
  <si>
    <t xml:space="preserve">Text: APBD Provinsi Maluku Utara ditetapkan defisit Rp44,34 miliar (penetapan DPRD 12 Januari 2017).</t>
  </si>
  <si>
    <t xml:space="preserve">The value is correct but it is stated directly in the text. There is no chart and no calculation.</t>
  </si>
  <si>
    <t xml:space="preserve">Defisit APBD Provinsi Maluku Utara tahun 2017 ditetapkan sebesar Rp44,34 miliar.</t>
  </si>
  <si>
    <t xml:space="preserve">QA0556</t>
  </si>
  <si>
    <t xml:space="preserve">Apakah realisasi pendapatan daerah Provinsi Maluku Utara pada triwulan I 2017 sebesar Rp549,532 miliar?</t>
  </si>
  <si>
    <t xml:space="preserve">Text: realisasi pendapatan daerah Tw I 2017 sebesar Rp549,532 miliar.</t>
  </si>
  <si>
    <t xml:space="preserve">Verified in first paragraph.</t>
  </si>
  <si>
    <t xml:space="preserve">QA0557</t>
  </si>
  <si>
    <t xml:space="preserve">Berapakah realisasi pendapatan daerah Provinsi Maluku Utara pada triwulan I 2016?</t>
  </si>
  <si>
    <t xml:space="preserve">Realisasi pendapatan daerah Provinsi Maluku Utara pada triwulan I 2016 sebesar 25,11% dari total realisasi triwulan I 2016. Jumlah total realisasi pendapatan daerah Pemerintah Provinsi Maluku Utara pada triwulan I 2016 sebesar Rp25,11 miliar.</t>
  </si>
  <si>
    <t xml:space="preserve">Text: Tw I 2016 terealisasi sebesar 25,11% (rate). Grafik 2.3: Tw I 2016 total ~540.000 juta (~Rp540 miliar).</t>
  </si>
  <si>
    <t xml:space="preserve">25,11% is the realization rate, not a share; converting it into 'Rp25,11 miliar' is wrong. Chart shows ~Rp540 miliar.</t>
  </si>
  <si>
    <t xml:space="preserve">Realisasi pendapatan daerah Provinsi Maluku Utara pada triwulan I 2016 sekitar Rp540 miliar (Grafik 2.3), dengan tingkat realisasi 25,11%.</t>
  </si>
  <si>
    <t xml:space="preserve">QA0558</t>
  </si>
  <si>
    <t xml:space="preserve">Apakah realisasi pendapatan daerah Provinsi Maluku Utara pada triwulan I 2017 lebih tinggi atau lebih rendah dibandingkan dengan triwulan I 2016?</t>
  </si>
  <si>
    <t xml:space="preserve">Realisasi pendapatan daerah Provinsi Maluku Utara pada triwulan I 2017 lebih rendah dibandingkan dengan triwulan I 2016. Realisasi pendapatan daerah Provinsi Maluku Utara pada triwulan I 2017 sebesar Rp549,532 miliar, sedangkan pada triwulan I 2016 sebesar Rp25,11 miliar.</t>
  </si>
  <si>
    <t xml:space="preserve">Text: Tw I 2017 realisasi 19,19% lebih rendah dari Tw I 2016 25,11%. Grafik 2.3: Tw I 2016 ~Rp540 M vs Tw I 2017 Rp549,5 M.</t>
  </si>
  <si>
    <t xml:space="preserve">'Lebih rendah' holds only for realization rate; cited Tw I 2016 value Rp25,11 miliar is wrong and contradicts the claim. No calculation needed.</t>
  </si>
  <si>
    <t xml:space="preserve">Apakah tingkat realisasi pendapatan daerah Provinsi Maluku Utara pada triwulan I 2017 lebih tinggi atau lebih rendah dibandingkan triwulan I 2016?</t>
  </si>
  <si>
    <t xml:space="preserve">Lebih rendah. Realisasi triwulan I 2017 sebesar 19,19% (Rp549,532 miliar), lebih rendah dibanding triwulan I 2016 yang terealisasi 25,11%, akibat rendahnya realisasi dana perimbangan.</t>
  </si>
  <si>
    <t xml:space="preserve">QA0559</t>
  </si>
  <si>
    <t xml:space="preserve">Apakah ada perbedaan dalam alokasi pendapatan masyarakat berdasarkan kategori pendapatan?</t>
  </si>
  <si>
    <t xml:space="preserve">Ya, ada perbedaan dalam alokasi pendapatan masyarakat berdasarkan kategori pendapatan. Masyarakat dengan pendapatan menengah (3-4 juta) cenderung mengalokasikan pendapatannya untuk konsumsi lebih tinggi daripada rata-rata seluruh kategori, sedangkan masyarakat dengan pendapatan tinggi (&gt;4 juta) cenderung mengalokasikan pendapatannya untuk menabung tinggi.</t>
  </si>
  <si>
    <t xml:space="preserve">Text: pendapatan menengah-tinggi (3-5 juta) alokasi konsumsi lebih tinggi dari rata-rata; menabung tertinggi pada &gt;4 juta (30,00%).</t>
  </si>
  <si>
    <t xml:space="preserve">Answer consistent with text and Tabel 4.1 (Rp3-4 juta konsumsi 58,33 &gt; rata-rata 56,33; tabungan 30,00 for &gt;4 juta).</t>
  </si>
  <si>
    <t xml:space="preserve">QA0560</t>
  </si>
  <si>
    <t xml:space="preserve">Apakah alokasi pendapatan masyarakat pada kategori pendapatan menengah (Rp 3-4 juta) meningkat atau menurun?</t>
  </si>
  <si>
    <t xml:space="preserve">Alokasi pendapatan masyarakat pada kategori pendapatan menengah (Rp 3-4 juta) meningkat dari 20,83% menjadi 16,78%.</t>
  </si>
  <si>
    <t xml:space="preserve">Tabel 4.1 gives only one period (Rp3-4 juta: konsumsi 58,33, cicilan 20,83, tabungan 20,83). Only overall cicilan rose 16,15% -&gt; 16,78% (text). No chart.</t>
  </si>
  <si>
    <t xml:space="preserve">No time series for the Rp3-4 juta category, so increase/decrease is unsupported; answer mixes 20,83 (category share) and 16,78 (overall) and calls a drop an increase.</t>
  </si>
  <si>
    <t xml:space="preserve">QA0561</t>
  </si>
  <si>
    <t xml:space="preserve">Berapa persentase alokasi pendapatan masyarakat untuk menabung tinggi?</t>
  </si>
  <si>
    <t xml:space="preserve">30,00% dari pendapatannya.</t>
  </si>
  <si>
    <t xml:space="preserve">Text: alokasi penghasilan untuk menabung tertinggi pada kategori pendapatan tinggi (&gt;4 juta) rata-rata 30,00% (also Tabel 4.1).</t>
  </si>
  <si>
    <t xml:space="preserve">Value correct, but it is a text/table lookup, not a chart calculation; question wording 'menabung tinggi' should be 'tertinggi'.</t>
  </si>
  <si>
    <t xml:space="preserve">Berapa persentase alokasi pendapatan untuk menabung pada kelompok dengan porsi tabungan tertinggi?</t>
  </si>
  <si>
    <t xml:space="preserve">Alokasi menabung tertinggi ada pada kategori pendapatan tinggi (&gt;4 juta), rata-rata 30,00% dari pendapatannya.</t>
  </si>
  <si>
    <t xml:space="preserve">QA0562</t>
  </si>
  <si>
    <t xml:space="preserve">Apakah transaksi kliring di Maluku Utara mengalami kontraksi tahunan?</t>
  </si>
  <si>
    <t xml:space="preserve">Text: 'Secara tahunan, nominal transaksi kliring terkontraksi 9,81% (yoy).'</t>
  </si>
  <si>
    <t xml:space="preserve">Yes is correct per the text.</t>
  </si>
  <si>
    <t xml:space="preserve">QA0563</t>
  </si>
  <si>
    <t xml:space="preserve">Berapa persentase transaksi kliring yang terkontraksi pada tahun 2017?</t>
  </si>
  <si>
    <t xml:space="preserve">Text: nominal kliring triwulan I 2017 terkontraksi 9,81% (yoy). Grafik 5.2 shows levels only, not percentages.</t>
  </si>
  <si>
    <t xml:space="preserve">9,81% refers to Tw I 2017 nominal, not full-year 2017; value comes from text, not the chart.</t>
  </si>
  <si>
    <t xml:space="preserve">Berapa persen kontraksi nominal transaksi kliring di Maluku Utara pada triwulan I 2017?</t>
  </si>
  <si>
    <t xml:space="preserve">Nominal transaksi kliring terkontraksi 9,81% (yoy) pada triwulan I 2017.</t>
  </si>
  <si>
    <t xml:space="preserve">QA0564</t>
  </si>
  <si>
    <t xml:space="preserve">Berdasarkan tabel, berapakah jumlah cek yang terkontraksi pada tahun 2017?</t>
  </si>
  <si>
    <t xml:space="preserve">40</t>
  </si>
  <si>
    <t xml:space="preserve">Tabel 5.2: 2017 Tw I jumlah cek/BG kosong = 40 lembar (rasio 0,85% jumlah, 9,31% nominal).</t>
  </si>
  <si>
    <t xml:space="preserve">40 is correct but it is a table lookup of bounced cheques (cek/BG kosong), not 'terkontraksi' and not a chart calculation; unit lembar missing.</t>
  </si>
  <si>
    <t xml:space="preserve">Berdasarkan Tabel 5.2, berapa jumlah cek/BG kosong di Maluku Utara pada triwulan I 2017?</t>
  </si>
  <si>
    <t xml:space="preserve">40 lembar.</t>
  </si>
  <si>
    <t xml:space="preserve">QA0565</t>
  </si>
  <si>
    <t xml:space="preserve">Banyaknya jumlah lembur BGD kosong pada triwulan I 2017?</t>
  </si>
  <si>
    <t xml:space="preserve">40 lembar</t>
  </si>
  <si>
    <t xml:space="preserve">Text: jumlah cek dan bilyet giro kosong tercatat 40 lembar pada triwulan laporan (Tw I 2017), turun 9,09% qtq dari 44 lembar.</t>
  </si>
  <si>
    <t xml:space="preserve">Answer 40 lembar is correct, but question is garbled ('lembur BGD' instead of 'lembar cek/BG').</t>
  </si>
  <si>
    <t xml:space="preserve">Berapa jumlah lembar cek dan bilyet giro (BG) kosong pada triwulan I 2017?</t>
  </si>
  <si>
    <t xml:space="preserve">Jumlah cek dan BG kosong pada triwulan I 2017 sebanyak 40 lembar.</t>
  </si>
  <si>
    <t xml:space="preserve">QA0566</t>
  </si>
  <si>
    <t xml:space="preserve">Jumlah lembur BGD kosong pada triwulan I 2017 berkurang berapa persen?</t>
  </si>
  <si>
    <t xml:space="preserve">9.09% (qtq)</t>
  </si>
  <si>
    <t xml:space="preserve">Text: 40 lembar, berkurang 9,09% (qtq) dari 44 lembar pada triwulan sebelumnya. No chart on cek/BG.</t>
  </si>
  <si>
    <t xml:space="preserve">9,09% (qtq) is correct but comes from text, not a chart; question garbled ('lembur BGD').</t>
  </si>
  <si>
    <t xml:space="preserve">Jumlah cek dan BG kosong pada triwulan I 2017 berkurang berapa persen?</t>
  </si>
  <si>
    <t xml:space="preserve">Jumlah cek dan BG kosong berkurang 9,09% (qtq), dari 44 lembar menjadi 40 lembar.</t>
  </si>
  <si>
    <t xml:space="preserve">QA0567</t>
  </si>
  <si>
    <t xml:space="preserve">Jumlah lembur BGD kosong pada triwulan I 2017 meningkat berapa persen?</t>
  </si>
  <si>
    <t xml:space="preserve">9.31%</t>
  </si>
  <si>
    <t xml:space="preserve">Text: jumlah cek/BG kosong turun 9,09% (qtq); 9,31% is the rasio nominal cek/BG kosong in Tw I 2017 (text says it meningkat menjadi 9,31%).</t>
  </si>
  <si>
    <t xml:space="preserve">The count of bounced cek/BG decreased, not increased; 9,31% is a nominal ratio level, not a count growth rate. Evidence is text, no chart/calc.</t>
  </si>
  <si>
    <t xml:space="preserve">Rasio nominal cek/BG kosong pada triwulan I 2017 meningkat menjadi berapa persen?</t>
  </si>
  <si>
    <t xml:space="preserve">Rasio nominal cek/BG kosong meningkat menjadi 9,31% pada triwulan I 2017, sedangkan jumlah lembarnya justru turun 9,09% (qtq) menjadi 40 lembar.</t>
  </si>
  <si>
    <t xml:space="preserve">QA0568</t>
  </si>
  <si>
    <t xml:space="preserve">Tingkat partisipasi angkatan kerja di Maluku Utara meningkat dari Februari 2016 menjadi Februari 2017.</t>
  </si>
  <si>
    <t xml:space="preserve">69,48%</t>
  </si>
  <si>
    <t xml:space="preserve">Text: TPAK meningkat dari 67,83% (Feb 2016) menjadi 69,48% (Feb 2017).</t>
  </si>
  <si>
    <t xml:space="preserve">'Question' is a declarative statement, not a question; answer value 69,48% is right but lacks the Feb 2016 baseline.</t>
  </si>
  <si>
    <t xml:space="preserve">Berapa Tingkat Partisipasi Angkatan Kerja (TPAK) Maluku Utara pada Februari 2017?</t>
  </si>
  <si>
    <t xml:space="preserve">TPAK Maluku Utara pada Februari 2017 sebesar 69,48%, meningkat dari 67,83% pada Februari 2016.</t>
  </si>
  <si>
    <t xml:space="preserve">QA0569</t>
  </si>
  <si>
    <t xml:space="preserve">Peningkatan tingkat pengangguran terbuka di Maluku Utara terjadi sejak Februari 2016.</t>
  </si>
  <si>
    <t xml:space="preserve">Peningkatan terjadi pada Februari 2016, dari 3,43% menjadi 4,82%.</t>
  </si>
  <si>
    <t xml:space="preserve">Grafik 6.1: TPT 3,43% (Feb 2016), 4,01% (Agst 2016), 4,82% (Feb 2017).</t>
  </si>
  <si>
    <t xml:space="preserve">Numbers correct but framed as occurring 'pada Februari 2016'; rise is Feb 2016 -&gt; Feb 2017. Statement not a question; trend reading, no calculation.</t>
  </si>
  <si>
    <t xml:space="preserve">Sejak kapan Tingkat Pengangguran Terbuka (TPT) Maluku Utara meningkat dan berapa kenaikannya?</t>
  </si>
  <si>
    <t xml:space="preserve">TPT meningkat sejak Februari 2016, dari 3,43% menjadi 4,01% pada Agustus 2016 dan 4,82% pada Februari 2017.</t>
  </si>
  <si>
    <t xml:space="preserve">QA0570</t>
  </si>
  <si>
    <t xml:space="preserve">Sektor pertanian, perkebunan, kehutanan, perburuan, dan perikanan merupakan sektor yang paling banyak menyumbang penyerapan tenaga kerja.</t>
  </si>
  <si>
    <t xml:space="preserve">Peningkatan penyerapan tenaga kerja terjadi di sektor pertanian, perkebunan, kehutanan, perburuan, dan perikanan.</t>
  </si>
  <si>
    <t xml:space="preserve">Text: penyerapan paling besar di sektor pertanian dkk.; peningkatan signifikan di industri pengolahan dan konstruksi; tenaga kerja bergeser dari sektor pertanian.</t>
  </si>
  <si>
    <t xml:space="preserve">Answer claims an 'increase' in absorption in agriculture; text says agriculture absorbs the most but labour is shifting away from it. Statement not a question; info is textual.</t>
  </si>
  <si>
    <t xml:space="preserve">Sektor apa yang paling banyak menyerap tenaga kerja di Maluku Utara?</t>
  </si>
  <si>
    <t xml:space="preserve">Sektor pertanian, perkebunan, kehutanan, perburuan, dan perikanan, diikuti sektor jasa kemasyarakatan, sosial, dan perorangan.</t>
  </si>
  <si>
    <t xml:space="preserve">QA0571</t>
  </si>
  <si>
    <t xml:space="preserve">Buku apa yang membahas risiko operasional dari pihak ketiga dan dampaknya terhadap SSK?</t>
  </si>
  <si>
    <t xml:space="preserve">Buku tersebut adalah </t>
  </si>
  <si>
    <t xml:space="preserve">Footer: 'KAJIAN STABILITAS KEUANGAN | No. 46, Februari 2026'; Boks 3.2 'Risiko Operasional dari Pihak Ketiga dan Potensi Dampaknya Terhadap SSK'.</t>
  </si>
  <si>
    <t xml:space="preserve">Answer is empty/truncated ('Buku tersebut adalah'); the publication name is visible on the page.</t>
  </si>
  <si>
    <t xml:space="preserve">Kajian Stabilitas Keuangan No. 46, Februari 2026 (Boks 3.2, Bab 3).</t>
  </si>
  <si>
    <t xml:space="preserve">QA0572</t>
  </si>
  <si>
    <t xml:space="preserve">Berapa jumlah insiden siber terkait pihak ketiga yang ada pada perbankan Indonesia pada tahun 2025?</t>
  </si>
  <si>
    <t xml:space="preserve">Jumlah insiden siber terkait pihak ketiga pada perbankan Indonesia pada tahun 2025 adalah 15.</t>
  </si>
  <si>
    <t xml:space="preserve">Grafik B3.2.1 2025: terkait pihak ketiga 6, total insiden 13; text: 'enam dari tiga belas insiden siber terkait dengan pihak ketiga'.</t>
  </si>
  <si>
    <t xml:space="preserve">Third-party related incidents in 2025 = 6 (total 13); 15 is the axis maximum.</t>
  </si>
  <si>
    <t xml:space="preserve">Jumlah insiden siber terkait pihak ketiga pada perbankan Indonesia tahun 2025 adalah 6 dari total 13 insiden.</t>
  </si>
  <si>
    <t xml:space="preserve">QA0573</t>
  </si>
  <si>
    <t xml:space="preserve">Buku tersebut membahas risiko operasional dari pihak ketiga dalam konteks sistem keuangan?</t>
  </si>
  <si>
    <t xml:space="preserve">Tidak, buku tersebut tidak membahas risiko operasional dari pihak ketiga dalam konteks sistem keuangan.</t>
  </si>
  <si>
    <t xml:space="preserve">Boks 3.2 title: 'Risiko Operasional dari Pihak Ketiga dan Potensi Dampaknya Terhadap SSK'; text discusses impact on stabilitas sistem keuangan.</t>
  </si>
  <si>
    <t xml:space="preserve">The page explicitly discusses third-party operational risk in the financial system, so 'Tidak' is wrong. Yes/no from text, not a chart calculation.</t>
  </si>
  <si>
    <t xml:space="preserve">Apakah Boks 3.2 membahas risiko operasional dari pihak ketiga dalam konteks sistem keuangan?</t>
  </si>
  <si>
    <t xml:space="preserve">Ya, Boks 3.2 membahas risiko operasional dari pihak ketiga dan potensi dampaknya terhadap stabilitas sistem keuangan (SSK).</t>
  </si>
  <si>
    <t xml:space="preserve">QA0574</t>
  </si>
  <si>
    <t xml:space="preserve">Apakah pertumbuhan kredit perbankan terus ditingkatkan sesuai kapasitas optimalnya?</t>
  </si>
  <si>
    <t xml:space="preserve">Ya, pertumbuhan kredit terjadi dan terus ditingkatkan sesuai kapasitas optimalnya.</t>
  </si>
  <si>
    <t xml:space="preserve">Text: 'Pertumbuhan kredit 2025 terjaga dan perlu terus ditingkatkan sesuai kapasitas optimalnya untuk mendukung pertumbuhan ekonomi lebih tinggi.'</t>
  </si>
  <si>
    <t xml:space="preserve">Text says credit growth 'perlu' (needs to) be further increased, not that it is being increased; 'Ya' overstates. Core topic correct.</t>
  </si>
  <si>
    <t xml:space="preserve">Pertumbuhan kredit 2025 terjaga (9,69%) dan dinilai perlu terus ditingkatkan sesuai kapasitas optimalnya untuk mendukung pertumbuhan ekonomi yang lebih tinggi.</t>
  </si>
  <si>
    <t xml:space="preserve">QA0575</t>
  </si>
  <si>
    <t xml:space="preserve">Bagaimana respons makroprudensial terhadap pertumbuhan kredit?</t>
  </si>
  <si>
    <t xml:space="preserve">Pertumbuhan kredit meningkat sebesar 9,69% pada 2025, sedikit melambat dari 10,39% pada 2024. Pertumbuhan kredit ditopang oleh segmen korporasi dan kredit investasi.</t>
  </si>
  <si>
    <t xml:space="preserve">Text 2.1: kredit tumbuh 9,69% (2025) dari 10,39% (2024), sejalan dengan pelonggaran suku bunga, kebijakan makroprudensial BI yang akomodatif dan program prioritas Pemerintah.</t>
  </si>
  <si>
    <t xml:space="preserve">Figures are correct but the answer does not state the macroprudential response (accommodative policy to push intermediation while maintaining stability). Evidence is text, no calculation.</t>
  </si>
  <si>
    <t xml:space="preserve">Kebijakan makroprudensial Bank Indonesia bersifat akomodatif untuk mendorong intermediasi dengan tetap menjaga stabilitas; bersama pelonggaran suku bunga dan program Pemerintah, kredit tumbuh 9,69% pada 2025 (2024: 10,39%).</t>
  </si>
  <si>
    <t xml:space="preserve">QA0576</t>
  </si>
  <si>
    <t xml:space="preserve">Berapa kontribusi pertumbuhan kredit dari sektor Pertanian?</t>
  </si>
  <si>
    <t xml:space="preserve">Kontribusi pertumbuhan kredit dari sektor Pertanian sebesar 0,99.</t>
  </si>
  <si>
    <t xml:space="preserve">Instruction-following, Unit</t>
  </si>
  <si>
    <t xml:space="preserve">Tabel 2.1.1 Kontribusi Pertumbuhan Kredit Des 25 (%): A. Pertanian = 0,99.</t>
  </si>
  <si>
    <t xml:space="preserve">0,99 is correct but comes from a table (no chart on page); unit % and period Des 2025 missing. Pure table lookup has no exact label.</t>
  </si>
  <si>
    <t xml:space="preserve">Berapa kontribusi sektor Pertanian terhadap pertumbuhan kredit pada Desember 2025?</t>
  </si>
  <si>
    <t xml:space="preserve">Kontribusi sektor Pertanian terhadap pertumbuhan kredit pada Desember 2025 sebesar 0,99%.</t>
  </si>
  <si>
    <t xml:space="preserve">QA0577</t>
  </si>
  <si>
    <t xml:space="preserve">Apakah penurunan suku bunga DPK terkait dengan penurunan LDR?</t>
  </si>
  <si>
    <t xml:space="preserve">Ya, penurunan suku bunga DPK terkait dengan penurunan LDR. Penurunan suku bunga DPK terkait dengan penurunan LDR dari 88,57% pada Desember 2024 menjadi 85,35% pada Desember 2025.</t>
  </si>
  <si>
    <t xml:space="preserve">Text/Grafik 2.1.4: LDR turun 88,57% -&gt; 85,35% karena funding surplus dari penempatan dana SAL; suku bunga DPK turun 3,08% -&gt; 2,71% as BI-Rate transmission.</t>
  </si>
  <si>
    <t xml:space="preserve">LDR numbers correct, but page attributes LDR decline to funding surplus from SAL placement, not to the DPK rate decline; causal link is unsupported.</t>
  </si>
  <si>
    <t xml:space="preserve">Tidak secara langsung. Penurunan LDR dari 88,57% (Des 2024) menjadi 85,35% (Des 2025) didorong funding surplus akibat penempatan dana SAL Pemerintah, sedangkan penurunan suku bunga DPK merupakan transmisi penurunan BI-Rate.</t>
  </si>
  <si>
    <t xml:space="preserve">QA0578</t>
  </si>
  <si>
    <t xml:space="preserve">Berapakah penurunan suku bunga DPK pada Desember 2025?</t>
  </si>
  <si>
    <t xml:space="preserve">Penurunan suku bunga DPK pada Desember 2025 sebesar 4,96%.</t>
  </si>
  <si>
    <t xml:space="preserve">Grafik 2.1.5/text: suku bunga DPK 3,08% (Des 2024) -&gt; 2,71% (Des 2025), turun 37 bps; 4,96% is DPK special rate level Des 2025.</t>
  </si>
  <si>
    <t xml:space="preserve">4,96% is the level of the special rate, not the decrease; DPK rate fell by 37 bps (3,08% to 2,71%).</t>
  </si>
  <si>
    <t xml:space="preserve">Suku bunga DPK turun sebesar 37 bps, dari 3,08% pada Desember 2024 menjadi 2,71% pada Desember 2025.</t>
  </si>
  <si>
    <t xml:space="preserve">QA0579</t>
  </si>
  <si>
    <t xml:space="preserve">Berapa persentase kontribusi DPK dari golongan swasta non-IKNB pada 2025?</t>
  </si>
  <si>
    <t xml:space="preserve">Persentase kontribusi DPK dari golongan swasta non-IKNB pada 2025 sebesar 5,57%.</t>
  </si>
  <si>
    <t xml:space="preserve">Tabel 2.1.2: Swasta Non IKNB kontribusi DPK 2025 = 5,57%.</t>
  </si>
  <si>
    <t xml:space="preserve">Value correct, but it is a single-cell table lookup, not a calculation (no exact label; table label kept).</t>
  </si>
  <si>
    <t xml:space="preserve">Kontribusi DPK dari golongan swasta non-IKNB pada 2025 sebesar 5,57%.</t>
  </si>
  <si>
    <t xml:space="preserve">QA0580</t>
  </si>
  <si>
    <t xml:space="preserve">Apakah pertumbuhan penjualan sektor Pertanian pada tahun 2024 sebesar 10,32%?</t>
  </si>
  <si>
    <t xml:space="preserve">Tidak</t>
  </si>
  <si>
    <t xml:space="preserve">Tabel 2.2.1 Pertanian Pertumbuhan Penjualan 2024 Des = 10,32% (yoy).</t>
  </si>
  <si>
    <t xml:space="preserve">Answer 'Tidak' is wrong; the table shows exactly 10,32%. Evidence is a table, not text.</t>
  </si>
  <si>
    <t xml:space="preserve">Ya, pertumbuhan penjualan sektor Pertanian pada Desember 2024 sebesar 10,32% (yoy).</t>
  </si>
  <si>
    <t xml:space="preserve">QA0581</t>
  </si>
  <si>
    <t xml:space="preserve">Berapakah pertumbuhan capex sektor Pertanian pada tahun 2024 sebesar 13,49%?</t>
  </si>
  <si>
    <t xml:space="preserve">13,49%</t>
  </si>
  <si>
    <t xml:space="preserve">Tabel 2.2.1 Pertanian Pertumbuhan Capex 2024 Des = -11,31%; 13,49% is Pertanian ROE Sep 2025.</t>
  </si>
  <si>
    <t xml:space="preserve">Garbled question embeds a wrong value; 13,49% is ROE, not capex growth. Correct 2024 capex growth is -11,31%. Source is table, not chart.</t>
  </si>
  <si>
    <t xml:space="preserve">Berapakah pertumbuhan capex sektor Pertanian pada tahun 2024?</t>
  </si>
  <si>
    <t xml:space="preserve">Pertumbuhan capex sektor Pertanian pada Desember 2024 adalah -11,31% (yoy).</t>
  </si>
  <si>
    <t xml:space="preserve">QA0582</t>
  </si>
  <si>
    <t xml:space="preserve">Pertumbuhan capex sektor Pertanian pada tahun 2025 sebesar 16,64%?</t>
  </si>
  <si>
    <t xml:space="preserve">16,64%</t>
  </si>
  <si>
    <t xml:space="preserve">Tabel 2.2.1 Pertanian Pertumbuhan Capex: 2023 Des = 16,64%; 2025 Sep = 1,65%.</t>
  </si>
  <si>
    <t xml:space="preserve">16,64% is the 2023 value; Sep 2025 capex growth is 1,65%. Question is a malformed statement; table data, no calculation.</t>
  </si>
  <si>
    <t xml:space="preserve">Berapakah pertumbuhan capex sektor Pertanian pada September 2025?</t>
  </si>
  <si>
    <t xml:space="preserve">Pertumbuhan capex sektor Pertanian pada September 2025 adalah 1,65% (yoy); angka 16,64% adalah pertumbuhan pada Desember 2023.</t>
  </si>
  <si>
    <t xml:space="preserve">QA0583</t>
  </si>
  <si>
    <t xml:space="preserve">Apakah total capital perusahaan korporasi mencapai Rp 5.338,03 triliun pada September 2025?</t>
  </si>
  <si>
    <t xml:space="preserve">Ya, total capital perusahaan korporasi mencapai Rp 5.338,03 triliun pada September 2025.</t>
  </si>
  <si>
    <t xml:space="preserve">Tabel 2.2.2: Total Capital (Rp triliun) Sep-2025 = 5.338,03.</t>
  </si>
  <si>
    <t xml:space="preserve">Answer is correct, but it is a single-cell table lookup with no calculation, so the Table-Numerical Calculation label does not fit (no exact label; table label kept).</t>
  </si>
  <si>
    <t xml:space="preserve">Ya, total capital korporasi (agregat 551 korporasi) mencapai Rp5.338,03 triliun pada September 2025.</t>
  </si>
  <si>
    <t xml:space="preserve">QA0584</t>
  </si>
  <si>
    <t xml:space="preserve">Seberapa besar persentase kredit modal kerja yang diperlakukan oleh perusahaan korporasi pada tahun 2024?</t>
  </si>
  <si>
    <t xml:space="preserve">Persentase kredit modal kerja yang diperlakukan oleh perusahaan korporasi pada tahun 2024 adalah 35,6%. Ini terjadi pada September 2025, sebelum mencapai 35,5% pada tahun 2023.</t>
  </si>
  <si>
    <t xml:space="preserve">Text: pertumbuhan kredit modal kerja melambat dari 8,35% (yoy) akhir 2024 menjadi 4,52% akhir 2025. 35,6 is Debt (% Capital) 2024; 2023 = 36,7; Sep-2025 = 35,5.</t>
  </si>
  <si>
    <t xml:space="preserve">35,6% is total debt as % of capital, not working-capital credit; period framing also wrong (35,5 is Sep-2025, not 2023). Text gives working-capital credit growth 8,35% for end-2024.</t>
  </si>
  <si>
    <t xml:space="preserve">Berapa pertumbuhan kredit modal kerja korporasi pada akhir 2024?</t>
  </si>
  <si>
    <t xml:space="preserve">8,35% (yoy) pada akhir 2024, kemudian melambat menjadi 4,52% (yoy) pada akhir 2025.</t>
  </si>
  <si>
    <t xml:space="preserve">QA0585</t>
  </si>
  <si>
    <t xml:space="preserve">Apakah perusahaan korporasi menunjukkan peningkatan dalam total capital pada tahun 2024?</t>
  </si>
  <si>
    <t xml:space="preserve">Ya, total capital perusahaan korporasi mencapai Rp 4.981,61 triliun pada tahun 2024, yang merupakan peningkatan dari Rp 4.729,59 triliun pada tahun 2023.</t>
  </si>
  <si>
    <t xml:space="preserve">Tabel 2.2.2: Total Capital (Rp triliun) 4.729,59 (2023) -&gt; 4.981,61 (2024).</t>
  </si>
  <si>
    <t xml:space="preserve">Answer correct, but the values come from a table, not a chart.</t>
  </si>
  <si>
    <t xml:space="preserve">Ya, total capital korporasi meningkat dari Rp4.729,59 triliun pada 2023 menjadi Rp4.981,61 triliun pada 2024.</t>
  </si>
  <si>
    <t xml:space="preserve">QA0586</t>
  </si>
  <si>
    <t xml:space="preserve">Apakah pertumbuhan ekonomi Provinsi Bali pada triwulan III 2016 sebesar 6,17%?</t>
  </si>
  <si>
    <t xml:space="preserve">Ya, pertumbuhan ekonomi Provinsi Bali pada triwulan III 2016 mencatat sebesar 6,17% (yoy).</t>
  </si>
  <si>
    <t xml:space="preserve">Text: Perekonomian Provinsi Bali pada triwulan III 2016 mencatat pertumbuhan sebesar 6,17% (yoy).</t>
  </si>
  <si>
    <t xml:space="preserve">Correct, matches the text.</t>
  </si>
  <si>
    <t xml:space="preserve">QA0587</t>
  </si>
  <si>
    <t xml:space="preserve">Berapakah output riil yang mencapai pada triwulan III 2016?</t>
  </si>
  <si>
    <t xml:space="preserve">Output riil yang mencapai pada triwulan III 2016 sebesar Rp 34,9 triliun.</t>
  </si>
  <si>
    <t xml:space="preserve">Text: output riil mencapai Rp 34,9 triliun (Tw III-2016). The chart's PDRB axis is in Rp miliar with no labelled value.</t>
  </si>
  <si>
    <t xml:space="preserve">The value is correct but stated only in the text; there is no chart calculation. The wording 'yang mencapai' is awkward.</t>
  </si>
  <si>
    <t xml:space="preserve">Berapakah output riil perekonomian Bali pada triwulan III 2016?</t>
  </si>
  <si>
    <t xml:space="preserve">Output riil perekonomian Bali pada triwulan III 2016 mencapai Rp34,9 triliun.</t>
  </si>
  <si>
    <t xml:space="preserve">QA0588</t>
  </si>
  <si>
    <t xml:space="preserve">Berapa persentase pertumbuhan ekonomi nasional pada triwulan III 2016?</t>
  </si>
  <si>
    <t xml:space="preserve">Persentase pertumbuhan ekonomi nasional pada triwulan III 2016 sebesar 5,02% (yoy).</t>
  </si>
  <si>
    <t xml:space="preserve">Grafik 1.2: NASIONAL Tw III-2016 = 5,02; text confirms 5,02% (yoy).</t>
  </si>
  <si>
    <t xml:space="preserve">Correct and readable from the chart.</t>
  </si>
  <si>
    <t xml:space="preserve">QA0589</t>
  </si>
  <si>
    <t xml:space="preserve">Apakah pertumbuhan nilai impor luar negeri di Provinsi Bali pada triwulan III 2016 sebesar 38,62% (yoy)?</t>
  </si>
  <si>
    <t xml:space="preserve">Text: kinerja impor luar negeri Tw III 2016 tercatat 38,62% (yoy).</t>
  </si>
  <si>
    <t xml:space="preserve">Verified in text.</t>
  </si>
  <si>
    <t xml:space="preserve">QA0590</t>
  </si>
  <si>
    <t xml:space="preserve">Apakah pertumbuhan nilai impor luar negeri di Provinsi Bali pada triwulan III 2016 sebesar 95,52% (yoy)?</t>
  </si>
  <si>
    <t xml:space="preserve">Tidak, pertumbuhan nilai impor luar negeri di Provinsi Bali pada triwulan III 2016 sebesar 95,52% (yoy) menunjukkan peningkatan sebesar 95,52% (yoy) dibandingkan triwulan II 2016 yang sebesar 62,3% (yoy).</t>
  </si>
  <si>
    <t xml:space="preserve">Text: nilai impor Tw III 2016 tumbuh 38,62% (yoy); 95,52% (yoy) is pertumbuhan impor barang luar negeri (from 62,3% in Tw II).</t>
  </si>
  <si>
    <t xml:space="preserve">'Tidak' is right but answer then affirms 95,52% as the growth, self-contradictory; 95,52% refers to impor barang, total nilai impor grew 38,62%. Source is text.</t>
  </si>
  <si>
    <t xml:space="preserve">Tidak. Pertumbuhan nilai impor luar negeri Bali pada triwulan III 2016 sebesar 38,62% (yoy); angka 95,52% (yoy) adalah pertumbuhan impor barang luar negeri, naik dari 62,3% (yoy) pada triwulan II 2016.</t>
  </si>
  <si>
    <t xml:space="preserve">QA0591</t>
  </si>
  <si>
    <t xml:space="preserve">Apakah pertumbuhan volume impor luar negeri di Provinsi Bali pada triwulan III 2016 sebesar 200% (yoy)?</t>
  </si>
  <si>
    <t xml:space="preserve">Tidak, pertumbuhan volume impor luar negeri di Provinsi Bali pada triwulan III 2016 sebesar 200% (yoy) menunjukkan peningkatan sebesar 200% (yoy) dibandingkan triwulan II 2016 yang sebesar 0% (yoy).</t>
  </si>
  <si>
    <t xml:space="preserve">Text: volume impor Tw III 2016 kontraksi -45,78% (yoy), lebih dalam dari Tw II 2016 -17,57% (yoy). Grafik 1.26 axis max 200.</t>
  </si>
  <si>
    <t xml:space="preserve">'Tidak' right, but answer restates 200% growth and Tw II 0%; actual -45,78% (Tw III) vs -17,57% (Tw II). No calculation needed.</t>
  </si>
  <si>
    <t xml:space="preserve">Tidak. Volume impor luar negeri Bali pada triwulan III 2016 terkontraksi -45,78% (yoy), lebih dalam dibanding triwulan II 2016 sebesar -17,57% (yoy).</t>
  </si>
  <si>
    <t xml:space="preserve">QA0592</t>
  </si>
  <si>
    <t xml:space="preserve">Apakah pertumbuhan wisman yang tertinggi di triwulan III 2016?</t>
  </si>
  <si>
    <t xml:space="preserve">Tertinggi di triwulan III 2016</t>
  </si>
  <si>
    <t xml:space="preserve">Grafik 1.33: gWisman peaks at 27,21% (yoy) in Tw III 2016, highest in 2014-2016; text confirms 27,21% vs 21,84% in Tw II.</t>
  </si>
  <si>
    <t xml:space="preserve">Question is garbled and answer lacks the value; the period is correct.</t>
  </si>
  <si>
    <t xml:space="preserve">Kapan pertumbuhan kunjungan wisman ke Bali mencapai titik tertinggi pada periode 2014-2016?</t>
  </si>
  <si>
    <t xml:space="preserve">Pada triwulan III 2016, dengan pertumbuhan 27,21% (yoy).</t>
  </si>
  <si>
    <t xml:space="preserve">QA0593</t>
  </si>
  <si>
    <t xml:space="preserve">Bilakah pertumbuhan wisman tercatat sebesar 27,21% (yoy)?</t>
  </si>
  <si>
    <t xml:space="preserve">Text: kunjungan wisman pada triwulan III 2016 tercatat sebesar 27,21% (yoy), lebih tinggi dari Tw II 2016 (21,84%).</t>
  </si>
  <si>
    <t xml:space="preserve">Period Tw III 2016 correct.</t>
  </si>
  <si>
    <t xml:space="preserve">QA0594</t>
  </si>
  <si>
    <t xml:space="preserve">Apakah negara asal wisman yang paling banyak mengunjungi Bali?</t>
  </si>
  <si>
    <t xml:space="preserve">Australia</t>
  </si>
  <si>
    <t xml:space="preserve">Grafik 1.35: Australia 23%, largest single country (lainnya 32% is aggregate); text: Australia share tertinggi.</t>
  </si>
  <si>
    <t xml:space="preserve">Correct.</t>
  </si>
  <si>
    <t xml:space="preserve">QA0595</t>
  </si>
  <si>
    <t xml:space="preserve">Peningkatan kunjungan wisatawan ke Provinsi Bali pada triwulan III 2016 sebesar berapa?</t>
  </si>
  <si>
    <t xml:space="preserve">7,64%</t>
  </si>
  <si>
    <t xml:space="preserve">Hallucination, Factual/Numerical, Instruction-following</t>
  </si>
  <si>
    <t xml:space="preserve">Page gives no growth figure for tourist visits; 7,64% (yoy) is growth of kategori transportasi dan pergudangan Tw III 2016.</t>
  </si>
  <si>
    <t xml:space="preserve">The asked metric (tourist visit growth %) is not on the page; the answer is a misattributed number from a different metric.</t>
  </si>
  <si>
    <t xml:space="preserve">QA0596</t>
  </si>
  <si>
    <t xml:space="preserve">Berapa jumlah penumpang pesawat udara Bandara Ngurah Rai pada triwulan III 2016?</t>
  </si>
  <si>
    <t xml:space="preserve">40000 ton</t>
  </si>
  <si>
    <t xml:space="preserve">Grafik 1.36: keberangkatan penumpang Tw III 2016 approx. 2.780 ribu orang (bar just below 2.800).</t>
  </si>
  <si>
    <t xml:space="preserve">Answer '40000 ton' is wrong value and wrong unit (passengers in ribu orang); reading a bar is extraction, not calculation.</t>
  </si>
  <si>
    <t xml:space="preserve">Berapa jumlah keberangkatan penumpang pesawat udara Bandara Ngurah Rai pada triwulan III 2016?</t>
  </si>
  <si>
    <t xml:space="preserve">Sekitar 2.780 ribu orang (hampir 2,8 juta penumpang) pada triwulan III 2016.</t>
  </si>
  <si>
    <t xml:space="preserve">QA0597</t>
  </si>
  <si>
    <t xml:space="preserve">Peningkatan kinerja transportasi laut pada triwulan III 2016 sebesar berapa?</t>
  </si>
  <si>
    <t xml:space="preserve">8,26%</t>
  </si>
  <si>
    <t xml:space="preserve">Text (Transportasi Laut): pertumbuhan arus penumpang naik dari -4,60% (yoy) Tw II 2016 menjadi 8,26% (yoy) Tw III 2016.</t>
  </si>
  <si>
    <t xml:space="preserve">8,26% matches the sea transport passenger growth in Tw III 2016.</t>
  </si>
  <si>
    <t xml:space="preserve">QA0598</t>
  </si>
  <si>
    <t xml:space="preserve">Peningkatan lapangan usaha pertanian, kehutanan, dan perikanan pada triwulan IV 2016</t>
  </si>
  <si>
    <t xml:space="preserve">Peningkatan lapangan usaha pertanian, kehutanan, dan perikanan pada triwulan IV 2016 turut mengalami peningkatan yang terkonfirmasi oleh hasil survei penjualan eceran yang menunjukkan perbaikan perkiraan rata-rata pertumbuhan tahunan total penjualan eceran dari sebesar -4,31% (yoy) pada triwulan III 2016, menjadi sebesar -2,89% (yoy) pada periode triwulan IV 2016 (Oktober 2016).</t>
  </si>
  <si>
    <t xml:space="preserve">Text 1.3.5: LU pertanian, kehutanan &amp; perikanan naik dari -0,01% (yoy) Tw II 2016 menjadi 4,77% (yoy) Tw III 2016. Retail-sales figures (-4,31%-&gt;-2,89%) belong to perdagangan.</t>
  </si>
  <si>
    <t xml:space="preserve">Answer copies the perdagangan besar/eceran paragraph, not the agriculture sector; agriculture data is for Tw III, not Tw IV; question is a fragment.</t>
  </si>
  <si>
    <t xml:space="preserve">Bagaimana pertumbuhan lapangan usaha pertanian, kehutanan, dan perikanan di Bali pada triwulan III 2016?</t>
  </si>
  <si>
    <t xml:space="preserve">Pertumbuhannya meningkat dari -0,01% (yoy) pada triwulan II 2016 menjadi 4,77% (yoy) pada triwulan III 2016, didorong subkategori perkebunan (panen pisang dan jeruk) dan perikanan.</t>
  </si>
  <si>
    <t xml:space="preserve">QA0599</t>
  </si>
  <si>
    <t xml:space="preserve">Tren perubahan produksi perikanan tangkap dari triwulan II 2016 hingga triwulan III 2016</t>
  </si>
  <si>
    <t xml:space="preserve">Produksi perikanan tangkap meningkat dari 24,22 ribu ton pada triwulan II 2016 menjadi 26,87 ribu ton pada triwulan III 2016, meningkat sebesar 9,65% (yoy).</t>
  </si>
  <si>
    <t xml:space="preserve">Calculation, Unit, Typo/Grammar</t>
  </si>
  <si>
    <t xml:space="preserve">Grafik 1.46/text: perikanan tangkap 24,22 ribu ton (Tw II 2016) -&gt; 26,87 ribu ton (Tw III 2016); change = +10,94% qtq.</t>
  </si>
  <si>
    <t xml:space="preserve">Levels are correct, but 26,87/24,22-1 = 10,94% (qtq), not 9,65% (yoy). Question is a fragment.</t>
  </si>
  <si>
    <t xml:space="preserve">Berapa persen kenaikan produksi perikanan tangkap dari triwulan II 2016 ke triwulan III 2016?</t>
  </si>
  <si>
    <t xml:space="preserve">Produksi perikanan tangkap meningkat dari 24,22 ribu ton menjadi 26,87 ribu ton, atau naik sekitar 10,94% (qtq).</t>
  </si>
  <si>
    <t xml:space="preserve">QA0600</t>
  </si>
  <si>
    <t xml:space="preserve">Peningkatan produksi perikanan budidaya pada triwulan III 2016 dibandingkan dengan triwulan II 2016</t>
  </si>
  <si>
    <t xml:space="preserve">Produksi perikanan budidaya pada triwulan III 2016 meningkat sebesar 25,26% (yoy) dibandingkan dengan triwulan II 2016.</t>
  </si>
  <si>
    <t xml:space="preserve">Reasoning, Calculation, Instruction-following, Typo/Grammar</t>
  </si>
  <si>
    <t xml:space="preserve">Grafik 1.46 Budidaya: 26,31 ribu ton (Tw II 2016) -&gt; 25,42 ribu ton (Tw III 2016) = -3,38% qtq.</t>
  </si>
  <si>
    <t xml:space="preserve">Aquaculture production fell, not rose; 25,26% is fabricated. Requires a calculation, so Chart-Information Extraction is wrong.</t>
  </si>
  <si>
    <t xml:space="preserve">Bagaimana perubahan produksi perikanan budidaya pada triwulan III 2016 dibandingkan triwulan II 2016?</t>
  </si>
  <si>
    <t xml:space="preserve">Produksi perikanan budidaya turun dari 26,31 ribu ton pada triwulan II 2016 menjadi 25,42 ribu ton pada triwulan III 2016, atau turun sekitar 3,38% (qtq).</t>
  </si>
  <si>
    <t xml:space="preserve">QA0601</t>
  </si>
  <si>
    <t xml:space="preserve">Apakah realisasi pendapatan daerah pada triwulan III 2016 sebesar Rp 3,72 triliun?</t>
  </si>
  <si>
    <t xml:space="preserve">Text: realisasi pendapatan daerah di triwulan III 2016 mencapai Rp3,72 triliun.</t>
  </si>
  <si>
    <t xml:space="preserve">Correct yes/no, stated in text.</t>
  </si>
  <si>
    <t xml:space="preserve">QA0602</t>
  </si>
  <si>
    <t xml:space="preserve">Bagaimana realisasi APBD Provinsi Bali pada triwulan III 2016 berbanding dengan triwulan III 2015?</t>
  </si>
  <si>
    <t xml:space="preserve">Realisasi APBD Provinsi Bali pada triwulan III 2016 sebesar 66,22% terhadap pagu APBD 2016, sedangkan pada triwulan III 2015 sebesar 77,44%.</t>
  </si>
  <si>
    <t xml:space="preserve">Text/Tabel 2.1: serapan pendapatan 66,22% (TW III 2016) vs 77,44% (TW III 2015); belanja 54,65% vs 52,90%.</t>
  </si>
  <si>
    <t xml:space="preserve">66,22%/77,44% are revenue realization only, not overall APBD; spending side omitted. No chart; data in text/table.</t>
  </si>
  <si>
    <t xml:space="preserve">Realisasi pendapatan triwulan III 2016 sebesar 66,22% dari pagu (lebih rendah dari 77,44% pada triwulan III 2015), sedangkan realisasi belanja 54,65% (sedikit lebih tinggi dari 52,90%).</t>
  </si>
  <si>
    <t xml:space="preserve">QA0603</t>
  </si>
  <si>
    <t xml:space="preserve">Apakah ada realisasi surplus pada triwulan III 2016?</t>
  </si>
  <si>
    <t xml:space="preserve">Ya, realisasi surplus pada triwulan III 2016 sebesar Rp 470,68 miliar.</t>
  </si>
  <si>
    <t xml:space="preserve">Tabel 2.1: surplus realisasi TW III 2016 470,68 (Rp miliar); text states Rp470,48 miliar.</t>
  </si>
  <si>
    <t xml:space="preserve">Answer matches the table value, but no chart and no calculation is involved; category mislabelled.</t>
  </si>
  <si>
    <t xml:space="preserve">Ya, Provinsi Bali mencatat surplus pada triwulan III 2016 sebesar Rp470,68 miliar (Tabel 2.1; teks menyebut Rp470,48 miliar).</t>
  </si>
  <si>
    <t xml:space="preserve">QA0604</t>
  </si>
  <si>
    <t xml:space="preserve">Apakah total pendapatan APBD Provinsi Bali pada tahun 2016 meningkat atau turun?</t>
  </si>
  <si>
    <t xml:space="preserve">Meningkat</t>
  </si>
  <si>
    <t xml:space="preserve">Text: total anggaran pendapatan Pemprov Bali 2016 Rp5,62 triliun, meningkat 21,93% dibandingkan APBD-P 2015.</t>
  </si>
  <si>
    <t xml:space="preserve">Direction 'Meningkat' matches the text.</t>
  </si>
  <si>
    <t xml:space="preserve">QA0605</t>
  </si>
  <si>
    <t xml:space="preserve">Berapakah total pendapatan APBD Provinsi Bali pada tahun 2016 sebesar?</t>
  </si>
  <si>
    <t xml:space="preserve">Rp 5,62 triliun</t>
  </si>
  <si>
    <t xml:space="preserve">Text: total anggaran pendapatan Pemprov Bali tahun 2016 sebesar Rp5,62 triliun (Tabel 2.2: 5.619,45 miliar). No chart on page.</t>
  </si>
  <si>
    <t xml:space="preserve">Value correct, but page has no chart; value is stated in text.</t>
  </si>
  <si>
    <t xml:space="preserve">Total anggaran pendapatan APBD Provinsi Bali tahun 2016 sebesar Rp5,62 triliun.</t>
  </si>
  <si>
    <t xml:space="preserve">QA0606</t>
  </si>
  <si>
    <t xml:space="preserve">Pendapatan APBD Provinsi Bali pada tahun 2016 meningkat sebesar berapa persen dibandingkan APBD-P tahun 2015?</t>
  </si>
  <si>
    <t xml:space="preserve">21,93%</t>
  </si>
  <si>
    <t xml:space="preserve">Text: meningkat sebesar 21,93% dibandingkan APBD-P 2015 (Tabel 2.2: 4.608,61 -&gt; 5.619,45 miliar = +21,93%). No chart.</t>
  </si>
  <si>
    <t xml:space="preserve">21,93% is correct, but no chart exists; value stated directly in text (also derivable from table).</t>
  </si>
  <si>
    <t xml:space="preserve">Pendapatan APBD Provinsi Bali tahun 2016 meningkat 21,93% dibandingkan APBD-P 2015.</t>
  </si>
  <si>
    <t xml:space="preserve">QA0607</t>
  </si>
  <si>
    <t xml:space="preserve">Apakah penurunan realisasi penyerapan komponen APBD Provinsi Bali dalam triwulan III 2016?</t>
  </si>
  <si>
    <t xml:space="preserve">Penurunan realisasi penyerapan komponen APBD Provinsi Bali dalam triwulan III 2016 sebesar 65,97% dibandingkan triwulan yang sama tahun 2015.</t>
  </si>
  <si>
    <t xml:space="preserve">Text: realisasi penyerapan komponen ini turun 65,97% dibandingkan realisasi pada triwulan yang sama tahun 2015.</t>
  </si>
  <si>
    <t xml:space="preserve">Answer 65,97% decline vs Tw III 2015 matches the text; 'Apakah' is awkward for 'Berapa' but understandable.</t>
  </si>
  <si>
    <t xml:space="preserve">QA0608</t>
  </si>
  <si>
    <t xml:space="preserve">Berdasarkan apa penurunan realisasi ini terjadi?</t>
  </si>
  <si>
    <t xml:space="preserve">Penurunan realisasi ini terjadi karena penurunan realisasi pendapatan dana pernyseuaian otonomi khusus dari Rp 394,69 miliar pada triwulan III 2015 menjadi hanya sebesar Rp 5 miliar pada triwulan III 2016.</t>
  </si>
  <si>
    <t xml:space="preserve">Text: penurunan disebabkan penurunan realisasi pendapatan dana penyesuaian otonomi khusus dari Rp394,69 miliar (Tw III 2015) menjadi Rp5 miliar (Tw III 2016).</t>
  </si>
  <si>
    <t xml:space="preserve">Answer is factually correct but comes from paragraph text, not a chart; typo 'pernyseuaian'.</t>
  </si>
  <si>
    <t xml:space="preserve">Apa penyebab penurunan realisasi penyerapan komponen tersebut pada triwulan III 2016?</t>
  </si>
  <si>
    <t xml:space="preserve">Penurunan terutama disebabkan oleh turunnya realisasi pendapatan dana penyesuaian otonomi khusus dari Rp394,69 miliar pada triwulan III 2015 menjadi hanya Rp5 miliar pada triwulan III 2016.</t>
  </si>
  <si>
    <t xml:space="preserve">QA0609</t>
  </si>
  <si>
    <t xml:space="preserve">Apakah APBD Provinsi Bali memiliki anggaran belanja yang meningkat?</t>
  </si>
  <si>
    <t xml:space="preserve">Ya, APBD Provinsi Bali memiliki anggaran belanja yang meningkat, terutama didorong oleh peningkatan pagu anggaran seluruh sub komponen dari pembentuk belanja.</t>
  </si>
  <si>
    <t xml:space="preserve">Reasoning, Incomplete, Instruction-following</t>
  </si>
  <si>
    <t xml:space="preserve">Text/Tabel 2.3: belanja APBD 2016 Rp5,95 T, naik 19,21% dari Rp4,99 T; belanja tidak langsung +23,20%; Subsidi 0%, Tidak Terduga -50%, Barang&amp;Jasa -14,09%.</t>
  </si>
  <si>
    <t xml:space="preserve">'Ya' is correct, but not all spending sub-components rose; text attributes the rise to sub-components of indirect spending (hibah, bagi hasil, bantuan keuangan). No calculation needed.</t>
  </si>
  <si>
    <t xml:space="preserve">Ya. Pagu belanja APBD Provinsi Bali 2016 sebesar Rp5,95 triliun, naik 19,21% dari Rp4,99 triliun (APBD-P 2015), terutama didorong belanja tidak langsung (+23,20%) seperti belanja hibah, bagi hasil, dan bantuan keuangan.</t>
  </si>
  <si>
    <t xml:space="preserve">QA0610</t>
  </si>
  <si>
    <t xml:space="preserve">Apakah realisasi APBN di Provinsi Bali pada triwulan III 2016 meningkat dibandingkan triwulan III 2015?</t>
  </si>
  <si>
    <t xml:space="preserve">Ya, realisasi APBN di Provinsi Bali pada triwulan III 2016 meningkat dibandingkan triwulan III 2015.</t>
  </si>
  <si>
    <t xml:space="preserve">Text: Realisasi belanja APBN ... Tw III 2016 menunjukkan peningkatan dibandingkan Tw III 2015 (62,90% vs 52,49%; Rp5,30 vs Rp4,93 triliun).</t>
  </si>
  <si>
    <t xml:space="preserve">Correct yes answer supported by text.</t>
  </si>
  <si>
    <t xml:space="preserve">QA0611</t>
  </si>
  <si>
    <t xml:space="preserve">Berapa persentase realisasi APBN untuk belanja pegawai pada triwulan III 2016?</t>
  </si>
  <si>
    <t xml:space="preserve">Persentase realisasi APBN untuk belanja pegawai pada triwulan III 2016 adalah 78,80%.</t>
  </si>
  <si>
    <t xml:space="preserve">Text: belanja pegawai Tw III 2016 Rp 2,80 triliun, realisasi 78,80% dari pagu. Grafik 2.4 only shows 2015 share (Pegawai 38%).</t>
  </si>
  <si>
    <t xml:space="preserve">Value correct but from running text; chart shows 2015 shares only.</t>
  </si>
  <si>
    <t xml:space="preserve">Realisasi belanja pegawai pada triwulan III 2016 mencapai 78,80% dari pagu anggaran (Rp2,80 triliun).</t>
  </si>
  <si>
    <t xml:space="preserve">QA0612</t>
  </si>
  <si>
    <t xml:space="preserve">Berapa total realisasi APBN untuk belanja modal pada triwulan III 2016?</t>
  </si>
  <si>
    <t xml:space="preserve">Total realisasi APBN untuk belanja modal pada triwulan III 2016 mencapai Rp 1,83 triliun.</t>
  </si>
  <si>
    <t xml:space="preserve">Text: realisasi belanja modal APBN turun -15,19% (yoy) dari Rp 789,29 triliun menjadi Rp 669,43 triliun; serapan 41,24%. Rp1,83 triliun is belanja barang.</t>
  </si>
  <si>
    <t xml:space="preserve">Rp1,83 triliun belongs to belanja barang; belanja modal is Rp669,43 (as printed) with 41,24% absorption. Text source, no calculation.</t>
  </si>
  <si>
    <t xml:space="preserve">Realisasi belanja modal APBN pada triwulan III 2016 tercatat Rp669,43 triliun (sebagaimana tertulis), turun 15,19% (yoy) dari Rp789,29 triliun, dengan serapan 41,24%.</t>
  </si>
  <si>
    <t xml:space="preserve">QA0613</t>
  </si>
  <si>
    <t xml:space="preserve">Apakah perusahaan atau institusi keuangan yang diteliti dalam dokumen ini?</t>
  </si>
  <si>
    <t xml:space="preserve">Perusahaan atau institusi keuangan yang diteliti adalah Bank Umum dan BPR di Bali.</t>
  </si>
  <si>
    <t xml:space="preserve">Section 4.3 Asesmen Institusi Keuangan (Perbankan) covers bank umum and BPR in Bali (text, Tabel 4.11-4.12). No chart on page.</t>
  </si>
  <si>
    <t xml:space="preserve">Answer correct, but no chart exists; it is text inference. Question wording 'Apakah' for a 'what' question is awkward.</t>
  </si>
  <si>
    <t xml:space="preserve">Institusi keuangan apa yang dinilai dalam bagian ini?</t>
  </si>
  <si>
    <t xml:space="preserve">Institusi keuangan yang dinilai adalah perbankan di Bali, yaitu Bank Umum dan BPR.</t>
  </si>
  <si>
    <t xml:space="preserve">QA0614</t>
  </si>
  <si>
    <t xml:space="preserve">Berdasarkan tabel 4.11, berapakah jumlah kantor bank umum di Bali pada tahun 2016?</t>
  </si>
  <si>
    <t xml:space="preserve">Jumlah kantor bank umum di Bali pada tahun 2016 adalah 716.</t>
  </si>
  <si>
    <t xml:space="preserve">Tabel 4.11 Bank Umum Jumlah Kantor 2016: Tw I 702, Tw II 696, Tw III 716.</t>
  </si>
  <si>
    <t xml:space="preserve">716 is correct only for Tw III 2016; 'tahun 2016' is imprecise since 2016 has quarterly values. Single-cell lookup, not a calculation.</t>
  </si>
  <si>
    <t xml:space="preserve">Berdasarkan Tabel 4.11, berapakah jumlah kantor bank umum di Bali pada triwulan III 2016?</t>
  </si>
  <si>
    <t xml:space="preserve">Jumlah kantor bank umum di Bali pada triwulan III 2016 adalah 716 kantor.</t>
  </si>
  <si>
    <t xml:space="preserve">QA0615</t>
  </si>
  <si>
    <t xml:space="preserve">Dalam periode triwulan III 2016, berapakah rasio NPL (non performing loans) yang ditetapkan oleh institusi keuangan?</t>
  </si>
  <si>
    <t xml:space="preserve">Rasio NPL yang ditetapkan oleh institusi keuangan pada periode triwulan III 2016 adalah 8,18%. </t>
  </si>
  <si>
    <t xml:space="preserve">8,18% is NPL kredit modal kerja korporasi Tw III 2016 (text). Perbankan Bali NPL Tw III 2016 = 2,96% (Tabel 4.12); tolerance threshold 5%.</t>
  </si>
  <si>
    <t xml:space="preserve">Misattributed: 8,18% is NPL of corporate working-capital credit, not the NPL of financial institutions; 'ditetapkan' garbles the question.</t>
  </si>
  <si>
    <t xml:space="preserve">Berapakah rasio NPL kredit modal kerja korporasi di Bali pada triwulan III 2016?</t>
  </si>
  <si>
    <t xml:space="preserve">NPL kredit modal kerja korporasi meningkat dari 6,48% pada triwulan II 2016 menjadi 8,18% pada triwulan III 2016.</t>
  </si>
  <si>
    <t xml:space="preserve">QA0616</t>
  </si>
  <si>
    <t xml:space="preserve">Apakah perusahaan yang disebutkan dalam dokumen?</t>
  </si>
  <si>
    <t xml:space="preserve">BPR</t>
  </si>
  <si>
    <t xml:space="preserve">Page discusses bank umum (LDR, NPL) and subsection 4.4.5 Bank Perkreditan Rakyat (BPR).</t>
  </si>
  <si>
    <t xml:space="preserve">Question is vague/garbled ('Apakah perusahaan...'); page mentions both bank umum and BPR, so answer 'BPR' is only partial without specifying scope.</t>
  </si>
  <si>
    <t xml:space="preserve">Jenis lembaga keuangan apa yang dibahas pada subbab 4.4.5?</t>
  </si>
  <si>
    <t xml:space="preserve">Bank Perkreditan Rakyat (BPR).</t>
  </si>
  <si>
    <t xml:space="preserve">QA0617</t>
  </si>
  <si>
    <t xml:space="preserve">Apakah peningkatan pertumbuhan kredit di triwulan III 2016 disebabkan oleh apa?</t>
  </si>
  <si>
    <t xml:space="preserve">Melambatnya kinerja penghimpunan dana maupun penyaluran kredit perbankan ke masyarakat.</t>
  </si>
  <si>
    <t xml:space="preserve">Text: 'Perlambatan aset BPR di Provinsi Bali disebabkan oleh melambatnya kinerja penghimpunan dana maupun penyaluran kredit'. No cause for increased credit growth given; no chart.</t>
  </si>
  <si>
    <t xml:space="preserve">Answer is the stated cause of the BPR asset slowdown, not of an increase in credit growth; causal link misattributed. Evidence is text, not chart.</t>
  </si>
  <si>
    <t xml:space="preserve">Apa penyebab perlambatan aset BPR di Provinsi Bali pada triwulan III 2016?</t>
  </si>
  <si>
    <t xml:space="preserve">QA0618</t>
  </si>
  <si>
    <t xml:space="preserve">Apakah pertumbuhan kredit BPR di triwulan III 2016 sebanding dengan pertumbuhan triwulan sebelumnya?</t>
  </si>
  <si>
    <t xml:space="preserve">Lebih rendah dibandingkan triwulan sebelumnya yang mencapai 84,53%.</t>
  </si>
  <si>
    <t xml:space="preserve">Text/Tabel 4.14: g kredit BPR Tw III 2016 9,72% yoy vs Tw II 2016 10,61% yoy. 84,53% is LDR bank umum Tw II 2016.</t>
  </si>
  <si>
    <t xml:space="preserve">Direction (lower) is correct, but 84,53% is bank umum LDR, not BPR credit growth (10,61%). No chart on page.</t>
  </si>
  <si>
    <t xml:space="preserve">Lebih rendah; pertumbuhan kredit BPR triwulan III 2016 sebesar 9,72% (yoy), melambat dibandingkan triwulan sebelumnya yang tumbuh 10,61% (yoy).</t>
  </si>
  <si>
    <t xml:space="preserve">QA0619</t>
  </si>
  <si>
    <t xml:space="preserve">Pangsa kredit UMKM di sektor konstruksi, perdagangan hotel, dan restoran meningkat pada periode tertentu?</t>
  </si>
  <si>
    <t xml:space="preserve">Tidak dapat dijelaskan dari informasi yang diberikan.</t>
  </si>
  <si>
    <t xml:space="preserve">No chart or text gives the UMKM credit share of konstruksi/PHR over time; those sectors are named only for rising NPL. Grafik 4.29/4.30 show shares by credit size and kabupaten.</t>
  </si>
  <si>
    <t xml:space="preserve">The question asks about a sector-share trend that is not on the page. The answer is a non-answer.</t>
  </si>
  <si>
    <t xml:space="preserve">QA0620</t>
  </si>
  <si>
    <t xml:space="preserve">Peningkatan tingkat NPL kredit UMKM di sektor konstruksi, perdagangan hotel, dan restoran terjadi pada periode berapa?</t>
  </si>
  <si>
    <t xml:space="preserve">Text: 'tendensi peningkatan tingkat NPL kredit UMKM di periode laporan secara sektoral disebabkan oleh peningkatan tingkat NPL pada ... konstruksi, perdagangan hotel dan restoran'.</t>
  </si>
  <si>
    <t xml:space="preserve">The page says the rise happened in the reporting period. The answer wrongly claims it cannot be determined.</t>
  </si>
  <si>
    <t xml:space="preserve">Peningkatan tingkat NPL kredit UMKM pada sektor konstruksi serta perdagangan, hotel dan restoran terjadi pada periode laporan.</t>
  </si>
  <si>
    <t xml:space="preserve">QA0621</t>
  </si>
  <si>
    <t xml:space="preserve">Peningkatan rasio rekening kredit per penduduk bekerja di Bali pada bulan Agustus 2016 sebesar berapa?</t>
  </si>
  <si>
    <t xml:space="preserve">27,20%</t>
  </si>
  <si>
    <t xml:space="preserve">Calculation, Format</t>
  </si>
  <si>
    <t xml:space="preserve">Grafik 4.32: rasio rekening kredit per penduduk bekerja 26,03 (Feb 2016) -&gt; 27,20 (Agu 2016); text: sedikit peningkatan menjadi 27,20% di Agustus 2016.</t>
  </si>
  <si>
    <t xml:space="preserve">The question asks for the size of the increase, but the answer gives the level (27,20%) as a bare number. The increase from February 2016 is 1,17 pp.</t>
  </si>
  <si>
    <t xml:space="preserve">Rasio rekening kredit per penduduk bekerja di Bali meningkat sebesar 1,17 poin persentase, dari 26,03% pada Februari 2016 menjadi 27,20% pada Agustus 2016.</t>
  </si>
  <si>
    <t xml:space="preserve">QA0622</t>
  </si>
  <si>
    <t xml:space="preserve">Apakah peningkatan jumlah penduduk usia produktif di Bali pada Agustus 2016?</t>
  </si>
  <si>
    <t xml:space="preserve">Ya, peningkatan jumlah penduduk usia produktif di Bali pada Agustus 2016 tercatat sebesar 3,2 juta orang, atau meningkat 1,52% dibanding Agustus 2015 dan 0,77% dibanding Februari 2016.</t>
  </si>
  <si>
    <t xml:space="preserve">Text: penduduk usia kerja Ags 2016 sebanyak 3,2 juta orang, meningkat 1,52% dibanding Ags 2015 dan 0,77% dibanding Feb 2016.</t>
  </si>
  <si>
    <t xml:space="preserve">Facts correct, but answer calls 3,2 juta the 'peningkatan' when it is the total level; question is ungrammatical.</t>
  </si>
  <si>
    <t xml:space="preserve">Apakah jumlah penduduk usia kerja di Bali meningkat pada Agustus 2016?</t>
  </si>
  <si>
    <t xml:space="preserve">Ya, jumlah penduduk usia kerja di Bali pada Agustus 2016 tercatat sebanyak 3,2 juta orang, meningkat 1,52% dibanding Agustus 2015 dan 0,77% dibanding Februari 2016.</t>
  </si>
  <si>
    <t xml:space="preserve">QA0623</t>
  </si>
  <si>
    <t xml:space="preserve">Berapakah tingkat pengangguran pada TPT Agustus 2016?</t>
  </si>
  <si>
    <t xml:space="preserve">Tingkat pengangguran pada TPT Agustus 2016 sebesar 1,89%.</t>
  </si>
  <si>
    <t xml:space="preserve">Grafik 6.1 label Ags 16 = 1.89; text: TPT Agustus 2016 1,89%.</t>
  </si>
  <si>
    <t xml:space="preserve">Verified in chart and text.</t>
  </si>
  <si>
    <t xml:space="preserve">QA0624</t>
  </si>
  <si>
    <t xml:space="preserve">Apakah tingkat pengangguran pada TPT Agustus 2016 lebih rendah dibanding TPT Agustus 2015 dan Februari 2016?</t>
  </si>
  <si>
    <t xml:space="preserve">Tingkat pengangguran pada TPT Agustus 2016 lebih rendah dibanding TPT Agustus 2015 dan Februari 2016, yaitu 1,89% dibanding 1,99% dan 2,12% pada periode yang sama.</t>
  </si>
  <si>
    <t xml:space="preserve">Text: TPT Ags 2016 1,89% lebih rendah dibanding Ags 2015 1,99% dan Feb 2016 2,12%.</t>
  </si>
  <si>
    <t xml:space="preserve">Answer correct, but it is a direct comparison stated in text; no numerical calculation.</t>
  </si>
  <si>
    <t xml:space="preserve">QA0625</t>
  </si>
  <si>
    <t xml:space="preserve">Penduduk usia 15 tahun ke atas yang bekerja di lapangan pertanian meningkat sebesar berapa?</t>
  </si>
  <si>
    <t xml:space="preserve">1,2%</t>
  </si>
  <si>
    <t xml:space="preserve">Text: 'industry menunjukkan peningkatan sebesar 1,2%'. Tabel 6.2 Pertanian declines: 520,775 (Agu 2015) -&gt; 511,861 (Feb 2016) -&gt; 506,251 (Agu 2016).</t>
  </si>
  <si>
    <t xml:space="preserve">The 1,2% increase refers to industri, not pertanian; pertanian employment actually fell.</t>
  </si>
  <si>
    <t xml:space="preserve">Lapangan pekerjaan industri menunjukkan peningkatan sebesar berapa?</t>
  </si>
  <si>
    <t xml:space="preserve">Lapangan pekerjaan industri menunjukkan peningkatan sebesar 1,2%.</t>
  </si>
  <si>
    <t xml:space="preserve">QA0626</t>
  </si>
  <si>
    <t xml:space="preserve">Berapakah jumlah penduduk usia 15 tahun ke atas yang bekerja di lapangan industri pada Februari 2014?</t>
  </si>
  <si>
    <t xml:space="preserve">337,080</t>
  </si>
  <si>
    <t xml:space="preserve">Tabel 6.2: Industri Februari 2014 = 337,080 orang.</t>
  </si>
  <si>
    <t xml:space="preserve">Value correct, but it is a single-cell lookup, not a calculation; unit missing.</t>
  </si>
  <si>
    <t xml:space="preserve">337.080 orang.</t>
  </si>
  <si>
    <t xml:space="preserve">QA0627</t>
  </si>
  <si>
    <t xml:space="preserve">Berapakah jumlah penduduk usia 15 tahun ke atas yang bekerja di lapangan transportasi, pergudangan, dan komunikasi pada Agustus 2015?</t>
  </si>
  <si>
    <t xml:space="preserve">66,368</t>
  </si>
  <si>
    <t xml:space="preserve">Tabel 6.2: Transportasi, Pergudangan, dan Komunikasi Agustus 2015 = 75,472; 66,368 is Februari 2015.</t>
  </si>
  <si>
    <t xml:space="preserve">Wrong column (Feb 2015 instead of Aug 2015); data is from a table, not a chart.</t>
  </si>
  <si>
    <t xml:space="preserve">75.472 orang.</t>
  </si>
  <si>
    <t xml:space="preserve">QA0628</t>
  </si>
  <si>
    <t xml:space="preserve">Banyaknya pekerja yang tidak penuh waktu di Februari 2014 sebanyak?</t>
  </si>
  <si>
    <t xml:space="preserve">545,757</t>
  </si>
  <si>
    <t xml:space="preserve">Tabel 6.4: Pekerja Tidak Penuh Februari 2014 = 545,757 orang. No chart on page.</t>
  </si>
  <si>
    <t xml:space="preserve">Value correct, but it is a table lookup, not a chart.</t>
  </si>
  <si>
    <t xml:space="preserve">545.757 orang.</t>
  </si>
  <si>
    <t xml:space="preserve">QA0629</t>
  </si>
  <si>
    <t xml:space="preserve">Jumlah pekerja yang penuh waktu di Agustus 2015 sebanyak?</t>
  </si>
  <si>
    <t xml:space="preserve">1,845,768</t>
  </si>
  <si>
    <t xml:space="preserve">Tabel 6.4: Pekerja Penuh Agustus 2015 = 1,845,768 orang (not in running text).</t>
  </si>
  <si>
    <t xml:space="preserve">Value correct, but evidence is a table, not text.</t>
  </si>
  <si>
    <t xml:space="preserve">1.845.768 orang.</t>
  </si>
  <si>
    <t xml:space="preserve">QA0630</t>
  </si>
  <si>
    <t xml:space="preserve">Jumlah penduduk usia 15 tahun ke atas yang bekerja di Februari 2014 sebanyak?</t>
  </si>
  <si>
    <t xml:space="preserve">2,377,394</t>
  </si>
  <si>
    <t xml:space="preserve">Tabel 6.4/6.5: TOTAL Februari 2014 = 2,377,394 orang. No chart.</t>
  </si>
  <si>
    <t xml:space="preserve">Value correct, but it is a single table lookup, not a chart calculation.</t>
  </si>
  <si>
    <t xml:space="preserve">2.377.394 orang.</t>
  </si>
  <si>
    <t xml:space="preserve">QA0631</t>
  </si>
  <si>
    <t xml:space="preserve">Apakah pertumbuhan ekonomi Provinsi Banten pada triwulan II-2015 berbanding dengan triwulan I-2015?</t>
  </si>
  <si>
    <t xml:space="preserve">Pertumbuhan ekonomi Provinsi Banten mengalami perlambatan dari sebelumnya 5,43% (yoy) di triwulan I-2015 menjadi 5,26% (yoy) di triwulan II-2015.</t>
  </si>
  <si>
    <t xml:space="preserve">Text: perlambatan dari 5,43% (yoy) Tw I-2015 menjadi 5,26% (yoy) Tw II-2015.</t>
  </si>
  <si>
    <t xml:space="preserve">Question wording is awkward but understandable; answer values and direction match the text.</t>
  </si>
  <si>
    <t xml:space="preserve">QA0632</t>
  </si>
  <si>
    <t xml:space="preserve">Berapa persentase pertumbuhan ekonomi Provinsi Banten pada triwulan II-2015?</t>
  </si>
  <si>
    <t xml:space="preserve">Grafik I.1 table: Banten Tw II-2015 = 5,26 (also text: 5,26% yoy).</t>
  </si>
  <si>
    <t xml:space="preserve">Value correct but answer is a bare number without context and omits yoy.</t>
  </si>
  <si>
    <t xml:space="preserve">Pertumbuhan ekonomi Provinsi Banten pada triwulan II-2015 sebesar 5,26% (yoy).</t>
  </si>
  <si>
    <t xml:space="preserve">QA0633</t>
  </si>
  <si>
    <t xml:space="preserve">Apakah pertumbuhan ekonomi Provinsi Banten pada triwulan II-2015 lebih tinggi atau lebih rendah dibandingkan triwulan I-2015?</t>
  </si>
  <si>
    <t xml:space="preserve">Lebih rendah</t>
  </si>
  <si>
    <t xml:space="preserve">Grafik I.1: Banten 5,43 (Tw I-2015) vs 5,26 (Tw II-2015).</t>
  </si>
  <si>
    <t xml:space="preserve">'Lebih rendah' is correct, but no calculation is performed, so Chart-Numerical Calculation does not fit; answer lacks supporting values.</t>
  </si>
  <si>
    <t xml:space="preserve">Lebih rendah; pertumbuhan ekonomi Banten melambat dari 5,43% (yoy) pada triwulan I-2015 menjadi 5,26% (yoy) pada triwulan II-2015.</t>
  </si>
  <si>
    <t xml:space="preserve">QA0634</t>
  </si>
  <si>
    <t xml:space="preserve">Apakah pertumbuhan PMA di triwulan II-2015 sebesar 7,55% (yoy)?</t>
  </si>
  <si>
    <t xml:space="preserve">Text: PMA di triwulan II-2015 tumbuh 7,55% (yoy).</t>
  </si>
  <si>
    <t xml:space="preserve">QA0635</t>
  </si>
  <si>
    <t xml:space="preserve">Berapakah suku bunga kredit investasi pada triwulan II-2015?</t>
  </si>
  <si>
    <t xml:space="preserve">9,83%</t>
  </si>
  <si>
    <t xml:space="preserve">Text: suku bunga kredit investasi naik dari 9,71% menjadi 9,83% di triwulan II-2015.</t>
  </si>
  <si>
    <t xml:space="preserve">9,83% is correct but comes from text (Grafik I.12 only shows the line); no calculation involved.</t>
  </si>
  <si>
    <t xml:space="preserve">Suku bunga kredit investasi pada triwulan II-2015 sebesar 9,83%, naik dari 9,71% pada triwulan sebelumnya.</t>
  </si>
  <si>
    <t xml:space="preserve">QA0636</t>
  </si>
  <si>
    <t xml:space="preserve">Berapa total proyek PMA di triwulan II-2015?</t>
  </si>
  <si>
    <t xml:space="preserve">298</t>
  </si>
  <si>
    <t xml:space="preserve">Tabel I.2: total proyek PMA = 6+2+48+130+32+3+57+20 = 298.</t>
  </si>
  <si>
    <t xml:space="preserve">Total matches the sum of the table rows and the TOTAL row.</t>
  </si>
  <si>
    <t xml:space="preserve">QA0637</t>
  </si>
  <si>
    <t xml:space="preserve">Apakah ekspor ke negara tujuan utama seperti Amerika Serikat dan Jepang mengalami penurunan di triwulan II-2015?</t>
  </si>
  <si>
    <t xml:space="preserve">Ya, ekspor ke negara tujuan utama seperti Amerika Serikat dan Jepang mengalami penurunan di triwulan II-2015.</t>
  </si>
  <si>
    <t xml:space="preserve">Text: 'Ekspor ke negara tujuan utama seperti Amerika Serikat dan Jepang mengalami penurunan di triwulan II-2015 melanjutkan tren penurunan sejak triwulan IV-2014.'</t>
  </si>
  <si>
    <t xml:space="preserve">Answer matches the text.</t>
  </si>
  <si>
    <t xml:space="preserve">QA0638</t>
  </si>
  <si>
    <t xml:space="preserve">Berapakah persentase penurunan ekspor ke negara tujuan utama Amerika Serikat di triwulan II-2015?</t>
  </si>
  <si>
    <t xml:space="preserve">Persentase penurunan ekspor ke negara tujuan utama Amerika Serikat di triwulan II-2015 tidak disebutkan dalam dokumen.</t>
  </si>
  <si>
    <t xml:space="preserve">Text gives no % for USA. Tabel I.4 USA: Tw II-2014 82.206.240,17; Tw I-2015 74.466.904,05; Tw II-2015 83.287.014,18.</t>
  </si>
  <si>
    <t xml:space="preserve">Text lacks the %, but Tabel I.4 allows computing it: USA Tw II-2015 is +1,31% yoy (+11,84% qtq), i.e. table shows no decline. Answer gives no figure; no chart exists for this.</t>
  </si>
  <si>
    <t xml:space="preserve">Berdasarkan Tabel I.4, berapa persen perubahan ekspor ke Amerika Serikat pada triwulan II-2015 dibandingkan triwulan II-2014?</t>
  </si>
  <si>
    <t xml:space="preserve">Teks tidak menyebut persentasenya. Berdasarkan Tabel I.4, ekspor ke AS pada triwulan II-2015 sebesar 83.287.014,18 dibanding 82.206.240,17 pada triwulan II-2014, atau naik sekitar 1,31% (yoy).</t>
  </si>
  <si>
    <t xml:space="preserve">QA0639</t>
  </si>
  <si>
    <t xml:space="preserve">Berapa total ekspor impor dari negara Brunei Darussalam pada tahun 2015?</t>
  </si>
  <si>
    <t xml:space="preserve">Total ekspor impor dari negara Brunei Darussalam pada tahun 2015 adalah 1,039,675,970.46.</t>
  </si>
  <si>
    <t xml:space="preserve">Calculation, Incomplete, Temporal</t>
  </si>
  <si>
    <t xml:space="preserve">Tabel I.4 Brunei Darussalam (impor only) 2015: Tw I 1.039.675.970,46; Tw II 997.322.947,47. Brunei not in export list.</t>
  </si>
  <si>
    <t xml:space="preserve">Answer gives only Tw I-2015 import value; 2015 total (Tw I+II) = 2.036.998.917,93, and Brunei appears only as import origin.</t>
  </si>
  <si>
    <t xml:space="preserve">Berapa total impor dari Brunei Darussalam pada triwulan I dan II tahun 2015?</t>
  </si>
  <si>
    <t xml:space="preserve">Total impor dari Brunei Darussalam pada triwulan I-II 2015 adalah 1.039.675.970,46 + 997.322.947,47 = 2.036.998.917,93 (Brunei hanya tercatat sebagai negara asal impor).</t>
  </si>
  <si>
    <t xml:space="preserve">QA0640</t>
  </si>
  <si>
    <t xml:space="preserve">Apakah rata-rata inflasi bulanan Provinsi Banten selama triwulan II 2015 mencapai angka tertentu?</t>
  </si>
  <si>
    <t xml:space="preserve">0,68% (mtm)</t>
  </si>
  <si>
    <t xml:space="preserve">Text 2.2: rata-rata inflasi bulanan Banten selama triwulan II 2015 mencapai 0,68% (mtm); Tabel II.1 Rata2 = 0,68.</t>
  </si>
  <si>
    <t xml:space="preserve">Answer 0,68% (mtm) is correct; question phrasing awkward but understandable.</t>
  </si>
  <si>
    <t xml:space="preserve">QA0641</t>
  </si>
  <si>
    <t xml:space="preserve">Berapa persentase penurunan harga bahan makanan di triwulan I tahun 2015 dibandingkan tahun 2014?</t>
  </si>
  <si>
    <t xml:space="preserve">Pendudukan data inflasi bulanan triwulan I 2015 untuk bahan makanan dalam tabel menunjukkan penurunan harga bahan makanan di triwulan I tahun 2015 dibandingkan tahun 2014.</t>
  </si>
  <si>
    <t xml:space="preserve">Incomplete, Instruction-following, Typo/Grammar</t>
  </si>
  <si>
    <t xml:space="preserve">Tabel II.1 Bahan Makanan: Tw I 2014 0,86; Tw II 2014 (0,27); Tw I 2015 (0,66). Text: penurunan harga bahan makanan 2015 lebih cepat (Tw I) vs 2014 (Tw II).</t>
  </si>
  <si>
    <t xml:space="preserve">Asks 'berapa persentase' but answer gives no number and is garbled ('Pendudukan'). Data is from table, not chart.</t>
  </si>
  <si>
    <t xml:space="preserve">Pada triwulan I 2015 kelompok bahan makanan mengalami deflasi 0,66% (mtm), sedangkan triwulan I 2014 masih inflasi 0,86%; pada 2014 penurunan harga baru terjadi di triwulan II (-0,27%).</t>
  </si>
  <si>
    <t xml:space="preserve">QA0642</t>
  </si>
  <si>
    <t xml:space="preserve">Apakah ada perbedaan yang signifikan antara inflasi bulanan triwulan II 2015 dan triwulan I 2015?</t>
  </si>
  <si>
    <t xml:space="preserve">Ya, perbedaan inflasi bulanan triwulan II 2015 (0,68%) lebih tinggi dibandingkan triwulan I 2015 (-0,19%).</t>
  </si>
  <si>
    <t xml:space="preserve">Instruction-following, Calculation, Typo/Grammar</t>
  </si>
  <si>
    <t xml:space="preserve">Text 2.2 / Tabel II.1: rata-rata inflasi bulanan Tw II 2015 0,68% (mtm) vs Tw I 2015 -0,19%.</t>
  </si>
  <si>
    <t xml:space="preserve">Values correct, but no chart used and the difference is not computed (0,87 pp); 'perbedaan ... lebih tinggi' is awkward.</t>
  </si>
  <si>
    <t xml:space="preserve">Ya. Rata-rata inflasi bulanan triwulan II 2015 sebesar 0,68% (mtm), lebih tinggi 0,87 poin persen dibandingkan triwulan I 2015 yang deflasi 0,19%.</t>
  </si>
  <si>
    <t xml:space="preserve">QA0643</t>
  </si>
  <si>
    <t xml:space="preserve">Berapa tingkat inflasi pada bulan Juni 2015?</t>
  </si>
  <si>
    <t xml:space="preserve">Lebih rendah yang didorong oleh pelemahan inflasi makanan jadi dan transport</t>
  </si>
  <si>
    <t xml:space="preserve">Text: dibandingkan rata-rata empat tahun terakhir 0,70% (mtm), inflasi Juni 2015 lebih rendah, didorong pelemahan inflasi makanan jadi dan transpor. Exact June figure not on page.</t>
  </si>
  <si>
    <t xml:space="preserve">'Berapa' asks a number, answer gives none; page gives only the comparison with 0,70% (mtm). Qualitative content correct.</t>
  </si>
  <si>
    <t xml:space="preserve">Bagaimana tingkat inflasi Juni 2015 dibandingkan rata-rata empat tahun terakhir?</t>
  </si>
  <si>
    <t xml:space="preserve">Inflasi Juni 2015 lebih rendah dari rata-rata empat tahun terakhir sebesar 0,70% (mtm), didorong pelemahan inflasi makanan jadi dan transpor.</t>
  </si>
  <si>
    <t xml:space="preserve">QA0644</t>
  </si>
  <si>
    <t xml:space="preserve">Berapakah kontribusi bumbu-bumbuan terhadap tingkat inflasi pada bulan Juni 2015?</t>
  </si>
  <si>
    <t xml:space="preserve">Bumbu-bumbuan memiliki kontribusi yang lebih tinggi dibandingkan rata-rata empat tahun terakhir</t>
  </si>
  <si>
    <t xml:space="preserve">Grafik II.13: Bumbu-bumbuan andil ~0,15 (inflasi ~6,5%) Juni 2015; Grafik II.14 avg andil ~0,09. Text: kontribusi lebih tinggi dari rata-rata 4 tahun.</t>
  </si>
  <si>
    <t xml:space="preserve">Direction correct but question asks 'berapa' and the chart gives ~0,15 andil; answer omits the value.</t>
  </si>
  <si>
    <t xml:space="preserve">Andil bumbu-bumbuan terhadap inflasi Juni 2015 sekitar 0,15% (inflasi sub kelompok ~6,5%), lebih tinggi dari rata-rata empat tahun terakhir (~0,09%).</t>
  </si>
  <si>
    <t xml:space="preserve">QA0645</t>
  </si>
  <si>
    <t xml:space="preserve">Berapa persentase peningkatan inflasi pada triwulan II 2015 dibandingkan triwulan I 2015?</t>
  </si>
  <si>
    <t xml:space="preserve">2,05%</t>
  </si>
  <si>
    <t xml:space="preserve">Section 2.3 text: IHK triwulan II 2015 naik 2,05% (qtq) dibandingkan triwulan I 2015.</t>
  </si>
  <si>
    <t xml:space="preserve">Value correct but stated in text, no chart calculation; answer lacks (qtq) label.</t>
  </si>
  <si>
    <t xml:space="preserve">IHK triwulan II 2015 naik sebesar 2,05% (qtq) dibandingkan triwulan I 2015.</t>
  </si>
  <si>
    <t xml:space="preserve">QA0646</t>
  </si>
  <si>
    <t xml:space="preserve">Apakah inflasi tertinggi pada tahun 2014 dan 2015 untuk kelompok makanan jadi?</t>
  </si>
  <si>
    <t xml:space="preserve">10,86% pada tahun 2014 dan 12,67% pada tahun 2015</t>
  </si>
  <si>
    <t xml:space="preserve">Tabel II.3 Makanan Jadi, Minuman, Rokok &amp; Tembakau: 2014 max 12,55% (Tw IV); 2015 max 12,07% (Tw II). 10,86%/12,67% are Bahan Makanan row.</t>
  </si>
  <si>
    <t xml:space="preserve">Values taken from Bahan Makanan row. Correct maxima for makanan jadi are 12,55% (Tw IV 2014) and 12,07% (Tw II 2015). Evidence is a table.</t>
  </si>
  <si>
    <t xml:space="preserve">Berapa inflasi tertinggi kelompok makanan jadi, minuman, rokok &amp; tembakau pada tahun 2014 dan 2015?</t>
  </si>
  <si>
    <t xml:space="preserve">12,55% (yoy) pada triwulan IV 2014 dan 12,07% (yoy) pada triwulan II 2015.</t>
  </si>
  <si>
    <t xml:space="preserve">QA0647</t>
  </si>
  <si>
    <t xml:space="preserve">Berapakah kenaikan harga cabai merah pada triwulan IV 2014?</t>
  </si>
  <si>
    <t xml:space="preserve">62,56%</t>
  </si>
  <si>
    <t xml:space="preserve">Only cabai merah figure is text: 62,56% increase in Tw II 2015 vs Tw II 2014. No Tw IV 2014 cabai price data and no commodity table.</t>
  </si>
  <si>
    <t xml:space="preserve">Question period (Tw IV 2014) is not on the page; the 62,56% refers to Tw II 2015 yoy. Premise not supported.</t>
  </si>
  <si>
    <t xml:space="preserve">QA0648</t>
  </si>
  <si>
    <t xml:space="preserve">Apakah inflasi tertinggi pada tahun 2015 untuk kelompok makanan jadi?</t>
  </si>
  <si>
    <t xml:space="preserve">12,67%</t>
  </si>
  <si>
    <t xml:space="preserve">Tabel II.3 Makanan Jadi, Minuman, Rokok &amp; Tembakau 2015: Tw I 11,39%, Tw II 12,07%. 12,67% is Bahan Makanan Tw II 2015.</t>
  </si>
  <si>
    <t xml:space="preserve">Wrong row: 12,67% is Bahan Makanan. Highest 2015 makanan jadi inflation is 12,07% (Tw II); exact values from table, not chart.</t>
  </si>
  <si>
    <t xml:space="preserve">Berapa inflasi tertinggi kelompok makanan jadi, minuman, rokok &amp; tembakau pada tahun 2015?</t>
  </si>
  <si>
    <t xml:space="preserve">12,07% (yoy) pada triwulan II 2015.</t>
  </si>
  <si>
    <t xml:space="preserve">QA0649</t>
  </si>
  <si>
    <t xml:space="preserve">Apakah terjadi kenaikan tarif jasa keuangan pada bulan November 2014?</t>
  </si>
  <si>
    <t xml:space="preserve">Ya, terjadi kenaikan tarif jasa keuangan.</t>
  </si>
  <si>
    <t xml:space="preserve">Text: kenaikan tarif jasa keuangan merupakan base effect akibat kenaikan tarif transfer bank pada bulan Nopember 2014.</t>
  </si>
  <si>
    <t xml:space="preserve">Text confirms a bank transfer tariff (financial service) increase in November 2014.</t>
  </si>
  <si>
    <t xml:space="preserve">QA0650</t>
  </si>
  <si>
    <t xml:space="preserve">Bisakah Anda jelaskan bagaimana peningkatan biaya transfer antar bank pada bulan November 2014?</t>
  </si>
  <si>
    <t xml:space="preserve">Biaya transfer antar bank naik dari Rp5.000,- menjadi Rp7.500,- pada bulan November 2014.</t>
  </si>
  <si>
    <t xml:space="preserve">Text: biaya transfer antar bank naik dari Rp5000,- menjadi Rp7.500,- pada Nopember 2014.</t>
  </si>
  <si>
    <t xml:space="preserve">QA0651</t>
  </si>
  <si>
    <t xml:space="preserve">Berapa tarif kliring baru yang diterapkan pada Bank Indonesia sejak Juni 2015?</t>
  </si>
  <si>
    <t xml:space="preserve">Tarif kliring baru yang diterapkan pada Bank Indonesia sejak Juni 2015 adalah Rp5.000,-.</t>
  </si>
  <si>
    <t xml:space="preserve">Text: pada Juni 2015 BI menerapkan pagu atas harga kliring Rp5.000,- yang wajib diterapkan mulai 1 Januari 2016 (SKNBI Generasi II sejak Juni 2015).</t>
  </si>
  <si>
    <t xml:space="preserve">Rp5.000 is correct but it is a ceiling set in June 2015 that becomes mandatory on 1 Jan 2016; text-only, no chart or calculation.</t>
  </si>
  <si>
    <t xml:space="preserve">Berapa pagu atas harga kliring yang ditetapkan Bank Indonesia pada Juni 2015?</t>
  </si>
  <si>
    <t xml:space="preserve">Rp5.000,-, yang wajib diterapkan mulai 1 Januari 2016.</t>
  </si>
  <si>
    <t xml:space="preserve">QA0652</t>
  </si>
  <si>
    <t xml:space="preserve">Apakah komponen adminstered price mencapai tingkat inflasi tertinggi?</t>
  </si>
  <si>
    <t xml:space="preserve">Ya, komponen adminstered price mencapai tingkat inflasi tertinggi dengan tingkat 13,49% (yoy).</t>
  </si>
  <si>
    <t xml:space="preserve">Text: tingkat inflasi tahunan tertinggi terjadi di komponen administered price yaitu 13,49% (yoy).</t>
  </si>
  <si>
    <t xml:space="preserve">Correct; only a minor spelling slip ('adminstered').</t>
  </si>
  <si>
    <t xml:space="preserve">QA0653</t>
  </si>
  <si>
    <t xml:space="preserve">Berapakah tingkat inflasi komponen volatile foods pada triwulan II 2015?</t>
  </si>
  <si>
    <t xml:space="preserve">Tingkat inflasi komponen volatile foods pada triwulan II 2015 adalah 13,06% (yoy).</t>
  </si>
  <si>
    <t xml:space="preserve">Grafik II.25/II.26: volatile foods Tw II 2015 ~13; text: 13,06% (yoy).</t>
  </si>
  <si>
    <t xml:space="preserve">Correct, consistent with the chart and the text.</t>
  </si>
  <si>
    <t xml:space="preserve">QA0654</t>
  </si>
  <si>
    <t xml:space="preserve">Apakah komponen volatile foods lebih tinggi dari komponen core pada triwulan II 2015?</t>
  </si>
  <si>
    <t xml:space="preserve">Komponen volatile foods lebih tinggi dari komponen core pada triwulan II 2015, dengan komponen volatile foods mencapai 13,06% (yoy) dan komponen core sebesar 5,81%.</t>
  </si>
  <si>
    <t xml:space="preserve">Text: volatile foods 13,06% (yoy), core 5,81% (Tw II 2015).</t>
  </si>
  <si>
    <t xml:space="preserve">The comparison is correct, but it compares values stated in the text; no chart calculation is needed.</t>
  </si>
  <si>
    <t xml:space="preserve">Ya, pada triwulan II 2015 inflasi komponen volatile foods (13,06% yoy) lebih tinggi dari komponen core (5,81% yoy).</t>
  </si>
  <si>
    <t xml:space="preserve">QA0655</t>
  </si>
  <si>
    <t xml:space="preserve">Berdasarkan apa yang dijelaskan, produksi cabai merah di Indonesia tahun 2015?</t>
  </si>
  <si>
    <t xml:space="preserve">Produksi cabai merah di Indonesia tahun 2015 mencapai 1.378 ton, sementara kebutuhannya hanya sebesar 800 ton.</t>
  </si>
  <si>
    <t xml:space="preserve">Text: berdasarkan anekdotal, produksi cabai tahunan Indonesia mencapai 1.378 ton sementara kebutuhannya hanya 800 ton (no year stated).</t>
  </si>
  <si>
    <t xml:space="preserve">Numbers correct, but page gives annual production anecdotally without specifying 2015.</t>
  </si>
  <si>
    <t xml:space="preserve">Berdasarkan anekdotal yang dijelaskan, berapa produksi cabai tahunan Indonesia dan kebutuhannya?</t>
  </si>
  <si>
    <t xml:space="preserve">Berdasarkan anekdotal, produksi cabai tahunan Indonesia mencapai 1.378 ton, sementara kebutuhannya hanya sebesar 800 ton.</t>
  </si>
  <si>
    <t xml:space="preserve">QA0656</t>
  </si>
  <si>
    <t xml:space="preserve">Apakah cabai merah merupakan komoditas yang memberikan kontribusi terbesar pada deflasi?</t>
  </si>
  <si>
    <t xml:space="preserve">Ya, cabai merah merupakan komoditas yang memberikan kontribusi terbesar pada deflasi, dengan nilai ANDIL sebesar 0,23.</t>
  </si>
  <si>
    <t xml:space="preserve">Tabel II.7: cabai merah is an inflation contributor (inflasi 62,56, andil 0,36); largest deflation contributor is minyak goreng (andil -0,05). 0,23 = bawang merah.</t>
  </si>
  <si>
    <t xml:space="preserve">Answer 'Ya' is wrong: cabai merah contributes to inflation, not deflation; 0,23 is bawang merah's andil. Evidence is a table, not a chart.</t>
  </si>
  <si>
    <t xml:space="preserve">Tidak. Cabai merah merupakan penyumbang inflasi (kedua terbesar, andil 0,36), sedangkan komoditas penyumbang deflasi terbesar adalah minyak goreng dengan andil -0,05.</t>
  </si>
  <si>
    <t xml:space="preserve">QA0657</t>
  </si>
  <si>
    <t xml:space="preserve">Apakah penurunan harga ayam hidup pada minggu awal puasa terkait dengan cabai merah?</t>
  </si>
  <si>
    <t xml:space="preserve">Ya, penurunan harga ayam hidup pada minggu awal puasa terkait dengan kekurangan pasokan cabai merah.</t>
  </si>
  <si>
    <t xml:space="preserve">Text: harga DOC maupun ayam hidup kembali turun pada minggu awal puasa; cabai merah shortage is due to seasonality, discussed separately.</t>
  </si>
  <si>
    <t xml:space="preserve">Page draws no link between chicken price declines and red chili supply; the causal claim is invented. Text-based, no calculation.</t>
  </si>
  <si>
    <t xml:space="preserve">Tidak. Halaman tidak mengaitkan penurunan harga ayam hidup pada minggu awal puasa dengan cabai merah; kekurangan pasokan cabai merah disebabkan sifat produknya yang musiman dan belum adanya pola pengaturan tanam yang efektif.</t>
  </si>
  <si>
    <t xml:space="preserve">QA0658</t>
  </si>
  <si>
    <t xml:space="preserve">Apakah komoditas yang paling banyak mendorong inflasi dalam triwulan II 2015?</t>
  </si>
  <si>
    <t xml:space="preserve">Tarif listrik</t>
  </si>
  <si>
    <t xml:space="preserve">Text: tarif listrik komoditas administered price dengan sumbangan inflasi paling tinggi; Tabel II.8 andil 0,84 (highest).</t>
  </si>
  <si>
    <t xml:space="preserve">Correct per text and table.</t>
  </si>
  <si>
    <t xml:space="preserve">QA0659</t>
  </si>
  <si>
    <t xml:space="preserve">Berdasarkan anekdot, bagaimana perkembangan jumlah perokok di Indonesia pada tahun 2015?</t>
  </si>
  <si>
    <t xml:space="preserve">Jumlah perokok di Indonesia relatif stagnan di kisaran 70 juta orang, meskipun tarif cukai rokok naik rata-rata 8,72 persen per Januari 2015.</t>
  </si>
  <si>
    <t xml:space="preserve">Text: berdasarkan anekdotal, jumlah perokok relatif stagnan di kisaran 70 juta orang kendati tarif cukai naik rata-rata 8,72% per Januari 2015.</t>
  </si>
  <si>
    <t xml:space="preserve">Answer correct but source is paragraph text, not a chart.</t>
  </si>
  <si>
    <t xml:space="preserve">QA0660</t>
  </si>
  <si>
    <t xml:space="preserve">Apakah komoditas yang paling banyak mengurangi deflasi dalam triwulan II 2015?</t>
  </si>
  <si>
    <t xml:space="preserve">Telepon seluler</t>
  </si>
  <si>
    <t xml:space="preserve">Text 2.6.3: komoditas core yang memberikan sumbangan deflasi terbesar adalah telepon seluler. (AP table: Angkutan Udara deflasi -0,09.)</t>
  </si>
  <si>
    <t xml:space="preserve">Answer correct for core component, but question is garbled ('mengurangi deflasi', component unspecified) and evidence is text, no calculation.</t>
  </si>
  <si>
    <t xml:space="preserve">Apa komoditas komponen core yang memberikan sumbangan deflasi terbesar pada triwulan II 2015?</t>
  </si>
  <si>
    <t xml:space="preserve">Telepon seluler.</t>
  </si>
  <si>
    <t xml:space="preserve">QA0661</t>
  </si>
  <si>
    <t xml:space="preserve">Aset perbankan di Provinsi Banten pada triwulan II 2015 mengalami peningkatan dibanding triwulan I 2015.</t>
  </si>
  <si>
    <t xml:space="preserve">Rp 143,88 triliun</t>
  </si>
  <si>
    <t xml:space="preserve">Text 3.1: aset perbankan Tw II 2015 senilai Rp143,88 triliun, tumbuh 8,55%, dibanding Tw I Rp137,09 triliun (8,04%).</t>
  </si>
  <si>
    <t xml:space="preserve">Value correct, but the 'question' is a statement, not a question.</t>
  </si>
  <si>
    <t xml:space="preserve">Berapa nilai aset perbankan di Provinsi Banten pada triwulan II 2015?</t>
  </si>
  <si>
    <t xml:space="preserve">Rp143,88 triliun, tumbuh 8,55% (yoy), meningkat dari Rp137,09 triliun pada triwulan I 2015.</t>
  </si>
  <si>
    <t xml:space="preserve">QA0662</t>
  </si>
  <si>
    <t xml:space="preserve">Aset perbankan syariah pada triwulan II 2015 mengalami peningkatan dibanding triwulan sebelumnya.</t>
  </si>
  <si>
    <t xml:space="preserve">Rp 7,21 triliun</t>
  </si>
  <si>
    <t xml:space="preserve">Text: aset perbankan syariah tumbuh dari 2,10% menjadi 7,21%; nilai aset syariah Rp7,21 triliun. No chart.</t>
  </si>
  <si>
    <t xml:space="preserve">Value correct, but question is a statement and the evidence is text, not a chart.</t>
  </si>
  <si>
    <t xml:space="preserve">Berapa nilai aset perbankan syariah di Provinsi Banten pada triwulan II 2015?</t>
  </si>
  <si>
    <t xml:space="preserve">Rp7,21 triliun, dengan pertumbuhan meningkat dari 2,10% pada triwulan sebelumnya menjadi 7,21%.</t>
  </si>
  <si>
    <t xml:space="preserve">QA0663</t>
  </si>
  <si>
    <t xml:space="preserve">Text: aset perbankan syariah Rp7,21 triliun; growth 2,10% -&gt; 7,21%. No chart, no calculation needed.</t>
  </si>
  <si>
    <t xml:space="preserve">Value correct, but question is a statement and it is a text lookup, not a chart calculation.</t>
  </si>
  <si>
    <t xml:space="preserve">Berapa pertumbuhan aset perbankan syariah di Provinsi Banten pada triwulan II 2015?</t>
  </si>
  <si>
    <t xml:space="preserve">Aset perbankan syariah tumbuh 7,21% pada triwulan II 2015, naik dari 2,10% pada triwulan sebelumnya, dengan nilai Rp7,21 triliun.</t>
  </si>
  <si>
    <t xml:space="preserve">QA0664</t>
  </si>
  <si>
    <t xml:space="preserve">Apakah pertumbuhan DPensi dan suku bunga yang ditunjukkan dalam Grafik III.9?</t>
  </si>
  <si>
    <t xml:space="preserve">Tren pertumbuhan DPensi dan suku bunga melalui tahun 2012 hingga 2015.</t>
  </si>
  <si>
    <t xml:space="preserve">Grafik III.9: deposito growth ~16% (2012), peak ~36% (Tw II 2014), then 10,22% (Tw I 2015) and 5,03% (Tw II 2015); suku bunga ~5% (2012-13) up to ~8% (2014), then 7,95% -&gt; 7,32% (2015).</t>
  </si>
  <si>
    <t xml:space="preserve">Question garbled ('DPensi') and answer is vacuous - it restates the chart title without describing any trend or values.</t>
  </si>
  <si>
    <t xml:space="preserve">Bagaimana tren pertumbuhan deposito dan suku bunga yang ditunjukkan Grafik III.9?</t>
  </si>
  <si>
    <t xml:space="preserve">Pertumbuhan deposito naik hingga puncak sekitar 36% (yoy) pada triwulan II 2014 lalu melambat menjadi 10,22% pada triwulan I 2015 dan 5,03% pada triwulan II 2015; suku bunga naik dari sekitar 5% (2012-2013) ke sekitar 8% (2014), lalu turun dari 7,95% menjadi 7,32% pada 2015.</t>
  </si>
  <si>
    <t xml:space="preserve">QA0665</t>
  </si>
  <si>
    <t xml:space="preserve">Apakah peningkatan pertumbuhan DPensi ini disebabkan oleh apa?</t>
  </si>
  <si>
    <t xml:space="preserve">Peningkatan pertumbuhan DPensi ini dianggap disebabkan oleh melambatnya pertumbuhan konsumsi masyarakat.</t>
  </si>
  <si>
    <t xml:space="preserve">Text: Peningkatan pertumbuhan DPK ini juga diperkirakan disebabkan oleh melambatnya pertumbuhan konsumsi masyarakat (IK barang tahan lama 97,8).</t>
  </si>
  <si>
    <t xml:space="preserve">Answer is correct, but the question is ungrammatical ('Apakah ... disebabkan oleh apa') and 'DPensi' garbles DPK.</t>
  </si>
  <si>
    <t xml:space="preserve">Apa penyebab peningkatan pertumbuhan DPK di Banten pada triwulan II 2015?</t>
  </si>
  <si>
    <t xml:space="preserve">Peningkatan pertumbuhan DPK diperkirakan disebabkan oleh melambatnya pertumbuhan konsumsi masyarakat, terkonfirmasi dari Indeks Konsumsi Barang Tahan Lama triwulan II 2015 sebesar 97,8.</t>
  </si>
  <si>
    <t xml:space="preserve">QA0666</t>
  </si>
  <si>
    <t xml:space="preserve">Apakah struktur DPensi di Provinsi Banten masih didominasi oleh deposito?</t>
  </si>
  <si>
    <t xml:space="preserve">Ya, struktur DPensi di Provinsi Banten masih didominasi oleh deposito dengan pangsanya sebesar 42,57%.</t>
  </si>
  <si>
    <t xml:space="preserve">Grafik III.10 &amp; text: struktur DPK didominasi deposito 42,57%.</t>
  </si>
  <si>
    <t xml:space="preserve">Answer is correct, but 'DPensi' is a garbled term (should be DPK).</t>
  </si>
  <si>
    <t xml:space="preserve">Apakah struktur DPK di Provinsi Banten masih didominasi oleh deposito?</t>
  </si>
  <si>
    <t xml:space="preserve">Ya, struktur DPK di Provinsi Banten masih didominasi oleh deposito dengan pangsa sebesar 42,57%.</t>
  </si>
  <si>
    <t xml:space="preserve">QA0667</t>
  </si>
  <si>
    <t xml:space="preserve">Apakah total pendapatan daerah pada triwulan II-2015 mencapai 47%?</t>
  </si>
  <si>
    <t xml:space="preserve">Text: total pendapatan daerah yang terserap hingga triwulan II-2015 mencapai 47%.</t>
  </si>
  <si>
    <t xml:space="preserve">QA0668</t>
  </si>
  <si>
    <t xml:space="preserve">Apakah realisasi APBD Pemerintah Provinsi Banten pada triwulan II-2015 mencapai 47%?</t>
  </si>
  <si>
    <t xml:space="preserve">Text/Tabel IV.1: realisasi pendapatan 47%, realisasi belanja 26% s.d. TW II-2015.</t>
  </si>
  <si>
    <t xml:space="preserve">'Realisasi APBD' is ambiguous: pendapatan did reach 47%, belanja only 26%; bare 'Tidak' is unexplained. No chart.</t>
  </si>
  <si>
    <t xml:space="preserve">Apakah realisasi belanja APBD Pemerintah Provinsi Banten pada triwulan II-2015 mencapai 47%?</t>
  </si>
  <si>
    <t xml:space="preserve">Tidak. Realisasi belanja daerah hanya 26%; angka 47% adalah realisasi pendapatan daerah.</t>
  </si>
  <si>
    <t xml:space="preserve">QA0669</t>
  </si>
  <si>
    <t xml:space="preserve">Apakah realisasi APBD Pemerintah Provinsi Banten pada triwulan II-2015 mencapai 26%?</t>
  </si>
  <si>
    <t xml:space="preserve">Text: penyerapan belanja daerah hanya 26% hingga semester I-2015; Tabel IV.1 Total Belanja 26%.</t>
  </si>
  <si>
    <t xml:space="preserve">26% refers to belanja only; question ambiguous. No chart and no calculation.</t>
  </si>
  <si>
    <t xml:space="preserve">Apakah realisasi belanja daerah Pemerintah Provinsi Banten pada triwulan II-2015 mencapai 26%?</t>
  </si>
  <si>
    <t xml:space="preserve">Ya, realisasi belanja daerah hingga triwulan II-2015 sebesar 26% dari pagu.</t>
  </si>
  <si>
    <t xml:space="preserve">QA0670</t>
  </si>
  <si>
    <t xml:space="preserve">Banyaknya jumlah realisasi pendapatan daerah Pemerintah Provinsi Banten pada triwulan II-2015?</t>
  </si>
  <si>
    <t xml:space="preserve">7.644.634 juta</t>
  </si>
  <si>
    <t xml:space="preserve">Text: realisasi pendapatan Pemprov Banten Tw II-2015 sebesar Rp3.627.101 juta atau 47% dari anggaran; 7.644.634 is APBD 2015 target.</t>
  </si>
  <si>
    <t xml:space="preserve">Answer gives the 2015 budget (APBD) instead of realization (Rp3.627.101 juta).</t>
  </si>
  <si>
    <t xml:space="preserve">Realisasi pendapatan daerah Pemerintah Provinsi Banten pada triwulan II-2015 sebesar Rp3.627.101 juta atau 47% dari total pendapatan yang dianggarkan.</t>
  </si>
  <si>
    <t xml:space="preserve">QA0671</t>
  </si>
  <si>
    <t xml:space="preserve">Text/Tabel IV.2: realisasi s.d. Tw II-2015 Rp3.627.101 juta (47%); 7.644.634 is APBD 2015. No chart on page.</t>
  </si>
  <si>
    <t xml:space="preserve">Budget figure given instead of realization; page has no chart (value in text and table).</t>
  </si>
  <si>
    <t xml:space="preserve">Realisasi pendapatan daerah Pemerintah Provinsi Banten pada triwulan II-2015 sebesar Rp3.627.101 juta (47% dari anggaran Rp7.644.634 juta).</t>
  </si>
  <si>
    <t xml:space="preserve">QA0672</t>
  </si>
  <si>
    <t xml:space="preserve">Text/Tabel IV.2: realisasi s.d. Tw II-2015 Rp3.627.101 juta; 7.644.634 is APBD 2015. No chart, no calculation needed.</t>
  </si>
  <si>
    <t xml:space="preserve">Budget figure given instead of realization; labelled chart calculation but value is a direct lookup in text/table.</t>
  </si>
  <si>
    <t xml:space="preserve">Realisasi pendapatan daerah Pemerintah Provinsi Banten pada triwulan II-2015 sebesar Rp3.627.101 juta atau 47% dari pagu.</t>
  </si>
  <si>
    <t xml:space="preserve">QA0673</t>
  </si>
  <si>
    <t xml:space="preserve">Berapa pertumbuhan lapangan usaha administrasi pemerintahan pada triwulan II 2018?</t>
  </si>
  <si>
    <t xml:space="preserve">7,46%</t>
  </si>
  <si>
    <t xml:space="preserve">Text: Pada triwulan II 2018, lapangan usaha administrasi pemerintahan tumbuh sebesar 7,46% (yoy).</t>
  </si>
  <si>
    <t xml:space="preserve">Answer 7,46% matches the text.</t>
  </si>
  <si>
    <t xml:space="preserve">QA0674</t>
  </si>
  <si>
    <t xml:space="preserve">Berapa persentase penurunan simpanan pemerintah di perbankan Provinsi NTT pada triwulan II 2018?</t>
  </si>
  <si>
    <t xml:space="preserve">-13,97% (yoy)</t>
  </si>
  <si>
    <t xml:space="preserve">Text: simpanan pemerintah di perbankan Tw II 2018 terkontraksi -13,97% (yoy), dari -11,08% (yoy) Tw sebelumnya. Grafik 1.21 line has no labels.</t>
  </si>
  <si>
    <t xml:space="preserve">Value -13,97% (yoy) is correct, but it is stated in text; no chart calculation is involved.</t>
  </si>
  <si>
    <t xml:space="preserve">Simpanan pemerintah di perbankan NTT pada triwulan II 2018 terkontraksi 13,97% (yoy), lebih dalam dari -11,08% (yoy) pada triwulan I 2018.</t>
  </si>
  <si>
    <t xml:space="preserve">QA0675</t>
  </si>
  <si>
    <t xml:space="preserve">Berapa persentase realisasi investasi pembangunan pemerintah pada triwulan II 2018?</t>
  </si>
  <si>
    <t xml:space="preserve">9,99%</t>
  </si>
  <si>
    <t xml:space="preserve">Page mentions 'realisasi investasi pembangunan pemerintah' only qualitatively; Grafik 1.20 Bantuan Keuangan Tw II-2018 = 0,99 (Rp triliun). No 9,99%.</t>
  </si>
  <si>
    <t xml:space="preserve">No percentage for government development investment realization exists on the page; 9,99% is fabricated.</t>
  </si>
  <si>
    <t xml:space="preserve">QA0676</t>
  </si>
  <si>
    <t xml:space="preserve">Berapa total realisasi investasi pada triwulan laporan tahun 2018?</t>
  </si>
  <si>
    <t xml:space="preserve">Rp506 miliar</t>
  </si>
  <si>
    <t xml:space="preserve">Text: Rp506 miliar is the Bendungan Temef project value; proyek baru triwulan II 2018 (triwulan laporan) senilai Rp520,35 miliar.</t>
  </si>
  <si>
    <t xml:space="preserve">Rp506 miliar is a single project (Bendungan Temef), not the total for the reporting quarter; the page gives Rp520,35 miliar for new projects in Tw II 2018.</t>
  </si>
  <si>
    <t xml:space="preserve">Berapa nilai proyek baru yang dikerjakan pada triwulan laporan (triwulan II 2018)?</t>
  </si>
  <si>
    <t xml:space="preserve">Rp520,35 miliar, lebih sedikit dibandingkan triwulan I 2018 sebesar Rp1,49 triliun.</t>
  </si>
  <si>
    <t xml:space="preserve">QA0677</t>
  </si>
  <si>
    <t xml:space="preserve">Berapa realisasi proyek pembangunan Bendungan Temef tahun 2018?</t>
  </si>
  <si>
    <t xml:space="preserve">Rp520,35 miliar</t>
  </si>
  <si>
    <t xml:space="preserve">Text: pembangunan Bendungan Temef senilai Rp506 miliar (multiyears 4 tahun); Tabel 1.9: Bendungan Temef (paket 1 dan 2) Rp1.405.233 juta, mulai Mar 2018.</t>
  </si>
  <si>
    <t xml:space="preserve">Rp520,35 miliar is the Tw II 2018 new-project total, not Temef. Temef is Rp506 miliar (text) / Rp1.405.233 juta (table); single lookup, not a calculation.</t>
  </si>
  <si>
    <t xml:space="preserve">Berapa nilai proyek pembangunan Bendungan Temef?</t>
  </si>
  <si>
    <t xml:space="preserve">Menurut teks, Bendungan Temef senilai Rp506 miliar (proyek multiyears 4 tahun); Tabel 1.9 mencatat Bendungan Temef paket 1 dan 2 senilai Rp1.405.233 juta, dimulai Maret 2018.</t>
  </si>
  <si>
    <t xml:space="preserve">QA0678</t>
  </si>
  <si>
    <t xml:space="preserve">Berapa realisasi proyek pembangunan Bendungan Napun Gete tahun 2018?</t>
  </si>
  <si>
    <t xml:space="preserve">Rp159 miliar</t>
  </si>
  <si>
    <t xml:space="preserve">Text: Bendungan Napun Gete (Sikka) only said to have entered its second year; no value given. Rp159 miliar is dermaga Sumba Timur (Waingapu). No chart/table value for it.</t>
  </si>
  <si>
    <t xml:space="preserve">The asked metric (Napun Gete realization value) does not exist on the page; Rp159 miliar belongs to another project.</t>
  </si>
  <si>
    <t xml:space="preserve">QA0679</t>
  </si>
  <si>
    <t xml:space="preserve">Apakah persentase realisasi belanja modal dalam APBN Provinsi NTT?</t>
  </si>
  <si>
    <t xml:space="preserve">11,08%</t>
  </si>
  <si>
    <t xml:space="preserve">Tabel 2.1 Belanja Modal: realisasi Rp1.491,7 miliar = 17% dari rencana; pangsa 11,08% of total realisasi (APBN + APBD Prov &amp; Kab/Kota).</t>
  </si>
  <si>
    <t xml:space="preserve">11,08% is the share (pangsa) of capital spending, but 'persentase realisasi' is ambiguous (realization rate is 17%). Value is from Tabel 2.1, not text.</t>
  </si>
  <si>
    <t xml:space="preserve">Berapakah pangsa realisasi belanja modal terhadap total realisasi belanja di Provinsi NTT menurut Tabel 2.1?</t>
  </si>
  <si>
    <t xml:space="preserve">Pangsa belanja modal sebesar 11,08% (realisasi Rp1.491,7 miliar atau 17% dari rencana).</t>
  </si>
  <si>
    <t xml:space="preserve">QA0680</t>
  </si>
  <si>
    <t xml:space="preserve">Berapa jumlah realisasi belanja modal pada triwulan II 2018?</t>
  </si>
  <si>
    <t xml:space="preserve">14.491.7</t>
  </si>
  <si>
    <t xml:space="preserve">Tabel 2.1 Belanja Modal realisasi nominal = 1.491,7 (Miliar Rp).</t>
  </si>
  <si>
    <t xml:space="preserve">'14.491.7' is a misread (extra digit) and lacks unit; correct is Rp1.491,7 miliar. Data is in a table, not a chart.</t>
  </si>
  <si>
    <t xml:space="preserve">Realisasi belanja modal hingga triwulan II 2018 sebesar Rp1.491,7 miliar (17% dari rencana Rp8.870,5 miliar).</t>
  </si>
  <si>
    <t xml:space="preserve">QA0681</t>
  </si>
  <si>
    <t xml:space="preserve">Apakah realisasi belanja hibah lebih tinggi atau lebih rendah dibandingkan realisasi belanja pegawai?</t>
  </si>
  <si>
    <t xml:space="preserve">Lebih tinggi</t>
  </si>
  <si>
    <t xml:space="preserve">Tabel 2.1: hibah realisasi 67% (Rp1.348,6 M) vs pegawai 41% (Rp5.471,9 M). Text Pemprov: hibah Rp1 triliun (47,39%) &gt; pegawai Rp608 miliar (27,57%).</t>
  </si>
  <si>
    <t xml:space="preserve">'Lebih tinggi' holds for realization rate (67% vs 41%) and Pemprov share, but not for combined nominal; question ambiguous and answer lacks figures. No chart.</t>
  </si>
  <si>
    <t xml:space="preserve">Apakah persentase realisasi belanja hibah lebih tinggi dibandingkan belanja pegawai menurut Tabel 2.1?</t>
  </si>
  <si>
    <t xml:space="preserve">Ya, lebih tinggi: realisasi belanja hibah mencapai 67% dari rencana, sedangkan belanja pegawai 41%.</t>
  </si>
  <si>
    <t xml:space="preserve">QA0682</t>
  </si>
  <si>
    <t xml:space="preserve">Apakah realisasi belanja modal Kabupaten/Kota tertinggi di Provinsi Nusa Tenggara Timur?</t>
  </si>
  <si>
    <t xml:space="preserve">Tertinggi ada pada komponen realisasi belanja hibah kabupaten/kota yang mencapai Rp 303,4 miliar (69,20%).</t>
  </si>
  <si>
    <t xml:space="preserve">Text: realisasi belanja Kabupaten/Kota tertinggi ada pada komponen realisasi belanja hibah kabupaten/kota yang mencapai Rp303,4 miliar (69,20%).</t>
  </si>
  <si>
    <t xml:space="preserve">Answer matches the text, but the question is garbled: it asks a yes/no about 'belanja modal' while the answer concerns which component (hibah) has the highest realization.</t>
  </si>
  <si>
    <t xml:space="preserve">Komponen belanja Kabupaten/Kota apa yang memiliki realisasi tertinggi di Provinsi NTT?</t>
  </si>
  <si>
    <t xml:space="preserve">Komponen belanja hibah kabupaten/kota, yang mencapai Rp303,4 miliar (69,20%).</t>
  </si>
  <si>
    <t xml:space="preserve">QA0683</t>
  </si>
  <si>
    <t xml:space="preserve">Berapa persentase realisasi belanja pegawai dalam total belanja utama?</t>
  </si>
  <si>
    <t xml:space="preserve">58,47% dari total belanja utama didorong oleh pembayaran THR pada pegawai negeri dalam rangka Idul Fitri.</t>
  </si>
  <si>
    <t xml:space="preserve">Grafik 2.9 KAB: Belanja Pegawai 58,47%; text: belanja pegawai Rp3,58 triliun, pangsa 58,47% dari total belanja utamanya, didorong pembayaran THR.</t>
  </si>
  <si>
    <t xml:space="preserve">58,47% verified in Grafik 2.9 (KAB bar) and text; THR driver matches text.</t>
  </si>
  <si>
    <t xml:space="preserve">QA0684</t>
  </si>
  <si>
    <t xml:space="preserve">Berapa persentase realisasi belanja hibah di Kabupaten Flores Timur?</t>
  </si>
  <si>
    <t xml:space="preserve">Persentase realisasi belanja hibah di Kabupaten Flores Timur sebesar 33,09%.</t>
  </si>
  <si>
    <t xml:space="preserve">Text: persentase realisasi belanja Kab. Flores Timur Rp372,76 miliar (33,09%) - total realization, not hibah. Gambar 2.1 shows Flores Timur belanja modal 8,15%.</t>
  </si>
  <si>
    <t xml:space="preserve">33,09% is Flores Timur's overall spending realization, not grant (hibah) spending; value is from text, no calculation.</t>
  </si>
  <si>
    <t xml:space="preserve">Berapa persentase realisasi belanja Kabupaten Flores Timur pada triwulan II 2018?</t>
  </si>
  <si>
    <t xml:space="preserve">33,09%, atau sebesar Rp372,76 miliar (tertinggi kedua setelah Kab. Alor).</t>
  </si>
  <si>
    <t xml:space="preserve">QA0685</t>
  </si>
  <si>
    <t xml:space="preserve">Apakah peningkatan Dana Pemerintah di Perbankan (DPK) terutama terjadi di wilayah mana?</t>
  </si>
  <si>
    <t xml:space="preserve">Peningkatan DPK terutama terjadi di Kabupaten sebesar 35,38% (qtq) dari triwulan sebelumnya sebesar Rp 5,04 triliun untuk pembayaran belanja Kabupaten di tahun 2018.</t>
  </si>
  <si>
    <t xml:space="preserve">Text: peningkatan DPK terutama terjadi di Kabupaten sebesar 35,38% (qtq) ... Rp5,04 triliun untuk pembiayaan belanja Kabupaten 2018 (Tabel 2.2: Kabupaten 5.042,45 miliar).</t>
  </si>
  <si>
    <t xml:space="preserve">The answer matches the text, but it is a text lookup, not a chart calculation. The question wording is awkward and the answer changes 'pembiayaan' to 'pembayaran'.</t>
  </si>
  <si>
    <t xml:space="preserve">Di wilayah mana peningkatan DPK pemerintah terutama terjadi pada triwulan II 2018?</t>
  </si>
  <si>
    <t xml:space="preserve">Peningkatan DPK pemerintah terutama terjadi di Kabupaten, sebesar 35,38% (qtq) dari triwulan sebelumnya, dengan posisi Rp5,04 triliun untuk pembiayaan belanja Kabupaten tahun 2018.</t>
  </si>
  <si>
    <t xml:space="preserve">QA0686</t>
  </si>
  <si>
    <t xml:space="preserve">Bagaimana perubahan total DPK antara triwulan I dan II 2018?</t>
  </si>
  <si>
    <t xml:space="preserve">Total DPK meningkat dari Rp 5,03 triliun di triwulan I 2018 menjadi Rp 6,15 triliun di triwulan II 2018.</t>
  </si>
  <si>
    <t xml:space="preserve">Text: Tw II 2018 dana pemerintah Rp6,15 triliun, naik 22,22% (qtq) dari Tw I 2018 Rp5,03 triliun.</t>
  </si>
  <si>
    <t xml:space="preserve">QA0687</t>
  </si>
  <si>
    <t xml:space="preserve">Apakah jumlah giro pemerintah pusat meningkat dibandingkan triwulan I 2018?</t>
  </si>
  <si>
    <t xml:space="preserve">Ya, jumlah giro pemerintah pusat meningkat sebesar 22,22% (qtq) dibandingkan triwulan I 2018.</t>
  </si>
  <si>
    <t xml:space="preserve">Text: giro (all government) naik 20,22% (qtq) dari Rp3,95 triliun menjadi Rp4,75 triliun; 22,22% is total DPK. Tabel 2.2 giro pusat 274,98 miliar (Tw II only).</t>
  </si>
  <si>
    <t xml:space="preserve">22,22% is the total DPK growth. Giro rose 20,22%, and the page gives no qtq change for central-government giro specifically. The source is text, not a chart.</t>
  </si>
  <si>
    <t xml:space="preserve">Apakah jumlah giro pemerintah meningkat dibandingkan triwulan I 2018?</t>
  </si>
  <si>
    <t xml:space="preserve">Ya, giro pemerintah meningkat sebesar 20,22% (qtq), dari Rp3,95 triliun pada triwulan I 2018 menjadi Rp4,75 triliun pada triwulan II 2018.</t>
  </si>
  <si>
    <t xml:space="preserve">QA0688</t>
  </si>
  <si>
    <t xml:space="preserve">Apakah inflasi tahunan di Provinsi NTT pada triwulan II 2018 mencapai 2,89% (yoy)?</t>
  </si>
  <si>
    <t xml:space="preserve">Ya, inflasi tahunan di Provinsi NTT pada triwulan II 2018 mencapai 2,89% (yoy).</t>
  </si>
  <si>
    <t xml:space="preserve">Text: inflasi Provinsi NTT triwulan II 2018 sebesar 2,89% (yoy).</t>
  </si>
  <si>
    <t xml:space="preserve">Verified in text and Grafik 3.1 label.</t>
  </si>
  <si>
    <t xml:space="preserve">QA0689</t>
  </si>
  <si>
    <t xml:space="preserve">Berdasarkan pergerakan inflasi, apakah inflasi bahan makanan masih menjadi penyumbang utama di Provinsi NTT?</t>
  </si>
  <si>
    <t xml:space="preserve">Ya, inflasi bahan makanan masih menjadi penyumbang utama di Provinsi NTT. Tinggiinya harga daging ayam ras dan telur ayam ras secara nasional akibat naiknya harga pakan ayam turut berdampak pada inflasi di provinsi NTT yang memiliki ketergantungan komoditas tersebut dari luar provinsi.</t>
  </si>
  <si>
    <t xml:space="preserve">Text: inflasi bahan makanan masih menjadi penyumbang utama; tingginya harga daging ayam ras dan telur ayam ras akibat naiknya harga pakan.</t>
  </si>
  <si>
    <t xml:space="preserve">Answer is correct but drawn from the paragraph, not a chart; typo 'Tinggiinya'.</t>
  </si>
  <si>
    <t xml:space="preserve">Ya, inflasi bahan makanan masih menjadi penyumbang utama di Provinsi NTT. Tingginya harga daging ayam ras dan telur ayam ras secara nasional akibat naiknya harga pakan ayam turut berdampak pada inflasi NTT yang bergantung pada pasokan dari luar provinsi.</t>
  </si>
  <si>
    <t xml:space="preserve">QA0690</t>
  </si>
  <si>
    <t xml:space="preserve">Apakah inflasi di Provinsi NTT lebih rendah dibanding inflasi nasional?</t>
  </si>
  <si>
    <t xml:space="preserve">Ya, inflasi di Provinsi NTT lebih rendah dibanding inflasi nasional. Inflasi Provinsi NTT triwulan II 2018 mencapai 2,89% (yoy), sedangkan inflasi nasional mencapai 3,12% (yoy).</t>
  </si>
  <si>
    <t xml:space="preserve">Grafik 3.1 labels: Nasional 3,12, NTT 2,89 (Tw II 2018); text states same.</t>
  </si>
  <si>
    <t xml:space="preserve">Correct comparison, but no calculation is performed; it is a read/compare of chart labels.</t>
  </si>
  <si>
    <t xml:space="preserve">QA0691</t>
  </si>
  <si>
    <t xml:space="preserve">Apakah tingkat deflasi bulanan tertinggi pada bulan April tahun 2018?</t>
  </si>
  <si>
    <t xml:space="preserve">-0,89%</t>
  </si>
  <si>
    <t xml:space="preserve">Typo/Grammar, Format, Unit</t>
  </si>
  <si>
    <t xml:space="preserve">Text: volatile food mengalami deflasi di bulan April sebesar -0,89% (mtm).</t>
  </si>
  <si>
    <t xml:space="preserve">Value right, but question is a garbled yes/no ('tertinggi' not stated) answered with a bare number lacking group and mtm unit.</t>
  </si>
  <si>
    <t xml:space="preserve">Berapa deflasi bulanan kelompok volatile food NTT pada bulan April 2018?</t>
  </si>
  <si>
    <t xml:space="preserve">Volatile food mengalami deflasi sebesar -0,89% (mtm) pada April 2018.</t>
  </si>
  <si>
    <t xml:space="preserve">QA0692</t>
  </si>
  <si>
    <t xml:space="preserve">Berapa tingkat inflasi tahunan volatile food di Provinsi Nusa Tenggara Timur pada triwulan II 2018?</t>
  </si>
  <si>
    <t xml:space="preserve">7,21% (yoy)</t>
  </si>
  <si>
    <t xml:space="preserve">Text 3.3.1: inflasi tahunan volatile food mencapai 7,21% (yoy), kenaikan tertinggi hingga semester I 2018.</t>
  </si>
  <si>
    <t xml:space="preserve">Value correct but it is stated in text; Grafik 3.12 has no value labels.</t>
  </si>
  <si>
    <t xml:space="preserve">Inflasi tahunan volatile food NTT pada triwulan II 2018 sebesar 7,21% (yoy).</t>
  </si>
  <si>
    <t xml:space="preserve">QA0693</t>
  </si>
  <si>
    <t xml:space="preserve">Berdasarkan grafik, berapa total inflasi tahunan untuk tahun 2017?</t>
  </si>
  <si>
    <t xml:space="preserve">5,01%</t>
  </si>
  <si>
    <t xml:space="preserve">5,01% (ytd) is 2018 year-to-date inflation (text). Grafik 3.12 INF YOY line ends 2017 (Dec) at roughly 2%.</t>
  </si>
  <si>
    <t xml:space="preserve">Answer uses 2018 ytd figure for 2017; per chart, annual inflation at Dec 2017 was about 2%. Reading a chart value, not a calculation.</t>
  </si>
  <si>
    <t xml:space="preserve">Berdasarkan Grafik 3.12, berapa kira-kira inflasi tahunan NTT pada akhir tahun 2017 (Desember)?</t>
  </si>
  <si>
    <t xml:space="preserve">Sekitar 2% (yoy) pada Desember 2017 (perkiraan dari grafik); angka 5,01% adalah inflasi tahun berjalan (ytd) 2018.</t>
  </si>
  <si>
    <t xml:space="preserve">QA0694</t>
  </si>
  <si>
    <t xml:space="preserve">Apakah komoditas yang memiliki tingkat inflasi tertinggi dalam triwulan II 2018?</t>
  </si>
  <si>
    <t xml:space="preserve">Kembung/Gembung/Banyar/Gembala/Aso-Aso</t>
  </si>
  <si>
    <t xml:space="preserve">Tabel 3.5 yoy: Tembang 67,95% (highest), Kembung 32,83%, Daging Ayam Ras 28,29% (highest andil 0,35). Tabel 3.6 max Rokok Kretek 11,78%.</t>
  </si>
  <si>
    <t xml:space="preserve">Highest yoy inflation is Tembang (67,95%), not Kembung; comparison is from tables, not text; commodity name misspelled.</t>
  </si>
  <si>
    <t xml:space="preserve">Komoditas apa yang memiliki tingkat inflasi (yoy) tertinggi pada triwulan II 2018 berdasarkan Tabel 3.5?</t>
  </si>
  <si>
    <t xml:space="preserve">Tembang, dengan inflasi 67,95% (yoy).</t>
  </si>
  <si>
    <t xml:space="preserve">QA0695</t>
  </si>
  <si>
    <t xml:space="preserve">Berapakah tingkat inflasi komoditas yang memiliki penurunan deflasi tertinggi?</t>
  </si>
  <si>
    <t xml:space="preserve">Bawang Merah</t>
  </si>
  <si>
    <t xml:space="preserve">Tabel 3.5 deflasi: Bawang Merah (33,89)% yoy, andil (0,13) - the deepest deflation. No chart.</t>
  </si>
  <si>
    <t xml:space="preserve">Bawang Merah is the right commodity, but the question asks for the rate and no number is given; evidence is a table, not a chart; wording garbled.</t>
  </si>
  <si>
    <t xml:space="preserve">Komoditas apa yang mengalami deflasi terdalam dan berapa tingkat deflasinya?</t>
  </si>
  <si>
    <t xml:space="preserve">Bawang Merah, dengan deflasi sebesar 33,89% (yoy) dan andil -0,13% (sum yoy).</t>
  </si>
  <si>
    <t xml:space="preserve">QA0696</t>
  </si>
  <si>
    <t xml:space="preserve">Apakah terdapat inflasi pada komoditas rokok dalam triwulan II 2018?</t>
  </si>
  <si>
    <t xml:space="preserve">Text: kenaikan cukai rokok berkontribusi pada inflasi administered prices; Tabel 3.6: Rokok Kretek Filter 6,77%, Rokok Kretek 11,78%, Rokok Putih 5,71% (yoy).</t>
  </si>
  <si>
    <t xml:space="preserve">'Ya' is correct, but it is a yes/no lookup from text/table, not a chart calculation.</t>
  </si>
  <si>
    <t xml:space="preserve">Ya, terdapat inflasi rokok, antara lain Rokok Kretek Filter 6,77%, Rokok Kretek 11,78%, dan Rokok Putih 5,71% (yoy), didorong kenaikan tarif cukai rokok.</t>
  </si>
  <si>
    <t xml:space="preserve">QA0697</t>
  </si>
  <si>
    <t xml:space="preserve">Berapa jumlah pegawai OJK pada 31 Desember 2015?</t>
  </si>
  <si>
    <t xml:space="preserve">3.651</t>
  </si>
  <si>
    <t xml:space="preserve">Text: jumlah pegawai sebanyak 3.651 orang; table Jumlah 31 Des 2015 = 3.651.</t>
  </si>
  <si>
    <t xml:space="preserve">Value correct, but it is a single lookup (also in text), not comparison/sorting; bare number without unit 'orang'.</t>
  </si>
  <si>
    <t xml:space="preserve">Jumlah pegawai OJK pada 31 Desember 2015 sebanyak 3.651 orang.</t>
  </si>
  <si>
    <t xml:space="preserve">QA0698</t>
  </si>
  <si>
    <t xml:space="preserve">Berapakah jumlah pegawai tetap pada 31 Desember 2015?</t>
  </si>
  <si>
    <t xml:space="preserve">1.882</t>
  </si>
  <si>
    <t xml:space="preserve">Table row 1 Pegawai Tetap: 1.882 (31 Des 2015), 902 (31 Des 2014). Not stated in running text.</t>
  </si>
  <si>
    <t xml:space="preserve">Value correct but it comes from the table, not text; bare number without unit.</t>
  </si>
  <si>
    <t xml:space="preserve">Jumlah pegawai tetap OJK pada 31 Desember 2015 sebanyak 1.882 orang (naik dari 902 orang pada 31 Desember 2014).</t>
  </si>
  <si>
    <t xml:space="preserve">QA0699</t>
  </si>
  <si>
    <t xml:space="preserve">Berapa jumlah pegawai honorer pada 31 Desember 2015?</t>
  </si>
  <si>
    <t xml:space="preserve">449</t>
  </si>
  <si>
    <t xml:space="preserve">Instruction-following, Factual/Numerical, Format</t>
  </si>
  <si>
    <t xml:space="preserve">Table row 3 'Perjanjian Kerja Waktu Tertentu (PKWT) dan Pegawai Honorer': 449 (2015), 748 (2014). No chart on page.</t>
  </si>
  <si>
    <t xml:space="preserve">449 is the combined PKWT + honorer row, not honorer alone; source is a table, not a chart; bare number.</t>
  </si>
  <si>
    <t xml:space="preserve">Berapa jumlah pegawai PKWT dan pegawai honorer OJK pada 31 Desember 2015?</t>
  </si>
  <si>
    <t xml:space="preserve">Jumlah pegawai PKWT dan pegawai honorer OJK pada 31 Desember 2015 sebanyak 449 orang.</t>
  </si>
  <si>
    <t xml:space="preserve">QA0700</t>
  </si>
  <si>
    <t xml:space="preserve">Apakah realisasi dana APBN pada tahun 2015 sebesar Rp 1.745.300.000.000,00?</t>
  </si>
  <si>
    <t xml:space="preserve">Text: anggaran Rp1.745.300.000.000,00; realisasi dana APBN s.d. 31 Des 2015 Rp1.728.158.549.000,00 (99,02%).</t>
  </si>
  <si>
    <t xml:space="preserve">Rp1.745,3 miliar is the budget; realization is Rp1.728.158.549.000, so answer should be 'Tidak'.</t>
  </si>
  <si>
    <t xml:space="preserve">Tidak. Rp1.745.300.000.000,00 adalah anggarannya; realisasi dana APBN 2015 sebesar Rp1.728.158.549.000,00 (99,02%).</t>
  </si>
  <si>
    <t xml:space="preserve">QA0701</t>
  </si>
  <si>
    <t xml:space="preserve">Apakah realisasi dana APBN pada tahun 2014 sebesar Rp 2.009.326.213.485,00?</t>
  </si>
  <si>
    <t xml:space="preserve">Text: Rp2.009.326.213.485,00 is realisasi penerimaan pungutan 2014 (not APBN). Table: APBN 2014 Rp2.408.282.840.000.</t>
  </si>
  <si>
    <t xml:space="preserve">Misattributes the 2014 levy (pungutan) receipts to APBN; answer should be 'Tidak'. Evidence is text/table, not chart.</t>
  </si>
  <si>
    <t xml:space="preserve">Tidak. Rp2.009.326.213.485,00 adalah realisasi penerimaan pungutan tahun 2014; pagu APBN OJK tahun 2014 sebesar Rp2.408.282.840.000.</t>
  </si>
  <si>
    <t xml:space="preserve">QA0702</t>
  </si>
  <si>
    <t xml:space="preserve">Apakah OJK menggunakan APBN untuk mendanai operasional secara mandiri?</t>
  </si>
  <si>
    <t xml:space="preserve">Text: sampai 2015 OJK masih menggunakan dana APBN karena pungutan belum dapat mendanai seluruh operasional secara mandiri.</t>
  </si>
  <si>
    <t xml:space="preserve">Confused question; 'Ya' implies APBN gives independent funding, whereas text says APBN is still used because OJK cannot yet self-fund. Text-based, no calculation.</t>
  </si>
  <si>
    <t xml:space="preserve">Apakah sampai tahun 2015 OJK sudah dapat mendanai seluruh operasionalnya secara mandiri dari pungutan?</t>
  </si>
  <si>
    <t xml:space="preserve">Tidak. Sampai tahun 2015 OJK masih menggunakan dana APBN karena pungutan belum dapat mendanai seluruh operasional secara mandiri.</t>
  </si>
  <si>
    <t xml:space="preserve">QA0703</t>
  </si>
  <si>
    <t xml:space="preserve">Apakah jumlah pendapatan APBN pada 31 Desember 2015?</t>
  </si>
  <si>
    <t xml:space="preserve">1.730.626.337.451</t>
  </si>
  <si>
    <t xml:space="preserve">Pendapatan table: Pendapatan APBN 31 Des 2015 = 1.730.626.337.451 (dalam rupiah).</t>
  </si>
  <si>
    <t xml:space="preserve">Value correct but it is a single-cell table lookup, not a chart calculation; unit Rp missing.</t>
  </si>
  <si>
    <t xml:space="preserve">Berapa jumlah Pendapatan APBN OJK pada 31 Desember 2015?</t>
  </si>
  <si>
    <t xml:space="preserve">Pendapatan APBN OJK pada 31 Desember 2015 sebesar Rp1.730.626.337.451.</t>
  </si>
  <si>
    <t xml:space="preserve">QA0704</t>
  </si>
  <si>
    <t xml:space="preserve">Apakah total pendapatan pada 31 Desember 2015?</t>
  </si>
  <si>
    <t xml:space="preserve">5.655.273.293.711</t>
  </si>
  <si>
    <t xml:space="preserve">Unit, Format</t>
  </si>
  <si>
    <t xml:space="preserve">Text: Pendapatan OJK s.d. 31 Des 2015 sebesar Rp5.655.273.293.711,00.</t>
  </si>
  <si>
    <t xml:space="preserve">Value correct and stated in text, but answer is a bare number without the Rp unit.</t>
  </si>
  <si>
    <t xml:space="preserve">Berapa total pendapatan OJK pada 31 Desember 2015?</t>
  </si>
  <si>
    <t xml:space="preserve">Total pendapatan OJK sampai dengan 31 Desember 2015 sebesar Rp5.655.273.293.711,00.</t>
  </si>
  <si>
    <t xml:space="preserve">QA0705</t>
  </si>
  <si>
    <t xml:space="preserve">Apakah jumlah pendapatan lainnya pada 31 Desember 2015?</t>
  </si>
  <si>
    <t xml:space="preserve">0</t>
  </si>
  <si>
    <t xml:space="preserve">Pendapatan table: Pendapatan Lainnya 31 Des 2015 '-' (nil); 31 Des 2014 Rp7.250.204.769.</t>
  </si>
  <si>
    <t xml:space="preserve">Answer 0 is correct (shown as '-'), but source is a table, not a chart; bare number.</t>
  </si>
  <si>
    <t xml:space="preserve">Berapa jumlah pendapatan lainnya OJK pada 31 Desember 2015?</t>
  </si>
  <si>
    <t xml:space="preserve">Pendapatan Lainnya pada 31 Desember 2015 nihil (Rp0), turun dari Rp7.250.204.769 pada 31 Desember 2014.</t>
  </si>
  <si>
    <t xml:space="preserve">QA0706</t>
  </si>
  <si>
    <t xml:space="preserve">Pendapatan APBN tahun 2015 sebesar berapa?</t>
  </si>
  <si>
    <t xml:space="preserve">Tabel Pendapatan APBN: Jumlah 1.730.626.337.451 (Rp). Text only mentions pencairan Rp1.728.158.549.000.</t>
  </si>
  <si>
    <t xml:space="preserve">Value is correct but comes from the table, not running text; currency Rp missing.</t>
  </si>
  <si>
    <t xml:space="preserve">Rp1.730.626.337.451.</t>
  </si>
  <si>
    <t xml:space="preserve">QA0707</t>
  </si>
  <si>
    <t xml:space="preserve">Beban yang ada pada 31 Desember 2015 berjumlah berapa?</t>
  </si>
  <si>
    <t xml:space="preserve">3.634.649.516.341,00</t>
  </si>
  <si>
    <t xml:space="preserve">Text &amp; Beban table: jumlah beban sampai 31 Desember 2015 Rp3.634.649.516.341,00. No chart on page.</t>
  </si>
  <si>
    <t xml:space="preserve">Value is correct, but there is no chart; it is stated in the text (and table). Currency Rp missing.</t>
  </si>
  <si>
    <t xml:space="preserve">Rp3.634.649.516.341,00.</t>
  </si>
  <si>
    <t xml:space="preserve">QA0708</t>
  </si>
  <si>
    <t xml:space="preserve">Beban Kegiatan Pengadaan pada 31 Desember 2015 berapa?</t>
  </si>
  <si>
    <t xml:space="preserve">111.616.271.492</t>
  </si>
  <si>
    <t xml:space="preserve">Beban table: Beban Kegiatan Pengadaan Aset 31 Des 2015 = 111.616.271.492 (dalam rupiah).</t>
  </si>
  <si>
    <t xml:space="preserve">Value correct, but it is a single-cell table lookup (no chart, no calculation); currency missing. No exact label for pure lookup.</t>
  </si>
  <si>
    <t xml:space="preserve">Berapa Beban Kegiatan Pengadaan Aset OJK pada 31 Desember 2015?</t>
  </si>
  <si>
    <t xml:space="preserve">Rp111.616.271.492.</t>
  </si>
  <si>
    <t xml:space="preserve">QA0709</t>
  </si>
  <si>
    <t xml:space="preserve">Berapa jumlah kantor OJK di Jakarta?</t>
  </si>
  <si>
    <t xml:space="preserve">36</t>
  </si>
  <si>
    <t xml:space="preserve">Text 1.3: OJK memiliki 36 kantor: 1 Kantor Pusat (Jakarta Pusat), 9 Kantor Regional, 26 KOJK. Number of offices in Jakarta not given.</t>
  </si>
  <si>
    <t xml:space="preserve">36 is the total number of OJK offices nationwide, not offices in Jakarta (only the head office is stated to be in Jakarta).</t>
  </si>
  <si>
    <t xml:space="preserve">Berapa jumlah kantor yang dimiliki OJK berdasarkan PDK Nomor 2/PDK.01/2020?</t>
  </si>
  <si>
    <t xml:space="preserve">36 kantor, terdiri dari 1 Kantor Pusat di Jakarta, 9 Kantor Regional, dan 26 Kantor OJK.</t>
  </si>
  <si>
    <t xml:space="preserve">QA0710</t>
  </si>
  <si>
    <t xml:space="preserve">Berapa jumlah pegawai OJK pada tahun 2020?</t>
  </si>
  <si>
    <t xml:space="preserve">3.850</t>
  </si>
  <si>
    <t xml:space="preserve">Text: jumlah pegawai sebanyak 3.850 orang; employee table Jumlah 31 Des 2020 = 3.850.</t>
  </si>
  <si>
    <t xml:space="preserve">Value correct but stated in text/table, not chart; bare number without unit 'orang'.</t>
  </si>
  <si>
    <t xml:space="preserve">3.850 orang (per 31 Desember 2020).</t>
  </si>
  <si>
    <t xml:space="preserve">QA0711</t>
  </si>
  <si>
    <t xml:space="preserve">Pada tahun berapa OJK mulai mendapatkan anggaran dari APBN?</t>
  </si>
  <si>
    <t xml:space="preserve">2013</t>
  </si>
  <si>
    <t xml:space="preserve">Text: pada awal berdirinya OJK mendapatkan anggaran dari APBN; table (mulai TA 2013) shows APBN 100% in 2013 and 2014, 46% in 2015, none from 2016.</t>
  </si>
  <si>
    <t xml:space="preserve">2013 is supported by the table (first year listed), but no chart calculation is involved; evidence is text/table.</t>
  </si>
  <si>
    <t xml:space="preserve">Berdasarkan tabel, anggaran dari APBN tercatat sejak Tahun Anggaran 2013 (100%), dan sejak 2016 anggaran OJK sepenuhnya dari pungutan.</t>
  </si>
  <si>
    <t xml:space="preserve">QA0712</t>
  </si>
  <si>
    <t xml:space="preserve">Apakah total piutang APBN pada 31 Desember 2020 sebesar Rp458.678.521,00?</t>
  </si>
  <si>
    <t xml:space="preserve">Text 3.2.2: Piutang APBN per 31 Desember 2020 sebesar Rp458.678.521,00.</t>
  </si>
  <si>
    <t xml:space="preserve">Value verified in text; 'Ya' is correct.</t>
  </si>
  <si>
    <t xml:space="preserve">QA0713</t>
  </si>
  <si>
    <t xml:space="preserve">Berapa jumlah persediaan pada 31 Desember 2020?</t>
  </si>
  <si>
    <t xml:space="preserve">22.186.202.684</t>
  </si>
  <si>
    <t xml:space="preserve">Text 3.3 and tables: Saldo persediaan 31 Desember 2020 Rp22.186.202.684,00. No chart on page.</t>
  </si>
  <si>
    <t xml:space="preserve">Value correct but no chart exists (text/table source) and the answer lacks 'Rp'.</t>
  </si>
  <si>
    <t xml:space="preserve">Jumlah persediaan per 31 Desember 2020 sebesar Rp22.186.202.684,00.</t>
  </si>
  <si>
    <t xml:space="preserve">QA0714</t>
  </si>
  <si>
    <t xml:space="preserve">Apakah total persediaan usang pada 31 Desember 2020 sebesar Rp1.263.823.270,00?</t>
  </si>
  <si>
    <t xml:space="preserve">Text: Saldo Persediaan Usang yang dibiayai dari APBN sebesar Rp1.263.823.270,00 (Lampiran III), tidak disajikan di Neraca per 31 Des 2020.</t>
  </si>
  <si>
    <t xml:space="preserve">'Ya' is correct, but the value is in running text; no chart and no calculation.</t>
  </si>
  <si>
    <t xml:space="preserve">Ya, saldo persediaan usang yang dibiayai dari APBN sebesar Rp1.263.823.270,00.</t>
  </si>
  <si>
    <t xml:space="preserve">QA0715</t>
  </si>
  <si>
    <t xml:space="preserve">Jumlah uang muka pembelian atas voucher tiket pesawat PT Garuda Indonesia atas transaksi pembatalan/refund sebesar berapa?</t>
  </si>
  <si>
    <t xml:space="preserve">Rp 159.145.100,00</t>
  </si>
  <si>
    <t xml:space="preserve">Text item a: Uang Muka pembelian voucher tiket pesawat PT Garuda Indonesia (refund Covid-19) sebesar Rp159.145.100,00.</t>
  </si>
  <si>
    <t xml:space="preserve">Answer correct, but it is a text lookup; no chart or calculation.</t>
  </si>
  <si>
    <t xml:space="preserve">Rp159.145.100,00</t>
  </si>
  <si>
    <t xml:space="preserve">QA0716</t>
  </si>
  <si>
    <t xml:space="preserve">Jumlah uang muka pembelian atas pengadaan jasa konsultansi manajemen konstruksi dalam rangka pembangunan gedung IDFC di Lot 1 tahun anggaran 2019-2023 sebesar berapa?</t>
  </si>
  <si>
    <t xml:space="preserve">Rp 2.900.000.000,00</t>
  </si>
  <si>
    <t xml:space="preserve">Text item b: Uang Muka Pembelian ... Jasa Konsultansi Manajemen Konstruksi Pembangunan Gedung IdFC Lot 1 TA 2019-2023 sebesar Rp2.900.000.000,00.</t>
  </si>
  <si>
    <t xml:space="preserve">Value and entity verified in text; category fits.</t>
  </si>
  <si>
    <t xml:space="preserve">QA0717</t>
  </si>
  <si>
    <t xml:space="preserve">Text item b: Uang Muka Pembelian Gedung IdFC Lot 1 TA 2019-2023 sebesar Rp2.900.000.000,00. No chart on page.</t>
  </si>
  <si>
    <t xml:space="preserve">Answer correct but evidence is running text; no chart exists on the page.</t>
  </si>
  <si>
    <t xml:space="preserve">Rp2.900.000.000,00</t>
  </si>
  <si>
    <t xml:space="preserve">QA0718</t>
  </si>
  <si>
    <t xml:space="preserve">Aset Hak Guna pada 31 Desember 2020 berapa?</t>
  </si>
  <si>
    <t xml:space="preserve">Rp 189.810.211.020,00</t>
  </si>
  <si>
    <t xml:space="preserve">QA0719</t>
  </si>
  <si>
    <t xml:space="preserve">Aset Hak Guna pada 31 Desember 2019 berapa?</t>
  </si>
  <si>
    <t xml:space="preserve">Rp 199.976.998.969,00</t>
  </si>
  <si>
    <t xml:space="preserve">Text: saldo Aset Hak Guna per 31 Desember 2019 = Rp0,00; Rp169.976.998.969,00 is the 2020 Gedung Kantor component.</t>
  </si>
  <si>
    <t xml:space="preserve">The 2019 balance is Rp0. The given value is a misread of the 2020 office-building component. There is no chart on the page.</t>
  </si>
  <si>
    <t xml:space="preserve">Aset Hak Guna pada 31 Desember 2019 sebesar Rp0,00.</t>
  </si>
  <si>
    <t xml:space="preserve">QA0720</t>
  </si>
  <si>
    <t xml:space="preserve">Text 3.8: Saldo Aset Hak Guna 31 Desember 2020 = Rp189.810.211.020,00.</t>
  </si>
  <si>
    <t xml:space="preserve">The value is correct, but it is a text lookup; there is no chart and no calculation.</t>
  </si>
  <si>
    <t xml:space="preserve">Aset Hak Guna pada 31 Desember 2020 sebesar Rp189.810.211.020,00.</t>
  </si>
  <si>
    <t xml:space="preserve">QA0721</t>
  </si>
  <si>
    <t xml:space="preserve">Apakah nilai bunga perusahaan pada 31 Desember 2020?</t>
  </si>
  <si>
    <t xml:space="preserve">Page covers Aset Takberwujud (note 3.9); no 'nilai bunga perusahaan' (interest) at all. Rp71.890.826.573 is intangible asset book value 2020.</t>
  </si>
  <si>
    <t xml:space="preserve">Asks about company interest, which is not on the page; answer value belongs to a different metric.</t>
  </si>
  <si>
    <t xml:space="preserve">QA0722</t>
  </si>
  <si>
    <t xml:space="preserve">Apakah total penambahan Aset Takberwujud pada tahun 2020?</t>
  </si>
  <si>
    <t xml:space="preserve">Rp24.668.272.656,00</t>
  </si>
  <si>
    <t xml:space="preserve">Text: selama tahun 2020 terdapat penambahan Aset Takberwujud sebesar Rp24.668.272.656,00.</t>
  </si>
  <si>
    <t xml:space="preserve">Verified in text and table.</t>
  </si>
  <si>
    <t xml:space="preserve">QA0723</t>
  </si>
  <si>
    <t xml:space="preserve">Apakah Aset Dalam Penyelesaian sebesar berapa?</t>
  </si>
  <si>
    <t xml:space="preserve">Rp3.358.005.540,00</t>
  </si>
  <si>
    <t xml:space="preserve">Text: reklasifikasi masuk dari Aset Dalam Penyelesaian sebesar Rp3.358.005.540,00 (AUC).</t>
  </si>
  <si>
    <t xml:space="preserve">Value correct, but it is a text/table lookup (no chart); question is garbled and should say it is the reclassification into intangible assets.</t>
  </si>
  <si>
    <t xml:space="preserve">Berapa reklasifikasi masuk dari Aset Dalam Penyelesaian ke Aset Takberwujud selama tahun 2020?</t>
  </si>
  <si>
    <t xml:space="preserve">Reklasifikasi masuk dari Aset Dalam Penyelesaian sebesar Rp3.358.005.540,00.</t>
  </si>
  <si>
    <t xml:space="preserve">QA0724</t>
  </si>
  <si>
    <t xml:space="preserve">Apakah jumlah utang sewa pada 31 Desember 2020?</t>
  </si>
  <si>
    <t xml:space="preserve">1.571.084.484.181</t>
  </si>
  <si>
    <t xml:space="preserve">Text 3.17: Utang Sewa 31 Des 2020 Rp53.567.094.220,00. 1.571.084.484.181 is the Jumlah of Penempatan pada YKP table.</t>
  </si>
  <si>
    <t xml:space="preserve">Wrong figure (YKP placement total); evidence is text, no chart or calculation.</t>
  </si>
  <si>
    <t xml:space="preserve">Berapa jumlah utang sewa pada 31 Desember 2020?</t>
  </si>
  <si>
    <t xml:space="preserve">Rp53.567.094.220,00.</t>
  </si>
  <si>
    <t xml:space="preserve">QA0725</t>
  </si>
  <si>
    <t xml:space="preserve">Banyaknya penyesuaian aset neto pada 31 Desember 2020?</t>
  </si>
  <si>
    <t xml:space="preserve">33.228.180.329</t>
  </si>
  <si>
    <t xml:space="preserve">Mutasi Aset Neto table: Penyesuaian Aset Neto 31 Des 2020 = (33.228.180.329) rupiah (negative).</t>
  </si>
  <si>
    <t xml:space="preserve">Magnitude correct but negative sign and Rp unit omitted; value comes from a table, not text (single-cell lookup).</t>
  </si>
  <si>
    <t xml:space="preserve">Berapa penyesuaian aset neto pada 31 Desember 2020?</t>
  </si>
  <si>
    <t xml:space="preserve">Minus Rp33.228.180.329 (disajikan (33.228.180.329)).</t>
  </si>
  <si>
    <t xml:space="preserve">QA0726</t>
  </si>
  <si>
    <t xml:space="preserve">Apakah ada penyesuaian aset neto yang terkait dengan perubahan PSAK 71?</t>
  </si>
  <si>
    <t xml:space="preserve">Rincian penyesuaian Aset Neto: Penyesuaian sehubungan penerapan PSAK 71 Instrumen Keuangan (57.263.993.354) pada 31 Des 2020.</t>
  </si>
  <si>
    <t xml:space="preserve">'Ya' is correct but it comes from a table, not a chart; the amount could be given.</t>
  </si>
  <si>
    <t xml:space="preserve">Ya, terdapat penyesuaian sehubungan penerapan PSAK 71 sebesar minus Rp57.263.993.354 pada 31 Desember 2020.</t>
  </si>
  <si>
    <t xml:space="preserve">QA0727</t>
  </si>
  <si>
    <t xml:space="preserve">Berapa jumlah koreksi utang PPHB Badan 2019 sebesar?</t>
  </si>
  <si>
    <t xml:space="preserve">Row 3: Koreksi Utang PPh Badan 2019 atas dampak koreksi utang BPHTB KR 3 Jawa Tengah dan DIY = (1.924.250.000). 33.228.180.329 is the 2020 table total. No chart.</t>
  </si>
  <si>
    <t xml:space="preserve">Answer is the table total, not the PPh Badan 2019 correction (Rp1.924.250.000, negative); 'PPHB' typo; table lookup, not chart.</t>
  </si>
  <si>
    <t xml:space="preserve">Berapa koreksi utang PPh Badan 2019 atas dampak koreksi utang BPHTB KR 3 Jawa Tengah dan DIY?</t>
  </si>
  <si>
    <t xml:space="preserve">(Rp1.924.250.000).</t>
  </si>
  <si>
    <t xml:space="preserve">QA0728</t>
  </si>
  <si>
    <t xml:space="preserve">Apakah ada penyesuaian atas nilai aset dan beban dibayar yang tidak didaftarkan?</t>
  </si>
  <si>
    <t xml:space="preserve">Ya, ada penyesuaian atas nilai aset dan beban dibayar yang tidak didaftarkan sebesar 56.011.323.421</t>
  </si>
  <si>
    <t xml:space="preserve">Typo/Grammar, Instruction-following, Temporal</t>
  </si>
  <si>
    <t xml:space="preserve">Row 15: Penyesuaian atas nilai aset dan beban dibayar dimuka yang didanai APBN agar sesuai SAP = 56.011.323.421 (31 Des 2019).</t>
  </si>
  <si>
    <t xml:space="preserve">Value correct, but question says 'tidak didaftarkan' (actually 'didanai APBN'), period 2019 missing, and evidence is a table not text.</t>
  </si>
  <si>
    <t xml:space="preserve">Berapa penyesuaian atas nilai aset dan beban dibayar dimuka yang didanai APBN per 31 Desember 2019?</t>
  </si>
  <si>
    <t xml:space="preserve">Ya, sebesar Rp56.011.323.421 pada 31 Desember 2019, agar sesuai Standar Akuntansi Pemerintahan.</t>
  </si>
  <si>
    <t xml:space="preserve">QA0729</t>
  </si>
  <si>
    <t xml:space="preserve">Berapa jumlah total koreksi utang PPHB Badan 2019 sebesar?</t>
  </si>
  <si>
    <t xml:space="preserve">PPh/Pajak Badan corrections (rows 3,5,7,9): (1.924.250.000)+(1.883.625.000)+(1.561.250.000)+(2.642.812.675) = (8.011.937.675). 33.228.180.329 is the table total.</t>
  </si>
  <si>
    <t xml:space="preserve">Answer is the total of all corrections, not the PPh Badan 2019 corrections; correct sum is (Rp8.011.937.675). Table, not chart.</t>
  </si>
  <si>
    <t xml:space="preserve">Berapa total koreksi utang Pajak Penghasilan Badan 2019 akibat koreksi utang BPHTB per 31 Desember 2020?</t>
  </si>
  <si>
    <t xml:space="preserve">(Rp8.011.937.675), terdiri dari KR 3 Jateng &amp; DIY (1.924.250.000), KOJK Solo (1.883.625.000), KR 7 Sumbagsel (1.561.250.000) dan KR 4 Jatim (2.642.812.675).</t>
  </si>
  <si>
    <t xml:space="preserve">QA0730</t>
  </si>
  <si>
    <t xml:space="preserve">Beban OJK pada 31 Desember 2020 sebesar berapa?</t>
  </si>
  <si>
    <t xml:space="preserve">Rp5.828.936.696.848,00</t>
  </si>
  <si>
    <t xml:space="preserve">Text 3.20: Beban OJK s.d. 31 Des 2020 sebesar Rp5.828.936.696.848,00.</t>
  </si>
  <si>
    <t xml:space="preserve">Exact match with running text.</t>
  </si>
  <si>
    <t xml:space="preserve">QA0731</t>
  </si>
  <si>
    <t xml:space="preserve">Beban Kegiatan Operasional pada 31 Desember 2020 sebesar berapa?</t>
  </si>
  <si>
    <t xml:space="preserve">Rp245.934.412.380,00</t>
  </si>
  <si>
    <t xml:space="preserve">Text &amp; table 3.20: Beban Kegiatan Operasional 31 Des 2020 = Rp245.934.412.380,00.</t>
  </si>
  <si>
    <t xml:space="preserve">Value correct, but it is a direct lookup also stated in text, not a table calculation.</t>
  </si>
  <si>
    <t xml:space="preserve">Beban Kegiatan Operasional OJK sampai dengan 31 Desember 2020 sebesar Rp245.934.412.380,00.</t>
  </si>
  <si>
    <t xml:space="preserve">QA0732</t>
  </si>
  <si>
    <t xml:space="preserve">Beban Kegiatan Administratif pada 31 Desember 2020 sebesar berapa?</t>
  </si>
  <si>
    <t xml:space="preserve">Rp4.848.302.219.693</t>
  </si>
  <si>
    <t xml:space="preserve">Table 3.20 Beban Kegiatan Administratif: Rp5.165.677.593.900 (31 Des 2020); Rp4.848.302.219.693 (31 Des 2019). No chart.</t>
  </si>
  <si>
    <t xml:space="preserve">Answer gives the 2019 value instead of 2020; source is a table, not a chart.</t>
  </si>
  <si>
    <t xml:space="preserve">Beban Kegiatan Administratif pada 31 Desember 2020 sebesar Rp5.165.677.593.900.</t>
  </si>
  <si>
    <t xml:space="preserve">QA0733</t>
  </si>
  <si>
    <t xml:space="preserve">Berapa jumlah perkara yang dihadapi OJK pada tahun 2020?</t>
  </si>
  <si>
    <t xml:space="preserve">334 perkara</t>
  </si>
  <si>
    <t xml:space="preserve">Text 3.24: OJK menghadapi 334 perkara sepanjang 2020.</t>
  </si>
  <si>
    <t xml:space="preserve">Correct and stated in text.</t>
  </si>
  <si>
    <t xml:space="preserve">QA0734</t>
  </si>
  <si>
    <t xml:space="preserve">Berapa jumlah perkara yang telah putus dan belum ada upaya hukum?</t>
  </si>
  <si>
    <t xml:space="preserve">149 perkara</t>
  </si>
  <si>
    <t xml:space="preserve">Text: 149 perkara telah putus dan belum ada upaya hukum.</t>
  </si>
  <si>
    <t xml:space="preserve">Correct value, but it is from the paragraph, not a chart.</t>
  </si>
  <si>
    <t xml:space="preserve">Sebanyak 149 perkara yang dihadapi OJK tahun 2020 telah putus dan belum ada upaya hukum.</t>
  </si>
  <si>
    <t xml:space="preserve">QA0735</t>
  </si>
  <si>
    <t xml:space="preserve">Berapa jumlah perkara yang masih dalam proses hukum?</t>
  </si>
  <si>
    <t xml:space="preserve">185 perkara</t>
  </si>
  <si>
    <t xml:space="preserve">Text: sisanya sebanyak 185 perkara masih dalam proses hukum.</t>
  </si>
  <si>
    <t xml:space="preserve">Correct value stated directly in text; no chart or calculation required.</t>
  </si>
  <si>
    <t xml:space="preserve">Sebanyak 185 perkara masih dalam proses hukum di berbagai tingkatan pengadilan.</t>
  </si>
  <si>
    <t xml:space="preserve">QA0736</t>
  </si>
  <si>
    <t xml:space="preserve">Realisasi APBD &amp; APBN di Bali pada triwulan II tahun 2020 mencapai berapa?</t>
  </si>
  <si>
    <t xml:space="preserve">Rp11,43 triliun</t>
  </si>
  <si>
    <t xml:space="preserve">Text: realisasi belanja pemerintah (APBD &amp; APBN) di Bali pada triwulan II 2020 tercatat sebesar Rp11,43 triliun.</t>
  </si>
  <si>
    <t xml:space="preserve">Answer Rp11,43 triliun matches the text.</t>
  </si>
  <si>
    <t xml:space="preserve">QA0737</t>
  </si>
  <si>
    <t xml:space="preserve">Peningkatan realisasi APBD &amp; APBN di Bali pada triwulan II tahun 2020 dibandingkan dengan triwulan II tahun 2019?</t>
  </si>
  <si>
    <t xml:space="preserve">Menurun</t>
  </si>
  <si>
    <t xml:space="preserve">Text: realisasi Tw II 2020 Rp11,43 T tumbuh -6,61% (yoy), vs Tw II 2019 Rp12,24 T (+11,78% yoy). No chart on page.</t>
  </si>
  <si>
    <t xml:space="preserve">'Menurun' is correct but evidence is text, not a chart; answer lacks the magnitude (-6,61% yoy).</t>
  </si>
  <si>
    <t xml:space="preserve">Bagaimana perubahan realisasi APBD &amp; APBN di Bali pada triwulan II 2020 dibandingkan triwulan II 2019?</t>
  </si>
  <si>
    <t xml:space="preserve">Menurun; realisasi triwulan II 2020 sebesar Rp11,43 triliun atau tumbuh -6,61% (yoy), dari Rp12,24 triliun pada triwulan II 2019.</t>
  </si>
  <si>
    <t xml:space="preserve">QA0738</t>
  </si>
  <si>
    <t xml:space="preserve">Apakah APBD Kabupaten/Kota di Bali mengalami peningkatan atau penurunan realisasi?</t>
  </si>
  <si>
    <t xml:space="preserve">Text: realisasi belanja APBD Kabupaten/Kota terkontraksi 15,34% (yoy) pada triwulan II 2020 (APBN -6,00%).</t>
  </si>
  <si>
    <t xml:space="preserve">'Menurun' is correct, but it comes from text with no chart/calculation; magnitude and period missing.</t>
  </si>
  <si>
    <t xml:space="preserve">Apakah realisasi belanja APBD Kabupaten/Kota di Bali pada triwulan II 2020 meningkat atau menurun?</t>
  </si>
  <si>
    <t xml:space="preserve">Menurun; realisasi belanja APBD Kabupaten/Kota terkontraksi 15,34% (yoy) pada triwulan II 2020.</t>
  </si>
  <si>
    <t xml:space="preserve">QA0739</t>
  </si>
  <si>
    <t xml:space="preserve">Apakah target anggaran pendapatan daerah gabungan kabupaten/kota pada tahun 2020 sebesar Rp17,20 triliun?</t>
  </si>
  <si>
    <t xml:space="preserve">Ya, target anggaran pendapatan daerah gabungan kabupaten/kota pada tahun 2020 sebesar Rp17,20 triliun.</t>
  </si>
  <si>
    <t xml:space="preserve">Text 2.3.1: target anggaran perubahan pendapatan gabungan kab/kota 2020 Rp17,20 triliun, terkontraksi 16,39% (yoy).</t>
  </si>
  <si>
    <t xml:space="preserve">Correct yes answer from text.</t>
  </si>
  <si>
    <t xml:space="preserve">QA0740</t>
  </si>
  <si>
    <t xml:space="preserve">Apakah target anggaran belanja daerah gabungan kabupaten/kota pada tahun 2020 sebesar Rp18,57 triliun?</t>
  </si>
  <si>
    <t xml:space="preserve">Tidak, target anggaran belanja daerah gabungan kabupaten/kota pada tahun 2020 sebesar Rp18,57 triliun, namun hanya tumbuh sebesar -14,11% (yoy).</t>
  </si>
  <si>
    <t xml:space="preserve">Text 2.3.2: target belanja perubahan gabungan kab/kota 2020 Rp18,57 triliun, tumbuh -14,11% (yoy).</t>
  </si>
  <si>
    <t xml:space="preserve">Answer says 'Tidak' yet confirms Rp18,57 triliun; correct response is 'Ya'. Evidence is text, not chart.</t>
  </si>
  <si>
    <t xml:space="preserve">Ya, target anggaran belanja daerah gabungan kabupaten/kota tahun 2020 sebesar Rp18,57 triliun atau tumbuh -14,11% (yoy).</t>
  </si>
  <si>
    <t xml:space="preserve">QA0741</t>
  </si>
  <si>
    <t xml:space="preserve">Apakah realisasi pendapatan daerah gabungan kabupaten/kota di Bali pada triwulan I tahun 2020 sebesar Rp8,06 triliun?</t>
  </si>
  <si>
    <t xml:space="preserve">Ya, realisasi pendapatan daerah gabungan kabupaten/kota di Bali pada triwulan I tahun 2020 sebesar Rp8,06 triliun.</t>
  </si>
  <si>
    <t xml:space="preserve">Text 2.3.3: realisasi gabungan pendapatan kab/kota pada triwulan II 2020 Rp8,06 triliun, tumbuh -8,42% (yoy).</t>
  </si>
  <si>
    <t xml:space="preserve">Rp8,06 triliun is for triwulan II 2020, not triwulan I; 'Ya' is wrong for the question as posed. Text source, no calculation.</t>
  </si>
  <si>
    <t xml:space="preserve">Tidak, realisasi Rp8,06 triliun (tumbuh -8,42% yoy) tercatat pada triwulan II 2020, bukan triwulan I.</t>
  </si>
  <si>
    <t xml:space="preserve">QA0742</t>
  </si>
  <si>
    <t xml:space="preserve">Apakah realisasi inflasi di Provinsi Bali pada triwulan II 2020 sebesar 2,18%?</t>
  </si>
  <si>
    <t xml:space="preserve">Text: realisasi inflasi Provinsi Bali pada triwulan II 2020 tercatat 2,18% (yoy).</t>
  </si>
  <si>
    <t xml:space="preserve">Correct, verified in text.</t>
  </si>
  <si>
    <t xml:space="preserve">QA0743</t>
  </si>
  <si>
    <t xml:space="preserve">Berapakah realisasi inflasi di Provinsi Bali pada triwulan I 2020?</t>
  </si>
  <si>
    <t xml:space="preserve">3,04%</t>
  </si>
  <si>
    <t xml:space="preserve">Text: inflasi Bali Tw I 2020 3,04% (yoy). Grafik III.2 Bali line ~3 at Tw I 2020 but unlabelled.</t>
  </si>
  <si>
    <t xml:space="preserve">Value correct, but exact 3,04% is only in text (chart has no data labels); 'yoy' missing.</t>
  </si>
  <si>
    <t xml:space="preserve">Realisasi inflasi Provinsi Bali pada triwulan I 2020 sebesar 3,04% (yoy).</t>
  </si>
  <si>
    <t xml:space="preserve">QA0744</t>
  </si>
  <si>
    <t xml:space="preserve">Apakah realisasi inflasi di Provinsi Bali pada triwulan II 2020 lebih rendah dibandingkan dengan triwulan sebelumnya?</t>
  </si>
  <si>
    <t xml:space="preserve">Text and Grafik III.2: Bali inflation fell from 3,04% (Tw I 2020) to 2,18% yoy (Tw II 2020).</t>
  </si>
  <si>
    <t xml:space="preserve">'Ya' is correct, but no calculation is required (trend comparison), and the answer gives no supporting values.</t>
  </si>
  <si>
    <t xml:space="preserve">Ya, inflasi Bali turun dari 3,04% (yoy) pada triwulan I 2020 menjadi 2,18% (yoy) pada triwulan II 2020.</t>
  </si>
  <si>
    <t xml:space="preserve">QA0745</t>
  </si>
  <si>
    <t xml:space="preserve">Apakah jumlah pengangguran di Provinsi Bali meningkat dibandingkan dengan Februari 2019?</t>
  </si>
  <si>
    <t xml:space="preserve">Ya, jumlah pengangguran di Provinsi Bali meningkat dari 30,3 ribu orang pada Februari 2019 menjadi 31,3 ribu orang pada Februari 2020.</t>
  </si>
  <si>
    <t xml:space="preserve">Text: jumlah pengangguran dari 30,3 ribu orang (Feb 2019) menjadi 31,3 ribu orang (Feb 2020).</t>
  </si>
  <si>
    <t xml:space="preserve">Direction and values verified in text.</t>
  </si>
  <si>
    <t xml:space="preserve">QA0746</t>
  </si>
  <si>
    <t xml:space="preserve">Apakah tingkat pengangguran terbuka (TPT) di Provinsi Bali meningkat pada Februari 2020?</t>
  </si>
  <si>
    <t xml:space="preserve">Ya, tingkat pengangguran terbuka (TPT) di Provinsi Bali meningkat pada Februari 2020, dari 1,19% pada Februari 2019 menjadi 1,21% pada Februari 2020.</t>
  </si>
  <si>
    <t xml:space="preserve">Text + Tabel VI.1: TPT 1,19% (Feb 2019) -&gt; 1,21% (yoy) Feb 2020.</t>
  </si>
  <si>
    <t xml:space="preserve">Answer correct, but values come from text/table, not a chart.</t>
  </si>
  <si>
    <t xml:space="preserve">Ya, TPT Bali meningkat dari 1,19% pada Februari 2019 menjadi 1,21% pada Februari 2020.</t>
  </si>
  <si>
    <t xml:space="preserve">QA0747</t>
  </si>
  <si>
    <t xml:space="preserve">Apakah jumlah pegawai yang terdampak COVID-19 pada Februari 2020?</t>
  </si>
  <si>
    <t xml:space="preserve">Ya, pada Februari 2020 tercatat sebanyak 97 ribu karyawan yang terdampak COVID-19.</t>
  </si>
  <si>
    <t xml:space="preserve">Temporal, Typo/Grammar, Instruction-following</t>
  </si>
  <si>
    <t xml:space="preserve">Grafik VI.2 Jumlah Pekerja Terdampak COVID-19 (ribu orang): April 60, Mei 60, Juni 91, Juli 97; text: sampai akhir Juli 2020 sebanyak 97 ribu karyawan.</t>
  </si>
  <si>
    <t xml:space="preserve">97 ribu is the cumulative count as of end-July 2020, not February 2020 (no Feb data). Question garbled; plain read, no calculation.</t>
  </si>
  <si>
    <t xml:space="preserve">Berapa jumlah pekerja terdampak COVID-19 di Bali sampai dengan akhir Juli 2020?</t>
  </si>
  <si>
    <t xml:space="preserve">Sebanyak 97 ribu orang (naik dari 60 ribu pada April 2020).</t>
  </si>
  <si>
    <t xml:space="preserve">QA0748</t>
  </si>
  <si>
    <t xml:space="preserve">Apakah realisasi APBD dan APBN di Bali pada triwulan III tahun 2020 mencatat sebesar Rp 23,02 triliun?</t>
  </si>
  <si>
    <t xml:space="preserve">Text: realisasi belanja pemerintah (APBD &amp; APBN) di Bali Tw III 2020 tercatat sebesar Rp23,02 triliun.</t>
  </si>
  <si>
    <t xml:space="preserve">Correct yes/no answer, verified in the text.</t>
  </si>
  <si>
    <t xml:space="preserve">QA0749</t>
  </si>
  <si>
    <t xml:space="preserve">Apakah realisasi APBD dan APBN di Bali pada triwulan III tahun 2020 mengalami penurunan?</t>
  </si>
  <si>
    <t xml:space="preserve">Ya, realisasi APBD dan APBN di Bali pada triwulan III tahun 2020 mengalami penurunan sebesar 5,21% (yoy).</t>
  </si>
  <si>
    <t xml:space="preserve">Text/Tabel II.2: realisasi belanja Tw III 2020 tumbuh -5,21% (yoy). No chart.</t>
  </si>
  <si>
    <t xml:space="preserve">The answer is correct, but the evidence is text/table, not a chart.</t>
  </si>
  <si>
    <t xml:space="preserve">Ya, realisasi belanja APBD dan APBN di Bali pada triwulan III 2020 mengalami penurunan sebesar 5,21% (yoy), menjadi Rp23,02 triliun.</t>
  </si>
  <si>
    <t xml:space="preserve">QA0750</t>
  </si>
  <si>
    <t xml:space="preserve">Apakah realisasi APBD dan APBN di Bali pada triwulan III tahun 2020 lebih rendah dibandingkan dengan triwulan III tahun 2019?</t>
  </si>
  <si>
    <t xml:space="preserve">Ya, realisasi APBD dan APBN di Bali pada triwulan III tahun 2020 lebih rendah dibandingkan dengan triwulan III tahun 2019 sebesar 4,65% (yoy).</t>
  </si>
  <si>
    <t xml:space="preserve">'Yes, lower' is right, but 4,65% is the Tw III 2019 growth. Tw III 2020 is 5,21% lower (Rp24.286 to Rp23.022 miliar, -Rp1.264 miliar). The source is a table, not a chart.</t>
  </si>
  <si>
    <t xml:space="preserve">Ya, realisasi belanja APBD dan APBN di Bali pada triwulan III 2020 (Rp23,02 triliun) lebih rendah dibandingkan triwulan III 2019 (Rp24,29 triliun), turun sekitar Rp1,26 triliun atau -5,21% (yoy).</t>
  </si>
  <si>
    <t xml:space="preserve">QA0751</t>
  </si>
  <si>
    <t xml:space="preserve">Apakah penurunan pendapatan APBD Provinsi Bali pada triwulan III tahun 2020 dibandingkan dengan triwulan III tahun 2019?</t>
  </si>
  <si>
    <t xml:space="preserve">Terdapat penurunan pendapatan APBD Provinsi Bali pada triwulan III tahun 2020 dibandingkan dengan triwulan III tahun 2019.</t>
  </si>
  <si>
    <t xml:space="preserve">Text: realisasi pendapatan daerah Tw III 2020 Rp4,39 T, terkontraksi 12,68% (yoy), lebih rendah dari Tw III 2019 (Rp5,03 T).</t>
  </si>
  <si>
    <t xml:space="preserve">Decline confirmed in text; question awkward but understandable.</t>
  </si>
  <si>
    <t xml:space="preserve">QA0752</t>
  </si>
  <si>
    <t xml:space="preserve">Bagaimana peningkatan realisasi pendapatan daerah pada triwulan III tahun 2020 sebanding dengan realisasi pada triwulan III tahun 2019?</t>
  </si>
  <si>
    <t xml:space="preserve">Realisasi pendapatan daerah pada triwulan III tahun 2020 sebanding dengan realisasi pada triwulan III tahun 2019, dengan persentase realisasi sebesar 77,24% (2020) dan 77,42% (2019).</t>
  </si>
  <si>
    <t xml:space="preserve">Text/Tabel II.5: serapan pendapatan daerah Tw III 2020 72,24% vs Tw III 2019 77,42%; realisasi Rp4,39 T vs Rp5,03 T (-12,68% yoy).</t>
  </si>
  <si>
    <t xml:space="preserve">2020 serapan is 72,24%, not 77,24%, so it is lower, not 'sebanding'; question wrongly implies an increase. No chart.</t>
  </si>
  <si>
    <t xml:space="preserve">Bagaimana persentase realisasi (serapan) pendapatan daerah Provinsi Bali pada triwulan III 2020 dibandingkan triwulan III 2019?</t>
  </si>
  <si>
    <t xml:space="preserve">Serapan pendapatan daerah pada triwulan III 2020 sebesar 72,24%, lebih rendah dibandingkan triwulan III 2019 sebesar 77,42%.</t>
  </si>
  <si>
    <t xml:space="preserve">QA0753</t>
  </si>
  <si>
    <t xml:space="preserve">Apakah ada penurunan dalam pendapatan asli daerah pada triwulan III tahun 2020?</t>
  </si>
  <si>
    <t xml:space="preserve">Terdapat penurunan dalam pendapatan asli daerah pada triwulan III tahun 2020, dengan penurunan sebesar 8,72% dibandingkan dengan triwulan III tahun 2019.</t>
  </si>
  <si>
    <t xml:space="preserve">Text: realisasi PAD Tw III 2020 Rp2,32 T, tumbuh -21,03% (yoy); -8,72% is the PAD target (pagu) growth.</t>
  </si>
  <si>
    <t xml:space="preserve">Decline exists, but 8,72% is the budget target growth; realized PAD fell 21,03% yoy. Stated in text, no chart calculation.</t>
  </si>
  <si>
    <t xml:space="preserve">Ya, realisasi PAD Provinsi Bali pada triwulan III 2020 sebesar Rp2,32 triliun, terkontraksi 21,03% (yoy) dibandingkan triwulan III 2019 yang tumbuh 9,56% (yoy).</t>
  </si>
  <si>
    <t xml:space="preserve">QA0754</t>
  </si>
  <si>
    <t xml:space="preserve">Target belanja APBN di Bali tahun 2020 sebesar berapa?</t>
  </si>
  <si>
    <t xml:space="preserve">Text 2.4: Target belanja APBN di Bali tahun 2020 Rp12,41 triliun.</t>
  </si>
  <si>
    <t xml:space="preserve">QA0755</t>
  </si>
  <si>
    <t xml:space="preserve">Apakah realisasi serapan APBN di Bali pada triwulan III tahun 2020 mencapai 66,87%?</t>
  </si>
  <si>
    <t xml:space="preserve">Text: serapan mencapai 66,87% pada Tw III 2020; Tabel II.11 Persentase Realisasi Total 2020 = 66,87. No chart.</t>
  </si>
  <si>
    <t xml:space="preserve">Answer correct but category is Chart-* while page has no chart.</t>
  </si>
  <si>
    <t xml:space="preserve">Ya, realisasi serapan APBN di Bali pada triwulan III 2020 mencapai 66,87%.</t>
  </si>
  <si>
    <t xml:space="preserve">QA0756</t>
  </si>
  <si>
    <t xml:space="preserve">Apakah peningkatan realisasi APBN di Bali pada triwulan III tahun 2020 dibandingkan dengan triwulan III tahun 2019?</t>
  </si>
  <si>
    <t xml:space="preserve">Text: serapan Tw III 2020 66,87% (Rp8,30 triliun) meningkat dibanding Tw III 2019 63,21% (Rp8,03 triliun).</t>
  </si>
  <si>
    <t xml:space="preserve">'Ya' is correct but question is garbled, answer lacks figures, and it is text not a chart calculation.</t>
  </si>
  <si>
    <t xml:space="preserve">Apakah realisasi APBN di Bali pada triwulan III 2020 meningkat dibandingkan triwulan III 2019?</t>
  </si>
  <si>
    <t xml:space="preserve">Ya, serapan naik dari 63,21% (Rp8,03 triliun) pada triwulan III 2019 menjadi 66,87% (Rp8,30 triliun) pada triwulan III 2020.</t>
  </si>
  <si>
    <t xml:space="preserve">QA0757</t>
  </si>
  <si>
    <t xml:space="preserve">Tahun berapa inflasi Kota Denpasar tercatat melandai?</t>
  </si>
  <si>
    <t xml:space="preserve">2020</t>
  </si>
  <si>
    <t xml:space="preserve">Text: inflasi Kota Denpasar tercatat melandai menjadi 0,80% (yoy) dari 2,15% (yoy) pada triwulan II 2020 (i.e. Tw III 2020).</t>
  </si>
  <si>
    <t xml:space="preserve">2020 is correct.</t>
  </si>
  <si>
    <t xml:space="preserve">QA0758</t>
  </si>
  <si>
    <t xml:space="preserve">Berapakah penurunan harga tertinggi yang terjadi pada kelompok komoditas?</t>
  </si>
  <si>
    <t xml:space="preserve">Pendidikan, makanan, minuman, dan tembakau</t>
  </si>
  <si>
    <t xml:space="preserve">Text: penurunan terbesar pada kelompok pendidikan serta makanan, minuman, dan tembakau. Tabel III.1 yoy: Pendidikan 8,11% (Tw II) -&gt; 0,60% (Tw III); Makanan 2,48% -&gt; (0,06)%.</t>
  </si>
  <si>
    <t xml:space="preserve">Groups named correctly per text, but question asks 'berapa' and no magnitude is given; evidence is text/table, not a chart.</t>
  </si>
  <si>
    <t xml:space="preserve">Kelompok komoditas apa yang mengalami penurunan tekanan harga terbesar di Kota Denpasar pada triwulan III 2020?</t>
  </si>
  <si>
    <t xml:space="preserve">Kelompok pendidikan (inflasi turun dari 8,11% menjadi 0,60% yoy) serta makanan, minuman, dan tembakau (dari 2,48% menjadi -0,06% yoy).</t>
  </si>
  <si>
    <t xml:space="preserve">QA0759</t>
  </si>
  <si>
    <t xml:space="preserve">Berapakah inflasi komoditas yang paling tinggi pada bulan Agustus?</t>
  </si>
  <si>
    <t xml:space="preserve">Emas Perhiasan</t>
  </si>
  <si>
    <t xml:space="preserve">Tabel III.2 Agustus inflasi: 1. Emas Perhiasan 0,43; 2. Beras 0,14; 3. Nasi Dengan Lauk 0,10.</t>
  </si>
  <si>
    <t xml:space="preserve">Emas Perhiasan is correct, but question asks 'berapakah' and the andil 0,43% is missing; ranking is from a table, not a chart calculation.</t>
  </si>
  <si>
    <t xml:space="preserve">Komoditas apa yang memberikan andil inflasi tertinggi di Kota Denpasar pada Agustus 2020 dan berapa andilnya?</t>
  </si>
  <si>
    <t xml:space="preserve">Emas Perhiasan, dengan andil inflasi 0,43%.</t>
  </si>
  <si>
    <t xml:space="preserve">QA0760</t>
  </si>
  <si>
    <t xml:space="preserve">Apakah perbedaan inflasi di Singaraja antara triwulan II 2020 dan triwulan III 2020?</t>
  </si>
  <si>
    <t xml:space="preserve">Inflasi di Singaraja tercatat melandai, dari 2,41% (yoy) pada triwulan II 2020 menjadi 1,91% (yoy) pada triwulan III 2020.</t>
  </si>
  <si>
    <t xml:space="preserve">Text: inflasi Singaraja melandai dari 2,41% (yoy) Tw II 2020 menjadi 1,91% (yoy) Tw III 2020.</t>
  </si>
  <si>
    <t xml:space="preserve">Values, periods and direction match the text.</t>
  </si>
  <si>
    <t xml:space="preserve">QA0761</t>
  </si>
  <si>
    <t xml:space="preserve">Berapakah perbedaan inflasi antara triwulan I, II, dan III 2020?</t>
  </si>
  <si>
    <t xml:space="preserve">Perbedaan inflasi antara triwulan I, II, dan III 2020 adalah 0,24%, 0,02%, dan -0,24% masing-masing.</t>
  </si>
  <si>
    <t xml:space="preserve">Tabel III.3 Umum yoy: TW I 3,69; TW II 2,41; TW III 1,91 (mtm 0,16; 0,31; 0,26).</t>
  </si>
  <si>
    <t xml:space="preserve">0,24%, 0,02%, -0,24% do not correspond to any differences in the table; correct differences are -1,28 pp (I-&gt;II) and -0,50 pp (II-&gt;III). Needs table calculation.</t>
  </si>
  <si>
    <t xml:space="preserve">Berapa selisih inflasi tahunan (yoy) Kota Singaraja antara triwulan I, II, dan III 2020?</t>
  </si>
  <si>
    <t xml:space="preserve">Inflasi yoy Singaraja 3,69% (Tw I), 2,41% (Tw II), dan 1,91% (Tw III); turun 1,28 poin persen dari Tw I ke Tw II dan 0,50 poin persen dari Tw II ke Tw III 2020.</t>
  </si>
  <si>
    <t xml:space="preserve">QA0762</t>
  </si>
  <si>
    <t xml:space="preserve">Mencatatkan inflasi tertinggi di Singaraja pada triwulan III 2020?</t>
  </si>
  <si>
    <t xml:space="preserve">Emas perhiasan mencatatkan inflasi tertinggi di Singaraja pada triwulan III 2020 dengan andil 0,26%.</t>
  </si>
  <si>
    <t xml:space="preserve">Text: penyumbang utama inflasi 'triwulan II 2020' adalah emas perhiasan (andil 0,26%); Tabel III.4 (Tw III): emas perhiasan top in Juli (0,14) and September (0,21).</t>
  </si>
  <si>
    <t xml:space="preserve">Emas perhiasan is the top contributor, but the question is a fragment, the 0,26% figure comes from text (labelled Tw II), and no chart or calculation is involved.</t>
  </si>
  <si>
    <t xml:space="preserve">Komoditas apa yang menjadi penyumbang utama inflasi di Singaraja menurut uraian laporan?</t>
  </si>
  <si>
    <t xml:space="preserve">Emas perhiasan merupakan penyumbang utama inflasi dengan andil 0,26%, diikuti daging babi (0,18%) dan pisang (0,15%).</t>
  </si>
  <si>
    <t xml:space="preserve">QA0763</t>
  </si>
  <si>
    <t xml:space="preserve">Bali mengalami inflasi perdesaan pada tahun 2020 sebesar?</t>
  </si>
  <si>
    <t xml:space="preserve">0,49%</t>
  </si>
  <si>
    <t xml:space="preserve">Reasoning, Temporal, Unit</t>
  </si>
  <si>
    <t xml:space="preserve">Text: pada triwulan III 2020 deflasi perdesaan Bali sebesar 0,49% (mtm), lebih dalam dari nasional 0,07% (mtm).</t>
  </si>
  <si>
    <t xml:space="preserve">It is deflation (not inflation) of 0,49% mtm in Tw III 2020, not a full-year 2020 figure.</t>
  </si>
  <si>
    <t xml:space="preserve">Berapa deflasi perdesaan Bali pada triwulan III 2020?</t>
  </si>
  <si>
    <t xml:space="preserve">Pada triwulan III 2020, perdesaan Bali mengalami deflasi sebesar 0,49% (mtm), lebih dalam dibandingkan nasional sebesar 0,07% (mtm).</t>
  </si>
  <si>
    <t xml:space="preserve">QA0764</t>
  </si>
  <si>
    <t xml:space="preserve">Apakah terdapat penurunan dalam NTP di Provinsi Bali pada tahun 2020?</t>
  </si>
  <si>
    <t xml:space="preserve">Ya, terdapat penurunan dalam NTP di Provinsi Bali pada tahun 2020, sebesar 12,0%.</t>
  </si>
  <si>
    <t xml:space="preserve">Text: NTP turun 0,20% (mtm) Tw III 2020; Grafik III.29: g NTP ~-10,5% (yoy) at 2020 III; 12,0 is only the axis bound.</t>
  </si>
  <si>
    <t xml:space="preserve">Decline is correct but 12,0% is an axis label, not a data value.</t>
  </si>
  <si>
    <t xml:space="preserve">Ya, NTP Bali menurun pada 2020 dari sekitar 104,9 (triwulan IV 2019) menjadi sekitar 93 pada triwulan III 2020, dengan pertumbuhan sekitar -10,5% (yoy); pada triwulan III 2020 NTP turun 0,20% (mtm).</t>
  </si>
  <si>
    <t xml:space="preserve">QA0765</t>
  </si>
  <si>
    <t xml:space="preserve">Apakah TPID melakukan operasi pasar dengan penerapan protokol kesehatan?</t>
  </si>
  <si>
    <t xml:space="preserve">Ya, TPID melakukan operasi pasar dengan penerapan protokol kesehatan.</t>
  </si>
  <si>
    <t xml:space="preserve">Text 3.4: kegiatan operasi pasar dilakukan dengan penerapan protokol kesehatan dan penjagaan ketat petugas keamanan.</t>
  </si>
  <si>
    <t xml:space="preserve">Answer is correct but from text; no chart or calculation.</t>
  </si>
  <si>
    <t xml:space="preserve">Ya, TPID melakukan operasi pasar dengan penerapan protokol kesehatan dan penjagaan yang ketat dari petugas keamanan.</t>
  </si>
  <si>
    <t xml:space="preserve">QA0766</t>
  </si>
  <si>
    <t xml:space="preserve">Apakah pendapatan daerah di Provinsi Bengkulu pada triwulan I 2024 menurun dibandingkan dengan triwulan sebelumnya?</t>
  </si>
  <si>
    <t xml:space="preserve">Ya, pendapatan daerah di Provinsi Bengkulu pada triwulan I 2024 menurun dibandingkan dengan triwulan sebelumnya.</t>
  </si>
  <si>
    <t xml:space="preserve">Text: 'Realisasi pendapatan seluruh Provinsi Bengkulu pada triwulan I 2024 menurun jika dibandingkan dengan periode sebelumnya' (Rp1.873,96 miliar vs 1.947,99 Tw I-23 and 3.772,13 Tw IV-23).</t>
  </si>
  <si>
    <t xml:space="preserve">Decline confirmed by text and lower than both prior periods in Tabel 2.1.</t>
  </si>
  <si>
    <t xml:space="preserve">QA0767</t>
  </si>
  <si>
    <t xml:space="preserve">Bagaimana komposisi pendapatan daerah Gabungan di Provinsi Bengkulu Triwulan I 2024?</t>
  </si>
  <si>
    <t xml:space="preserve">Pendapatan Asli Daerah (PAD) memilikipangsa 96,2% dari total pendapatan daerah, pendapatan perimbangan/transfer (TKDD) mencapai pangsa 90,37%, dan pendapatan lainnya sebesar 0,01%. Adapun pendapatan dari aktivitas eksport dan sumber pendapatan lainnya dari aktivitas perakitan rokok baru di kabupaten Rejang Lebong sebesar 0,01%.</t>
  </si>
  <si>
    <t xml:space="preserve">Grafik 2.1: TKDD 90,37%, PAD 9,62%, lain-lain pendapatan yang sah 0,01%.</t>
  </si>
  <si>
    <t xml:space="preserve">PAD share is 9,62%, not 96,2% (shares would exceed 100%); the export/cigarette-factory sentence wrongly assigns 0,01% to text context.</t>
  </si>
  <si>
    <t xml:space="preserve">Pendapatan daerah gabungan Provinsi Bengkulu triwulan I 2024 didominasi Pendapatan Perimbangan/Transfer (TKDD) dengan pangsa 90,37%, diikuti Pendapatan Asli Daerah (PAD) 9,62%, dan lain-lain pendapatan yang sah 0,01%.</t>
  </si>
  <si>
    <t xml:space="preserve">QA0768</t>
  </si>
  <si>
    <t xml:space="preserve">Apakah realisasi pendapatan daerah di Provinsi Bengkulu pada triwulan I 2024 menurun dibandingkan dengan triwulan sebelumnya?</t>
  </si>
  <si>
    <t xml:space="preserve">Ya, realisasi pendapatan daerah di Provinsi Bengkulu pada triwulan I 2024 menurun dibandingkan dengan triwulan sebelumnya sebesar 3,80%.</t>
  </si>
  <si>
    <t xml:space="preserve">Text/Tabel 2.1: realisasi Rp1.873,96 miliar turun 3,80% vs Tw I 2023 (1.947,99); vs Tw IV 2023 (3.772,13) it is -50,32%.</t>
  </si>
  <si>
    <t xml:space="preserve">3,80% is the decline versus the same quarter of the previous year, not versus the previous quarter. Stated in text, no chart.</t>
  </si>
  <si>
    <t xml:space="preserve">Ya. Realisasi pendapatan daerah triwulan I 2024 sebesar Rp1.873,96 miliar, turun 3,80% dibandingkan triwulan I 2023 (Rp1.947,99 miliar); dibandingkan triwulan IV 2023 (Rp3.772,13 miliar) turun sekitar 50,32%.</t>
  </si>
  <si>
    <t xml:space="preserve">QA0769</t>
  </si>
  <si>
    <t xml:space="preserve">Berapa persentase realisasi belanja modal Provinsi Bengkulu pada triwulan I 2024?</t>
  </si>
  <si>
    <t xml:space="preserve">64,80%</t>
  </si>
  <si>
    <t xml:space="preserve">Text: belanja modal Tw I 2024 Rp28,60 miliar atau 1,68% dari pagu; kontraksi 64,80% (yoy). Grafik 2.4 share belanja modal 2,07%.</t>
  </si>
  <si>
    <t xml:space="preserve">Realization rate of capital spending is 1,68% of pagu; 64,80% is the yoy contraction. Value is in text, not chart.</t>
  </si>
  <si>
    <t xml:space="preserve">Realisasi belanja modal triwulan I 2024 sebesar 1,68% dari pagu (Rp28,60 miliar), terkontraksi 64,80% (yoy).</t>
  </si>
  <si>
    <t xml:space="preserve">QA0770</t>
  </si>
  <si>
    <t xml:space="preserve">Berapa total realisasi belanja operasi pada triwulan I 2024?</t>
  </si>
  <si>
    <t xml:space="preserve">Rp28,60 miliar</t>
  </si>
  <si>
    <t xml:space="preserve">Page gives belanja operasi only as share (83,35%) and growth (-0,42% yoy); no nominal total. Rp28,60 miliar is belanja modal.</t>
  </si>
  <si>
    <t xml:space="preserve">Nominal total realization of operating spending is not on the page; the answer reuses the capital spending amount.</t>
  </si>
  <si>
    <t xml:space="preserve">QA0771</t>
  </si>
  <si>
    <t xml:space="preserve">Berapa persentase realisasi belanja transfer pada triwulan I 2024?</t>
  </si>
  <si>
    <t xml:space="preserve">12,12%</t>
  </si>
  <si>
    <t xml:space="preserve">Text: realisasi belanja transfer Tw I 2024 Rp201,60 miliar atau 12,12% dari pagu.</t>
  </si>
  <si>
    <t xml:space="preserve">12,12% is correct but is stated in text; no chart calculation involved.</t>
  </si>
  <si>
    <t xml:space="preserve">Realisasi belanja transfer triwulan I 2024 sebesar 12,12% dari pagu (Rp201,60 miliar).</t>
  </si>
  <si>
    <t xml:space="preserve">QA0772</t>
  </si>
  <si>
    <t xml:space="preserve">Apakah realisasi belanja APBN di Provinsi Bengkulu pada triwulan I 2024 meningkat dibandingkan triwulan I 2023?</t>
  </si>
  <si>
    <t xml:space="preserve">Ya, realisasi belanja APBN di Provinsi Bengkulu pada triwulan I 2024 meningkat dibandingkan triwulan I 2023.</t>
  </si>
  <si>
    <t xml:space="preserve">Text: Realisasi belanja APBN di Provinsi Bengkulu meningkat ... Rp3.486,59 miliar, tumbuh 18,12% (yoy); Tabel 2.3 Tw I 2023 Rp2.951,65 miliar.</t>
  </si>
  <si>
    <t xml:space="preserve">Yes is correct, but evidence is text/table; page has no chart.</t>
  </si>
  <si>
    <t xml:space="preserve">Ya, realisasi belanja APBN triwulan I 2024 sebesar Rp3.486,59 miliar, meningkat 18,12% (yoy) dari Rp2.951,65 miliar pada triwulan I 2023.</t>
  </si>
  <si>
    <t xml:space="preserve">QA0773</t>
  </si>
  <si>
    <t xml:space="preserve">Berapakah total realisasi belanja APBN di Provinsi Bengkulu pada triwulan I 2024?</t>
  </si>
  <si>
    <t xml:space="preserve">Total realisasi belanja APBN di Provinsi Bengkulu pada triwulan I 2024 sebesar Rp3.486,59 miliar.</t>
  </si>
  <si>
    <t xml:space="preserve">Text: Total realisasi belanja APBN di Provinsi Bengkulu pada triwulan I 2024 sebesar Rp3.486,59 miliar (21,77% dari pagu).</t>
  </si>
  <si>
    <t xml:space="preserve">Value matches text and table.</t>
  </si>
  <si>
    <t xml:space="preserve">QA0774</t>
  </si>
  <si>
    <t xml:space="preserve">Berapakah persentase pertumbuhan realisasi belanja APBN di Provinsi Bengkulu pada triwulan I 2024?</t>
  </si>
  <si>
    <t xml:space="preserve">Persentase pertumbuhan realisasi belanja APBN di Provinsi Bengkulu pada triwulan I 2024 sebesar 18,12%.</t>
  </si>
  <si>
    <t xml:space="preserve">Text: realisasi tersebut tumbuh 18,12% (yoy); Tabel 2.3 Pertumbuhan 18,12%.</t>
  </si>
  <si>
    <t xml:space="preserve">Value correct but stated in text (no chart, no calculation needed); missing (yoy) label.</t>
  </si>
  <si>
    <t xml:space="preserve">Realisasi belanja APBN Provinsi Bengkulu pada triwulan I 2024 tumbuh sebesar 18,12% (yoy).</t>
  </si>
  <si>
    <t xml:space="preserve">QA0775</t>
  </si>
  <si>
    <t xml:space="preserve">Apakah tingkat inflasi triwulan I 2024 Provinsi Bengkulu sebesar 3,56%?</t>
  </si>
  <si>
    <t xml:space="preserve">Ya, tingkat inflasi triwulan I 2024 Provinsi Bengkulu sebesar 3,56% (yoy).</t>
  </si>
  <si>
    <t xml:space="preserve">Text: realisasi inflasi Bengkulu triwulan I 2024 tercatat 3,56% (yoy).</t>
  </si>
  <si>
    <t xml:space="preserve">QA0776</t>
  </si>
  <si>
    <t xml:space="preserve">Berapa tingkat inflasi triwulan I 2023 Provinsi Bengkulu?</t>
  </si>
  <si>
    <t xml:space="preserve">Tingkat inflasi triwulan I 2023 Provinsi Bengkulu sebesar 3,09% (yoy).</t>
  </si>
  <si>
    <t xml:space="preserve">Grafik 3.1 inset: Bengkulu Tw IV 2023 = 3,09%, Tw I 2024 = 3,56%. Tw I 2023 has no labelled value.</t>
  </si>
  <si>
    <t xml:space="preserve">3,09% is Tw IV 2023 inflation, not Tw I 2023; the answer attaches it to the wrong quarter.</t>
  </si>
  <si>
    <t xml:space="preserve">Berapa tingkat inflasi triwulan IV 2023 Provinsi Bengkulu?</t>
  </si>
  <si>
    <t xml:space="preserve">Tingkat inflasi Provinsi Bengkulu pada triwulan IV 2023 sebesar 3,09% (yoy).</t>
  </si>
  <si>
    <t xml:space="preserve">QA0777</t>
  </si>
  <si>
    <t xml:space="preserve">Berapakah tingkat inflasi triwulan I 2024 Provinsi Bengkulu?</t>
  </si>
  <si>
    <t xml:space="preserve">Tingkat inflasi triwulan I 2024 Provinsi Bengkulu sebesar 3,56% (yoy).</t>
  </si>
  <si>
    <t xml:space="preserve">Grafik 3.1 inset and text: Bengkulu Tw I 2024 = 3,56% (yoy).</t>
  </si>
  <si>
    <t xml:space="preserve">Value correct but it is a direct lookup; no calculation involved.</t>
  </si>
  <si>
    <t xml:space="preserve">Tingkat inflasi Provinsi Bengkulu pada triwulan I 2024 sebesar 3,56% (yoy).</t>
  </si>
  <si>
    <t xml:space="preserve">QA0778</t>
  </si>
  <si>
    <t xml:space="preserve">Apakah tujuan penambahan kota inflasi di Provinsi Bengkulu?</t>
  </si>
  <si>
    <t xml:space="preserve">Untuk memberikan gambaran inflasi yang lebih akurat dan komprehensif</t>
  </si>
  <si>
    <t xml:space="preserve">Text: tujuan penambahan kota inflasi adalah untuk memberikan gambaran inflasi yang lebih akurat dan komprehensif.</t>
  </si>
  <si>
    <t xml:space="preserve">Answer matches the text verbatim; category fits.</t>
  </si>
  <si>
    <t xml:space="preserve">QA0779</t>
  </si>
  <si>
    <t xml:space="preserve">Berapa tingkat inflasi di Kota Bengkulu pada Februari 2024?</t>
  </si>
  <si>
    <t xml:space="preserve">3,42</t>
  </si>
  <si>
    <t xml:space="preserve">Grafik B1.2: Kota Bengkulu Feb 2024 = 3,42% (yoy); Grafik B1.1: Feb 2024 = 0,61% (mtm).</t>
  </si>
  <si>
    <t xml:space="preserve">3,42 is correct for yoy inflation, but the answer is a bare number without % and yoy, ambiguous since the mtm value (0,61%) is also shown.</t>
  </si>
  <si>
    <t xml:space="preserve">Berapa tingkat inflasi tahunan (yoy) di Kota Bengkulu pada Februari 2024?</t>
  </si>
  <si>
    <t xml:space="preserve">3,42% (yoy).</t>
  </si>
  <si>
    <t xml:space="preserve">QA0780</t>
  </si>
  <si>
    <t xml:space="preserve">Apakah ada program yang dilakukan oleh Bank Indonesia untuk mengurangi inflasi di Kabupaten Mukomuko?</t>
  </si>
  <si>
    <t xml:space="preserve">Ya, program penguatan produksi tanaman padi berbasis organik berbasis MA-11</t>
  </si>
  <si>
    <t xml:space="preserve">Text: TPID bersama BI melaksanakan program penguatan produksi tanaman padi berbasis organik berbasis MA-11 di Mukomuko pada Tw IV 2023 (demplot 1 ha, 13 ton gabah).</t>
  </si>
  <si>
    <t xml:space="preserve">Answer correct from text, but no chart or calculation is involved.</t>
  </si>
  <si>
    <t xml:space="preserve">Ya, TPID bersama Bank Indonesia melaksanakan program penguatan produksi tanaman padi berbasis organik berbasis MA-11 (bekerja sama dengan Yayasan ANSA) pada triwulan IV 2023.</t>
  </si>
  <si>
    <t xml:space="preserve">QA0781</t>
  </si>
  <si>
    <t xml:space="preserve">Apakah tingkat pengangguran terbuka di Provinsi Bengkulu pada Februari 2024?</t>
  </si>
  <si>
    <t xml:space="preserve">3,17%</t>
  </si>
  <si>
    <t xml:space="preserve">Text &amp; Tabel 6.1: TPT Bengkulu Februari 2024 = 3,17%.</t>
  </si>
  <si>
    <t xml:space="preserve">The value is correct, but the question uses 'Apakah' where it should ask 'Berapa', and the answer is a bare number.</t>
  </si>
  <si>
    <t xml:space="preserve">Berapa tingkat pengangguran terbuka di Provinsi Bengkulu pada Februari 2024?</t>
  </si>
  <si>
    <t xml:space="preserve">Tingkat pengangguran terbuka di Provinsi Bengkulu pada Februari 2024 sebesar 3,17%.</t>
  </si>
  <si>
    <t xml:space="preserve">QA0782</t>
  </si>
  <si>
    <t xml:space="preserve">Bertambah atau berkurang jumlah tenaga kerja dalam sektor Pertanian, Kehutanan, Perikanan pada Februari 2024?</t>
  </si>
  <si>
    <t xml:space="preserve">Bertambah</t>
  </si>
  <si>
    <t xml:space="preserve">Tabel 6.2: porsi Pertanian, Kehutanan, Perikanan 45,41% (Feb-23), 45,25% (Agt-23), 47,28% (Feb-24). Only shares, not absolute counts.</t>
  </si>
  <si>
    <t xml:space="preserve">'Bertambah' is right for the share (45,41% to 47,28%), but the page gives shares, not worker counts. The source is a table, not a chart, and the answer is bare.</t>
  </si>
  <si>
    <t xml:space="preserve">Apakah porsi tenaga kerja di sektor Pertanian, Kehutanan, Perikanan bertambah atau berkurang pada Februari 2024 dibandingkan Februari 2023?</t>
  </si>
  <si>
    <t xml:space="preserve">Bertambah; porsi tenaga kerja sektor Pertanian, Kehutanan, Perikanan naik dari 45,41% pada Februari 2023 menjadi 47,28% pada Februari 2024.</t>
  </si>
  <si>
    <t xml:space="preserve">QA0783</t>
  </si>
  <si>
    <t xml:space="preserve">Berdasarkan tabel 6.2, sektor apa yang memiliki porsi pekerja terbanyak?</t>
  </si>
  <si>
    <t xml:space="preserve">Pertanian, Kehutanan, Perikanan</t>
  </si>
  <si>
    <t xml:space="preserve">Tabel 6.2: Pertanian, Kehutanan, Perikanan has the largest share (47,28% Feb-24; 45,41% Feb-23).</t>
  </si>
  <si>
    <t xml:space="preserve">The answer is correct, but this is a ranking from a table, not a chart calculation. The answer is bare, with no share value.</t>
  </si>
  <si>
    <t xml:space="preserve">Sektor Pertanian, Kehutanan, Perikanan memiliki porsi pekerja terbanyak, yaitu 47,28% pada Februari 2024.</t>
  </si>
  <si>
    <t xml:space="preserve">QA0784</t>
  </si>
  <si>
    <t xml:space="preserve">Apakah peningkatan komposisi tenaga kerja pada kelompok tenaga kerja tingkat Diploma I/II/III sebesar 1,31% menjadi 2,79% pada Februari 2024?</t>
  </si>
  <si>
    <t xml:space="preserve">Ya, peningkatan komposisi tenaga kerja pada kelompok tenaga kerja tingkat Diploma I/II/III sebesar 1,31% menjadi 2,79% pada Februari 2024.</t>
  </si>
  <si>
    <t xml:space="preserve">Text: kelompok tenaga kerja tingkat Diploma I/II/III mengalami peningkatan sebesar 1,31% menjadi 2,79% pada Februari 2024.</t>
  </si>
  <si>
    <t xml:space="preserve">Matches the text verbatim.</t>
  </si>
  <si>
    <t xml:space="preserve">QA0785</t>
  </si>
  <si>
    <t xml:space="preserve">Apakah nilai tukar petani pada Februari 2024 mencapai level 175,63?</t>
  </si>
  <si>
    <t xml:space="preserve">Tidak, nilai tukar petani pada Februari 2024 mencapai level 175,63, tetapi kondisi ini menunjukkan bahwa kondisi petani masih berada dalam kondisi yang baik dan perbaikan yang terjadi sepanjang bulan ini cenderung meningkat.</t>
  </si>
  <si>
    <t xml:space="preserve">Factual/Numerical, Temporal, Reasoning</t>
  </si>
  <si>
    <t xml:space="preserve">Text &amp; Grafik 6.1: NTP Jan 160,12; Feb 162,96; Mar 168,42; Apr 2024 175,63 (triwulan II level).</t>
  </si>
  <si>
    <t xml:space="preserve">Answer says 'Tidak' then affirms 175,63; NTP Feb 2024 was 162,96, while 175,63 is April 2024.</t>
  </si>
  <si>
    <t xml:space="preserve">Tidak. NTP Provinsi Bengkulu pada Februari 2024 sebesar 162,96; level 175,63 dicapai pada April 2024 (triwulan II 2024).</t>
  </si>
  <si>
    <t xml:space="preserve">QA0786</t>
  </si>
  <si>
    <t xml:space="preserve">Apakah jumlah jam kerja per minggu pada Februari 2024 mencapai 168,42?</t>
  </si>
  <si>
    <t xml:space="preserve">Tidak, jumlah jam kerja per minggu pada Februari 2024 mencapai 168,42 pada bulan Maret 2024.</t>
  </si>
  <si>
    <t xml:space="preserve">Page gives workforce shares by weekly-hours category (Tabel 6.5), not a count of weekly working hours; 168,42 is NTP Maret 2024.</t>
  </si>
  <si>
    <t xml:space="preserve">The metric 'jumlah jam kerja per minggu = 168,42' does not exist on the page; answer is garbled.</t>
  </si>
  <si>
    <t xml:space="preserve">QA0787</t>
  </si>
  <si>
    <t xml:space="preserve">Apakah total penduduk miskin pada Maret 2023 sebesar 288.460 jiwa?</t>
  </si>
  <si>
    <t xml:space="preserve">Ya, total penduduk miskin pada Maret 2023 sebesar 288.460 jiwa.</t>
  </si>
  <si>
    <t xml:space="preserve">Text: total penduduk miskin pada Maret 2023 tercatat sebanyak 288.460 jiwa.</t>
  </si>
  <si>
    <t xml:space="preserve">QA0788</t>
  </si>
  <si>
    <t xml:space="preserve">Seberapa besar peningkatan garis kemiskinan pada periode Maret 2023 dibandingkan periode Maret 2022?</t>
  </si>
  <si>
    <t xml:space="preserve">Peningkatan garis kemiskinan pada periode Maret 2023 dibandingkan periode Maret 2022 sebesar 7,85%.</t>
  </si>
  <si>
    <t xml:space="preserve">Text: Maret 2023 kenaikan garis kemiskinan 7,85% dibanding Maret 2022, dari Rp590.754 menjadi Rp637.142/kapita/bulan.</t>
  </si>
  <si>
    <t xml:space="preserve">Value correct, but it is stated in text (and table); there is no chart.</t>
  </si>
  <si>
    <t xml:space="preserve">Garis kemiskinan Maret 2023 naik 7,85% dibanding Maret 2022, dari Rp590.754 menjadi Rp637.142 per kapita per bulan.</t>
  </si>
  <si>
    <t xml:space="preserve">QA0789</t>
  </si>
  <si>
    <t xml:space="preserve">Apakah peningkatan garis kemiskinan pada periode Maret 2023 lebih besar dari peningkatan garis kemiskinan pada periode September 2022?</t>
  </si>
  <si>
    <t xml:space="preserve">Ya, peningkatan garis kemiskinan pada periode Maret 2023 sebesar 7,85% lebih besar dibandingkan peningkatan garis kemiskinan pada periode September 2022 sebesar 7,11%.</t>
  </si>
  <si>
    <t xml:space="preserve">Tabel 6.7 GK: Sep 2021 572.455; Mar 2022 590.754; Sep 2022 625.650; Mar 2023 637.142. Sep 2022 yoy = +9,29%; Mar 2023 yoy = +7,85%.</t>
  </si>
  <si>
    <t xml:space="preserve">7,11% for September 2022 is not on page/incorrect; Sep 2022 yoy rise was 9,29%, so Mar 2023 (7,85%) was smaller, answer 'Ya' wrong. Data from table.</t>
  </si>
  <si>
    <t xml:space="preserve">Apakah peningkatan garis kemiskinan pada Maret 2023 (yoy) lebih besar dari peningkatan garis kemiskinan pada September 2022 (yoy)?</t>
  </si>
  <si>
    <t xml:space="preserve">Tidak. Garis kemiskinan Maret 2023 naik 7,85% (yoy), lebih kecil dari kenaikan September 2022 sebesar 9,29% (yoy; dari Rp572.455 menjadi Rp625.650).</t>
  </si>
  <si>
    <t xml:space="preserve">QA0790</t>
  </si>
  <si>
    <t xml:space="preserve">Apa proyeksi pertumbuhan ekonomi global tahun 2025?</t>
  </si>
  <si>
    <t xml:space="preserve">Pertumbuhan ekonomi global tahun 2025 diprakirakan lebih tinggi dari proyeksi sebelumnya, sejalan dengan perekonomian Amerika Serikat (AS) yang tumbuh lebih kuat dari prakiraan didukung oleh stimulus fiskal yang menekan tingkat permintaan domestik dan kenaikan investasi di bidang teknologi yang mendorong peningkatan produktivitas.</t>
  </si>
  <si>
    <t xml:space="preserve">Text: ekonomi dunia 2025 diprakirakan tumbuh 3,2%... stimulus fiskal yang meningkatkan permintaan domestik dan kenaikan investasi di bidang teknologi.</t>
  </si>
  <si>
    <t xml:space="preserve">Answer says fiscal stimulus 'menekan' (suppresses) domestic demand; the page says 'meningkatkan'. The 3,2% projection figure is also omitted.</t>
  </si>
  <si>
    <t xml:space="preserve">Ekonomi dunia tahun 2025 diprakirakan tumbuh 3,2%, lebih tinggi dari proyeksi sebelumnya, sejalan dengan ekonomi AS yang tumbuh lebih kuat didukung stimulus fiskal yang meningkatkan permintaan domestik dan kenaikan investasi teknologi.</t>
  </si>
  <si>
    <t xml:space="preserve">QA0791</t>
  </si>
  <si>
    <t xml:space="preserve">Apa yang mempengaruhi inflasi dunia?</t>
  </si>
  <si>
    <t xml:space="preserve">Inflasi dunia meningkat dibandingkan prakiraan sebelumnya oleh gangguan ranti suplai. Di AS, penurunan Fed Funds Rate (FFR) diprakirakan lebih lambat akibat inflasi yang lebih tinggi tersebut.</t>
  </si>
  <si>
    <t xml:space="preserve">Text: inflasi dunia meningkat dibandingkan prakiraan sebelumnya dipengaruhi oleh gangguan rantai suplai; penurunan FFR diprakirakan lebih lambat.</t>
  </si>
  <si>
    <t xml:space="preserve">Content correct, but it comes from the text (Grafik 1.1 only plots inflation levels), and 'ranti' is a typo.</t>
  </si>
  <si>
    <t xml:space="preserve">Inflasi dunia meningkat dibandingkan prakiraan sebelumnya karena dipengaruhi oleh gangguan rantai suplai; akibatnya di AS penurunan Fed Funds Rate (FFR) diprakirakan lebih lambat.</t>
  </si>
  <si>
    <t xml:space="preserve">QA0792</t>
  </si>
  <si>
    <t xml:space="preserve">Apa yang mempengaruhi perubahan alokasi portofolio investor global?</t>
  </si>
  <si>
    <t xml:space="preserve">Perubahan alokasi portofolio investor global kembali ke AS akan menenggelamkan tekanan pelemahan berbagai mata uang dunia dan menahan aliran masuk modal asing ke negara</t>
  </si>
  <si>
    <t xml:space="preserve">Reasoning, Incomplete, Typo/Grammar, Instruction-following</t>
  </si>
  <si>
    <t xml:space="preserve">Text: yield US Treasury tetap tinggi (kebijakan fiskal AS ekspansif), penguatan dolar AS berlanjut, preferensi investor global berbalik memindahkan portofolio ke AS.</t>
  </si>
  <si>
    <t xml:space="preserve">Question asks causes; answer gives (truncated) effects and uses 'menenggelamkan' instead of 'meningkatkan'; no chart calculation.</t>
  </si>
  <si>
    <t xml:space="preserve">Perubahan alokasi portofolio investor global kembali ke AS dipengaruhi oleh penguatan dolar AS yang berlanjut dan yield US Treasury yang tetap tinggi akibat kebijakan fiskal AS yang lebih ekspansif.</t>
  </si>
  <si>
    <t xml:space="preserve">QA0793</t>
  </si>
  <si>
    <t xml:space="preserve">Bagaimana penjualan e-commerce di Jakarta?</t>
  </si>
  <si>
    <t xml:space="preserve">Penjualan e-commerce di Jakarta mengalami penurunan sejak 2020 dan mulai naik pada tahun 2021.</t>
  </si>
  <si>
    <t xml:space="preserve">Grafik 2.47: sales bars rise 2019-&gt;2022, dip slightly in 2023, rise again 2024; growth (RHS) ~84% (2019) -&gt; ~27% (2020) -&gt; ~49% (2021) -&gt; ~17% (2022) -&gt; ~-7% (2023) -&gt; ~7% (2024).</t>
  </si>
  <si>
    <t xml:space="preserve">Sales did not fall from 2020; values rose through 2022, dipped in 2023 and recovered in 2024. Answer is a trend description, so Time-Sensitive fits better.</t>
  </si>
  <si>
    <t xml:space="preserve">Bagaimana perkembangan penjualan e-commerce di Jakarta selama 2019-2024?</t>
  </si>
  <si>
    <t xml:space="preserve">Nilai penjualan e-commerce Jakarta meningkat dari 2019 hingga 2022, sedikit turun pada 2023, lalu naik kembali pada 2024; pertumbuhannya melambat dari sekitar 84% (yoy) pada 2019 menjadi sekitar -7% pada 2023 sebelum membaik ke sekitar 7% (yoy) pada 2024.</t>
  </si>
  <si>
    <t xml:space="preserve">QA0794</t>
  </si>
  <si>
    <t xml:space="preserve">Berapakah pertumbuhan ekspor emas dan permata di Jakarta pada tahun 2024?</t>
  </si>
  <si>
    <t xml:space="preserve">Pertumbuhan ekspor emas dan permata di Jakarta pada tahun 2024 sebesar 9,64%.</t>
  </si>
  <si>
    <t xml:space="preserve">Text: ekspor Jakarta 2024 tumbuh 9,64% (ctc); ekspor perhiasan dan permata tumbuh 49,29% (ctc) (Grafik 2.48).</t>
  </si>
  <si>
    <t xml:space="preserve">9,64% is total export growth; gold and jewelry exports grew 49,29% (ctc).</t>
  </si>
  <si>
    <t xml:space="preserve">Pertumbuhan ekspor emas dan permata di Jakarta pada tahun 2024 sebesar 49,29% (ctc).</t>
  </si>
  <si>
    <t xml:space="preserve">QA0795</t>
  </si>
  <si>
    <t xml:space="preserve">Berapa persentase kontribusi investasi pada pertumbuhan ekonomi Jakarta?</t>
  </si>
  <si>
    <t xml:space="preserve">Investasi yang berasal dari pemerintah dan pembangunan bangunan maupun non-bangunan di Jakarta mencapai 58,74% dan 34,78% dari pertumbuhan ekonomi Jakarta pada tahun 2024.</t>
  </si>
  <si>
    <t xml:space="preserve">Text: komponen investasi (share 37,31%) berkontribusi 1,93% (ctc) terhadap perekonomian Jakarta 2024; 58,74% and 34,78% are PMA and PMDN growth.</t>
  </si>
  <si>
    <t xml:space="preserve">Answer mislabels PMA/PMDN growth rates as contributions; actual contribution is 1,93% (ctc). Evidence is text, no chart or calculation.</t>
  </si>
  <si>
    <t xml:space="preserve">Komponen investasi dengan pangsa 37,31% berkontribusi sebesar 1,93% (ctc) terhadap pertumbuhan ekonomi Jakarta pada tahun 2024, menjadi kontributor terbesar kedua setelah konsumsi RT.</t>
  </si>
  <si>
    <t xml:space="preserve">QA0796</t>
  </si>
  <si>
    <t xml:space="preserve">Apakah pertumbuhan impor Jakarta pada tahun 2024 sebesar 10,09%?</t>
  </si>
  <si>
    <t xml:space="preserve">Text: 2024 impor Jakarta tumbuh 10,09% (ctc).</t>
  </si>
  <si>
    <t xml:space="preserve">QA0797</t>
  </si>
  <si>
    <t xml:space="preserve">Berapakah persentase pertumbuhan impor barang modal terkonsolidasi pada tahun 2024?</t>
  </si>
  <si>
    <t xml:space="preserve">2.53% (yoy)</t>
  </si>
  <si>
    <t xml:space="preserve">Text: impor barang modal terkontraksi 2,53% (yoy) pada 2024 (after +6,44%); Impor section: -2,03% (ctc). Grafik 2.52 shows line only, no labels.</t>
  </si>
  <si>
    <t xml:space="preserve">Growth should be negative (contraction -2,53% yoy); answer omits the sign. 'terkonsolidasi' garbled; exact value comes from text.</t>
  </si>
  <si>
    <t xml:space="preserve">Berapakah pertumbuhan impor barang modal Jakarta pada tahun 2024?</t>
  </si>
  <si>
    <t xml:space="preserve">Impor barang modal terkontraksi 2,53% (yoy) pada tahun 2024, berbalik dari pertumbuhan 6,44% (yoy) pada tahun sebelumnya.</t>
  </si>
  <si>
    <t xml:space="preserve">QA0798</t>
  </si>
  <si>
    <t xml:space="preserve">10,09%</t>
  </si>
  <si>
    <t xml:space="preserve">Yes/no question answered with a bare number; duplicate of QW-0; value is from text, no chart calculation.</t>
  </si>
  <si>
    <t xml:space="preserve">Ya, pertumbuhan impor Jakarta pada tahun 2024 sebesar 10,09% (ctc).</t>
  </si>
  <si>
    <t xml:space="preserve">QA0799</t>
  </si>
  <si>
    <t xml:space="preserve">Apakah APBD-P DKI Jakarta mengalami peningkatan dari APBD murni?</t>
  </si>
  <si>
    <t xml:space="preserve">Ya, APBD-P DKI Jakarta mengalami peningkatan dari APBD murni.</t>
  </si>
  <si>
    <t xml:space="preserve">Text: 'APBD-P tahun 2024 mengalami peningkatan dari APBD murni menjadi sekitar Rp 85,1 Triliun'.</t>
  </si>
  <si>
    <t xml:space="preserve">QA0800</t>
  </si>
  <si>
    <t xml:space="preserve">Bagaimana realisasi Pendapatan Daerah dalam APBD-P DKI Jakarta tahun 2024?</t>
  </si>
  <si>
    <t xml:space="preserve">Realisasi Pendapatan Daerah dalam APBD-P DKI Jakarta tahun 2024 mencapai 98,28% dari pagu APBD-P 2024. Realisasi pendapatan asli daerah pada triwulan IV 2024 sebesar 16,00% (yoy), sedangkan pendapatan transfer sebesar 12,09% (yoy).</t>
  </si>
  <si>
    <t xml:space="preserve">Text/Grafik 3.1: 2024 realisasi 98,28% (0,98) pagu APBD-P. Tw IV 2024: Pendapatan Daerah -16,00% yoy, PAD -12,99% yoy, Transfer -12,09% yoy.</t>
  </si>
  <si>
    <t xml:space="preserve">98,28% is correct, but 16,00% is total Pendapatan Daerah contraction (PAD contracted 12,99%), and both are contractions, not realizations.</t>
  </si>
  <si>
    <t xml:space="preserve">Realisasi Pendapatan Daerah DKI Jakarta tahun 2024 mencapai 98,28% dari pagu APBD-P 2024. Pada triwulan IV 2024, PAD terkontraksi 12,99% (yoy) dan Pendapatan Transfer terkontraksi 12,09% (yoy).</t>
  </si>
  <si>
    <t xml:space="preserve">QA0801</t>
  </si>
  <si>
    <t xml:space="preserve">Apakah kinerja Pendapatan Daerah di DKI Jakarta pada triwulan IV 2024?</t>
  </si>
  <si>
    <t xml:space="preserve">Kinerja Pendapatan Daerah di DKI Jakarta pada triwulan IV 2024 terkontraksi 16,00% (yoy), berbalik arah dan lebih rendah dari triwulan sebelumnya yang tumbuh 65,93% (yoy).</t>
  </si>
  <si>
    <t xml:space="preserve">Text: Tw IV 2024 Pendapatan Daerah terkontraksi 16,00% (yoy), berbalik dari triwulan sebelumnya tumbuh 65,93% (yoy).</t>
  </si>
  <si>
    <t xml:space="preserve">Answer is correct, but it is copied from text; no chart calculation involved.</t>
  </si>
  <si>
    <t xml:space="preserve">Kinerja Pendapatan Daerah DKI Jakarta pada triwulan IV 2024 terkontraksi 16,00% (yoy), berbalik arah dari triwulan sebelumnya yang tumbuh 65,93% (yoy), namun membaik dibanding triwulan IV 2023 yang terkontraksi 107,12% (yoy).</t>
  </si>
  <si>
    <t xml:space="preserve">QA0802</t>
  </si>
  <si>
    <t xml:space="preserve">Apakah tingkat inflasi di Jakarta pada triwulan IV 2024?</t>
  </si>
  <si>
    <t xml:space="preserve">Tingkat inflasi di Jakarta pada triwulan IV 2024 tercatat sebesar 1,48% (yoy).</t>
  </si>
  <si>
    <t xml:space="preserve">Text: inflasi IHK Jakarta pada triwulan IV 2024 tercatat sebesar 1,48% (yoy); Grafik 4.1 Umum = 1,48.</t>
  </si>
  <si>
    <t xml:space="preserve">Answer 1,48% (yoy) matches the text; 'Apakah' awkward but understandable.</t>
  </si>
  <si>
    <t xml:space="preserve">QA0803</t>
  </si>
  <si>
    <t xml:space="preserve">Berdasarkan data apa, inflasi di Jakarta pada triwulan IV 2024 lebih rendah dibandingkan inflasi nasional?</t>
  </si>
  <si>
    <t xml:space="preserve">Berdasarkan data yang diberikan dalam dokumen, inflasi di Jakarta pada triwulan IV 2024 lebih rendah dibandingkan inflasi nasional sebesar 1,57% (yoy).</t>
  </si>
  <si>
    <t xml:space="preserve">Instruction-following, Incomplete, Typo/Grammar</t>
  </si>
  <si>
    <t xml:space="preserve">Text: inflasi Jakarta Tw IV 2024 1,48% (yoy), lebih rendah dibandingkan inflasi Nasional sebesar 1,57% (yoy). National figure not in any chart.</t>
  </si>
  <si>
    <t xml:space="preserve">National 1,57% is correct but only in text (not chart); answer omits Jakarta's 1,48%; question 'Berdasarkan data apa' is garbled.</t>
  </si>
  <si>
    <t xml:space="preserve">Berapa inflasi Jakarta pada triwulan IV 2024 dibandingkan inflasi nasional?</t>
  </si>
  <si>
    <t xml:space="preserve">Inflasi Jakarta triwulan IV 2024 sebesar 1,48% (yoy), lebih rendah dibandingkan inflasi nasional sebesar 1,57% (yoy).</t>
  </si>
  <si>
    <t xml:space="preserve">QA0804</t>
  </si>
  <si>
    <t xml:space="preserve">Berapakah kontribusi terbesar pada inflasi di Jakarta pada triwulan IV 2024?</t>
  </si>
  <si>
    <t xml:space="preserve">Kontribusi terbesar pada inflasi di Jakarta pada triwulan IV 2024 adalah dari kelompok perawatan pribadi dan jasa lainnya, sebesar 1,35% (yoy).</t>
  </si>
  <si>
    <t xml:space="preserve">Text: kelompok perawatan pribadi dan jasa lainnya penyumbang terbesar dengan sumbangan 0,52%, inflasi 8,10% (yoy). Grafik 4.2 bars unlabeled.</t>
  </si>
  <si>
    <t xml:space="preserve">Group is right but its contribution is 0,52% (andil), not 1,35% (not on page); andil is not yoy. No calculation; value is from text.</t>
  </si>
  <si>
    <t xml:space="preserve">Kelompok perawatan pribadi dan jasa lainnya, dengan andil 0,52% terhadap inflasi Jakarta (inflasi kelompok 8,10% yoy).</t>
  </si>
  <si>
    <t xml:space="preserve">QA0805</t>
  </si>
  <si>
    <t xml:space="preserve">Berapa total produksi urban farming tahun 2024?</t>
  </si>
  <si>
    <t xml:space="preserve">Tidak mencakup dalam konteks yang diberikan.</t>
  </si>
  <si>
    <t xml:space="preserve">Hallucination, Incomplete</t>
  </si>
  <si>
    <t xml:space="preserve">Text: total produksi urban farming 2024 tumbuh tinggi (tonase dan nilai) but no total figure is given; charts show per-commodity values only.</t>
  </si>
  <si>
    <t xml:space="preserve">Asked metric (total production figure) is absent from the page, and the answer is a non-answer; the QA cannot be supported.</t>
  </si>
  <si>
    <t xml:space="preserve">QA0806</t>
  </si>
  <si>
    <t xml:space="preserve">Berapa jumlah pengunjung Festival Urban Farming tahun 2024?</t>
  </si>
  <si>
    <t xml:space="preserve">Incomplete, Factual/Numerical, Instruction-following</t>
  </si>
  <si>
    <t xml:space="preserve">Text: pada tahun 2024 pengunjung Festival Urban Farming lebih dari 2.500 pengunjung (naik 25% dari tahun sebelumnya), 50 tenant.</t>
  </si>
  <si>
    <t xml:space="preserve">Answer wrongly claims info is absent; text gives &gt;2.500 visitors. No chart involved.</t>
  </si>
  <si>
    <t xml:space="preserve">Lebih dari 2.500 pengunjung, naik 25% dari tahun sebelumnya, dengan 50 tenant.</t>
  </si>
  <si>
    <t xml:space="preserve">QA0807</t>
  </si>
  <si>
    <t xml:space="preserve">Apakah terdapat kenaikan produksi cabai berdasarkan tahun 2023 dan 2024?</t>
  </si>
  <si>
    <t xml:space="preserve">Incomplete, Factual/Numerical</t>
  </si>
  <si>
    <t xml:space="preserve">Grafik B2.1: cabai rawit ~8 ton (2023) -&gt; ~40 ton (2024); cabai besar/keriting ~12 ton in 2024 vs ~0 in 2023.</t>
  </si>
  <si>
    <t xml:space="preserve">Answer wrongly says info is absent; chart clearly shows chili production rose in 2024.</t>
  </si>
  <si>
    <t xml:space="preserve">Ya, produksi cabai naik pada 2024; cabai rawit dari sekitar 8 ton menjadi sekitar 40 ton, dan cabai besar serta cabai keriting mencapai sekitar 12 ton.</t>
  </si>
  <si>
    <t xml:space="preserve">QA0808</t>
  </si>
  <si>
    <t xml:space="preserve">Apakah total net outflow di DKI Jakarta pada triwulan IV 2024?</t>
  </si>
  <si>
    <t xml:space="preserve">Rp61,46 triliun</t>
  </si>
  <si>
    <t xml:space="preserve">Text: net outflow Tw IV 2024 Rp45,84 triliun; outflow Rp61,46 triliun; inflow Rp15,61 triliun.</t>
  </si>
  <si>
    <t xml:space="preserve">Rp61,46 triliun is outflow, not net outflow (Rp45,84 triliun).</t>
  </si>
  <si>
    <t xml:space="preserve">Berapakah net outflow uang kartal di DKI Jakarta pada triwulan IV 2024?</t>
  </si>
  <si>
    <t xml:space="preserve">Net outflow uang kartal di DKI Jakarta pada triwulan IV 2024 sebesar Rp45,84 triliun.</t>
  </si>
  <si>
    <t xml:space="preserve">QA0809</t>
  </si>
  <si>
    <t xml:space="preserve">Berapakah total inflow di DKI Jakarta pada triwulan IV 2024?</t>
  </si>
  <si>
    <t xml:space="preserve">Rp5,61 triliun</t>
  </si>
  <si>
    <t xml:space="preserve">Text: inflow Tw IV 2024 Rp15,61 triliun (turun 35,22% qtq); Tabel 6.1 Penyetoran Q4 2024 15.615,50 (Rp miliar).</t>
  </si>
  <si>
    <t xml:space="preserve">Misread value: Rp5,61 triliun should be Rp15,61 triliun. Exact figure in text/table; Grafik 6.1 has no labels.</t>
  </si>
  <si>
    <t xml:space="preserve">Inflow di DKI Jakarta pada triwulan IV 2024 sebesar Rp15,61 triliun, turun 35,22% (qtq).</t>
  </si>
  <si>
    <t xml:space="preserve">QA0810</t>
  </si>
  <si>
    <t xml:space="preserve">Apakah jumlah transaksi QRIS yang terjadi pada triwulan IV 2024 meningkat?</t>
  </si>
  <si>
    <t xml:space="preserve">Text: volume transaksi QRIS mengalami peningkatan tajam sepanjang tahun 2024 mencapai 2 miliar transaksi; pengguna 5,94 juta, merchant 5,78 juta.</t>
  </si>
  <si>
    <t xml:space="preserve">'Ya' is supported, but the text refers to full-year 2024, not Tw IV specifically; no chart or calculation. Answer lacks the figure.</t>
  </si>
  <si>
    <t xml:space="preserve">Apakah volume transaksi QRIS di DKI Jakarta meningkat sepanjang tahun 2024?</t>
  </si>
  <si>
    <t xml:space="preserve">Ya, volume transaksi QRIS meningkat tajam sepanjang tahun 2024 hingga mencapai 2 miliar transaksi.</t>
  </si>
  <si>
    <t xml:space="preserve">QA0811</t>
  </si>
  <si>
    <t xml:space="preserve">Berdasarkan kondisi ketenagakerjaan per Agustus 2024, berapa persentase penduduk bekerja di DKI Jakarta?</t>
  </si>
  <si>
    <t xml:space="preserve">5,11 juta orang</t>
  </si>
  <si>
    <t xml:space="preserve">Unit, Typo/Grammar, Instruction-following</t>
  </si>
  <si>
    <t xml:space="preserve">Text: per Agustus 2024 penduduk bekerja DKI Jakarta 5,11 juta orang, meningkat 0,69% (yoy); Tabel 7.1: 5.107,78 ribu.</t>
  </si>
  <si>
    <t xml:space="preserve">Question asks a percentage but answer gives a headcount; the count (5,11 juta) is correct and is stated in text, not read from a chart label.</t>
  </si>
  <si>
    <t xml:space="preserve">Berdasarkan kondisi ketenagakerjaan per Agustus 2024, berapa jumlah penduduk bekerja di DKI Jakarta?</t>
  </si>
  <si>
    <t xml:space="preserve">5,11 juta orang, meningkat 0,69% (yoy) dari tahun sebelumnya.</t>
  </si>
  <si>
    <t xml:space="preserve">QA0812</t>
  </si>
  <si>
    <t xml:space="preserve">Berdasarkan kondisi ketenagakerjaan per Agustus 2024, berapa tingkat kesempatan kerja di DKI Jakarta?</t>
  </si>
  <si>
    <t xml:space="preserve">93,79%</t>
  </si>
  <si>
    <t xml:space="preserve">Text: TKK tercatat sebesar 93,79%, lebih tinggi dari periode yang sama tahun sebelumnya (93,47%).</t>
  </si>
  <si>
    <t xml:space="preserve">Value verified in text (also Grafik 7.2/Tabel 7.1).</t>
  </si>
  <si>
    <t xml:space="preserve">QA0813</t>
  </si>
  <si>
    <t xml:space="preserve">Berdasarkan kondisi ketenagakerjaan per Agustus 2024, berapa persentase pekerja sektor formal di DKI Jakarta?</t>
  </si>
  <si>
    <t xml:space="preserve">58.26%</t>
  </si>
  <si>
    <t xml:space="preserve">Factual/Numerical, Format, Instruction-following</t>
  </si>
  <si>
    <t xml:space="preserve">Text: sektor formal 63,69% dari total pekerja, informal 36,31% (Agustus 2024). Tabel 7.1: 3.253,39/5.107,78 = 63,69%.</t>
  </si>
  <si>
    <t xml:space="preserve">Formal-sector share is 63,69%, not 58.26%; value is stated in text (no chart gives it) and uses a decimal point instead of comma.</t>
  </si>
  <si>
    <t xml:space="preserve">63,69% dari total pekerja (sisanya 36,31% bekerja di sektor informal).</t>
  </si>
  <si>
    <t xml:space="preserve">QA0814</t>
  </si>
  <si>
    <t xml:space="preserve">Apakah jumlah penduduk DKI Jakarta yang bekerja formal lebih banyak atau lebih sedikit dibandingkan jumlah penduduk yang bekerja informal?</t>
  </si>
  <si>
    <t xml:space="preserve">Jumlah penduduk DKI Jakarta yang bekerja formal lebih banyak dibandingkan jumlah penduduk yang bekerja informal.</t>
  </si>
  <si>
    <t xml:space="preserve">Text: sektor formal mendominasi, lebih dari 3,06 juta orang; sektor informal lebih dari 1,2 juta orang (Tabel 7.2: 3.253,39 vs 1.854,39 ribu, Agu 2024).</t>
  </si>
  <si>
    <t xml:space="preserve">Correct, supported by the text.</t>
  </si>
  <si>
    <t xml:space="preserve">QA0815</t>
  </si>
  <si>
    <t xml:space="preserve">Berapa persentase total penduduk DKI Jakarta yang bekerja formal pada tahun 2024?</t>
  </si>
  <si>
    <t xml:space="preserve">Persentase total penduduk DKI Jakarta yang bekerja formal pada tahun 2024 adalah 25,47%.</t>
  </si>
  <si>
    <t xml:space="preserve">Tabel 7.2 2024: formal 3.265,17 (Feb) / 3.253,39 (Agu) ribu; informal 1.841,61 / 1.854,39 ribu -&gt; formal share ~63,9% (Feb) / ~63,7% (Agu). No 25,47% on page.</t>
  </si>
  <si>
    <t xml:space="preserve">25,47% does not appear and is not derivable. The formal share of workers is about 63,7-63,9% (from Tabel 7.2), so this is a table calculation, not a chart extraction.</t>
  </si>
  <si>
    <t xml:space="preserve">Berapa persentase penduduk bekerja di sektor formal terhadap total penduduk bekerja (formal dan informal) di DKI Jakarta pada Agustus 2024?</t>
  </si>
  <si>
    <t xml:space="preserve">Pada Agustus 2024, penduduk yang bekerja di sektor formal sebanyak 3.253,39 ribu orang dari total 5.107,78 ribu orang pekerja formal dan informal, atau sekitar 63,7%.</t>
  </si>
  <si>
    <t xml:space="preserve">QA0816</t>
  </si>
  <si>
    <t xml:space="preserve">Berapa jumlah penduduk DKI Jakarta yang bekerja formal pada tahun 2024?</t>
  </si>
  <si>
    <t xml:space="preserve">Jumlah penduduk DKI Jakarta yang bekerja formal pada tahun 2024 adalah 25,47 juta orang.</t>
  </si>
  <si>
    <t xml:space="preserve">Tabel 7.2: Pekerja Sektor Formal 3.265,17 ribu orang (Feb 2024) dan 3.253,39 ribu orang (Agu 2024).</t>
  </si>
  <si>
    <t xml:space="preserve">25,47 juta is wrong; formal workers are about 3,25-3,27 juta. This is a single-cell table lookup, not a calculation (the label is kept as the closest).</t>
  </si>
  <si>
    <t xml:space="preserve">Jumlah penduduk DKI Jakarta yang bekerja di sektor formal pada 2024 sebanyak 3.265,17 ribu orang (Februari) dan 3.253,39 ribu orang (Agustus), atau sekitar 3,25 juta orang.</t>
  </si>
  <si>
    <t xml:space="preserve">QA0817</t>
  </si>
  <si>
    <t xml:space="preserve">Tingkat kemiskinan di DKI Jakarta pada September 2024 berapa?</t>
  </si>
  <si>
    <t xml:space="preserve">4,14%</t>
  </si>
  <si>
    <t xml:space="preserve">Text: tingkat kemiskinan DKI Jakarta September 2024 sebesar 4,14%.</t>
  </si>
  <si>
    <t xml:space="preserve">Verified in text, Tabel 7.3 and Grafik 7.13.</t>
  </si>
  <si>
    <t xml:space="preserve">QA0818</t>
  </si>
  <si>
    <t xml:space="preserve">Tingkat kemiskinan di DKI Jakarta pada September 2024 lebih rendah dibandingkan dengan tingkat kemiskinan nasional pada September 2024?</t>
  </si>
  <si>
    <t xml:space="preserve">Ya, tingkat kemiskinan DKI Jakarta pada September 2024 berada di bawah tingkat kemiskinan nasional pada September 2024.</t>
  </si>
  <si>
    <t xml:space="preserve">Grafik 7.13: Sept 2024 Jakarta 4,14% vs Nasional 8,57%.</t>
  </si>
  <si>
    <t xml:space="preserve">Correct yes/no comparison from chart.</t>
  </si>
  <si>
    <t xml:space="preserve">QA0819</t>
  </si>
  <si>
    <t xml:space="preserve">Tingkat kemiskinan DKI Jakarta pada September 2024 meningkat dibandingkan dengan September 2023?</t>
  </si>
  <si>
    <t xml:space="preserve">Tingkat kemiskinan DKI Jakarta pada September 2024 berada di atas tingkat kemiskinan DKI Jakarta pada September 2023.</t>
  </si>
  <si>
    <t xml:space="preserve">Grafik 7.14/7.15 note: Sept 2023 tidak dilakukan perhitungan kemiskinan. DKI: Sept 2022 4,61%, Mar 2024 4,30%, Sept 2024 4,14%.</t>
  </si>
  <si>
    <t xml:space="preserve">No Sept 2023 figure exists; claim of an increase is unsupported and contrary to the declining trend. No calculation involved.</t>
  </si>
  <si>
    <t xml:space="preserve">Apakah tingkat kemiskinan DKI Jakarta pada September 2024 meningkat dibandingkan dengan periode sebelumnya?</t>
  </si>
  <si>
    <t xml:space="preserve">Tidak. Pada September 2023 tidak dilakukan perhitungan kemiskinan; tingkat kemiskinan September 2024 (4,14%) justru menurun dibanding Maret 2024 (4,30%) dan September 2022 (4,61%).</t>
  </si>
  <si>
    <t xml:space="preserve">QA0820</t>
  </si>
  <si>
    <t xml:space="preserve">Apakah total realisasi komponen pendapatan Pemerintah Daerah Kabupaten/Kota se-Provinsi Kalimantan Utara pada Triwulan III 2025 sebesar Rp.77,55 miliar?</t>
  </si>
  <si>
    <t xml:space="preserve">Rp.77,55 miliar</t>
  </si>
  <si>
    <t xml:space="preserve">Text: total realisasi komponen pendapatan Pemda Kab/Kota se-Kaltara Tw III 2025 Rp6.775,54 miliar (78,25% dari pagu).</t>
  </si>
  <si>
    <t xml:space="preserve">Rp77,55 miliar is a garbled figure; answer should reject it. Evidence is text, no chart calculation.</t>
  </si>
  <si>
    <t xml:space="preserve">Tidak. Total realisasi pendapatan Kabupaten/Kota se-Kaltara pada Triwulan III 2025 sebesar Rp6.775,54 miliar.</t>
  </si>
  <si>
    <t xml:space="preserve">QA0821</t>
  </si>
  <si>
    <t xml:space="preserve">Apakah total realisasi pendapatan APBD Kabupaten/Kota Kaltara Triwulan III 2025 sebesar Rp.8.658,81 miliar?</t>
  </si>
  <si>
    <t xml:space="preserve">Rp.8.658,81 miliar</t>
  </si>
  <si>
    <t xml:space="preserve">Tabel II.4: 2025 Anggaran Tw III Rp8.658,81 miliar; Realisasi Tw III Rp6.775,54 miliar (78,25%).</t>
  </si>
  <si>
    <t xml:space="preserve">Rp8.658,81 miliar is the budget (pagu), not realization; answer wrongly affirms. Single lookup, no calculation.</t>
  </si>
  <si>
    <t xml:space="preserve">Tidak. Rp8.658,81 miliar adalah pagu anggaran; realisasi pendapatan Triwulan III 2025 sebesar Rp6.775,54 miliar (78,25%).</t>
  </si>
  <si>
    <t xml:space="preserve">QA0822</t>
  </si>
  <si>
    <t xml:space="preserve">Apakah total realisasi belanja APBD Kabupaten/Kota Kaltara Triwulan III 2025 sebesar Rp.4.556,05 miliar?</t>
  </si>
  <si>
    <t xml:space="preserve">Ya, total realisasi belanja APBD Kabupaten/Kota Kaltara Triwulan III 2025 sebesar Rp.4.556,05 miliar.</t>
  </si>
  <si>
    <t xml:space="preserve">Text: realisasi belanja 5 Pemda Kab/Kota Tw III 2025 Rp4.556,05 miliar atau 43,88% dari pagu Rp10.382,70 miliar.</t>
  </si>
  <si>
    <t xml:space="preserve">QA0823</t>
  </si>
  <si>
    <t xml:space="preserve">Bagaimana realisasi belanja K/L di Provinsi Kalimantan Utara pada Triwulan III 2025?</t>
  </si>
  <si>
    <t xml:space="preserve">Realisasi belanja K/L di Provinsi Kalimantan Utara pada Triwulan III 2025 mencapai sebesar Rp1,88 Triliun atau 51,62% dari total pagu belanja K/L tahun 2025 sebesar Rp3,65 Triliun.</t>
  </si>
  <si>
    <t xml:space="preserve">Text 2.3: realisasi belanja K/L hingga Tw III 2025 Rp1,88 Triliun atau 51,62% dari total pagu K/L 2025 Rp3,65 Triliun.</t>
  </si>
  <si>
    <t xml:space="preserve">All values and period match the text.</t>
  </si>
  <si>
    <t xml:space="preserve">QA0824</t>
  </si>
  <si>
    <t xml:space="preserve">Bagaimana realisasi belanja pegawai di Provinsi Kalimantan Utara pada Triwulan III 2025?</t>
  </si>
  <si>
    <t xml:space="preserve">Realisasi belanja pegawai di Provinsi Kalimantan Utara pada Triwulan III 2025 mencapai sebesar Rp839,18 miliar atau 76,08% dari anggaran sebesar Rp1,103,08 miliar.</t>
  </si>
  <si>
    <t xml:space="preserve">Text/Tabel II.6: belanja pegawai Tw III 2025 Rp926,95 miliar (76,92%) dari anggaran Rp1.205,07 miliar; Rp839,18 miliar (76,08%) of Rp1.103,08 miliar is 2024.</t>
  </si>
  <si>
    <t xml:space="preserve">Answer gives the 2024 figures, not Tw III 2025; source is text/table, no chart on page.</t>
  </si>
  <si>
    <t xml:space="preserve">Realisasi belanja pegawai pada Triwulan III 2025 mencapai Rp926,95 miliar atau 76,92% dari anggaran Rp1.205,07 miliar, naik 10,46% (yoy) dari Rp839,18 miliar pada 2024.</t>
  </si>
  <si>
    <t xml:space="preserve">QA0825</t>
  </si>
  <si>
    <t xml:space="preserve">Bagaimana realisasi belanja modal di Provinsi Kalimantan Utara pada Triwulan III 2025?</t>
  </si>
  <si>
    <t xml:space="preserve">Realisasi belanja modal di Provinsi Kalimantan Utara pada Triwulan III 2025 mencapai sebesar Rp802,39 miliar atau 31,19% dari anggaran sebesar Rp2,444,16 miliar.</t>
  </si>
  <si>
    <t xml:space="preserve">Tabel II.6/text: belanja modal Tw III 2025 realisasi Rp250,24 miliar, 31,19% (text 31,18%) dari anggaran Rp802,39 miliar; kontraksi -64,84% yoy. 2.444,16 not on page.</t>
  </si>
  <si>
    <t xml:space="preserve">Rp802,39 miliar is the 2025 budget, not realization, and Rp2.444,16 miliar does not exist; realization was Rp250,24 miliar. No chart.</t>
  </si>
  <si>
    <t xml:space="preserve">Realisasi belanja modal pada Triwulan III 2025 sebesar Rp250,24 miliar atau 31,19% dari anggaran Rp802,39 miliar, terkontraksi 64,84% (yoy).</t>
  </si>
  <si>
    <t xml:space="preserve">QA0826</t>
  </si>
  <si>
    <t xml:space="preserve">Apakah komoditas utama yang menyumbang deflasi bulanan Gabungan 3 Kab/Kota IKH Kaltara selama Triwulan III 2025?</t>
  </si>
  <si>
    <t xml:space="preserve">Tarif Air Minum Pam, Tarif Rumah Sakti, Tomat, Beras, Bawang Merah, Cabi Rawit, Krim Wajah, Bayam, Kontrak Rumah, Kangkung</t>
  </si>
  <si>
    <t xml:space="preserve">Incomplete, Typo/Grammar, Reasoning</t>
  </si>
  <si>
    <t xml:space="preserve">Tabel III.2: Juli top = Tarif Air Minum Pam 0,28, Tarif Rumah Sakit 0,16, Tomat 0,16; Agustus top = Angkutan Laut 0,23, Daging Ayam Ras 0,06, Bawang Merah 0,04; September (negative) = Ikan Layang -0,07, Bawang Merah -0,07, Angkutan Udara -0,05.</t>
  </si>
  <si>
    <t xml:space="preserve">Answer lists only the July column (positive andil, i.e. inflationary) and omits Aug/Sep; it has typos (Rumah Sakti, Cabi Rawit). Only September items actually have negative andil.</t>
  </si>
  <si>
    <t xml:space="preserve">Menurut Tabel III.2, andil terbesar pada Juli 2025: Tarif Air Minum PAM (0,28), Tarif Rumah Sakit (0,16), Tomat (0,16); Agustus 2025: Angkutan Laut (0,23), Daging Ayam Ras (0,06), Bawang Merah (0,04); sedangkan penyumbang deflasi September 2025: Ikan Layang/Ikan Benggol (-0,07), Bawang Merah (-0,07), dan Angkutan Udara (-0,05).</t>
  </si>
  <si>
    <t xml:space="preserve">QA0827</t>
  </si>
  <si>
    <t xml:space="preserve">Apakah deflasi tertentu di provinsi Kaltara terjadi pada bulan Agustus 2025?</t>
  </si>
  <si>
    <t xml:space="preserve">Deflasi tertentu di provinsi Kaltara terjadi pada bulan Agustus 2025, terutama disebabkan oleh peningkatan harga pada komoditas Angkutan Laut (andil 0,23%), Daging Ayam Ras (andil 0,06%), dan Bawang Merah (andil 0,04%).</t>
  </si>
  <si>
    <t xml:space="preserve">Text: IHK Gabungan 3 Kab/Kota Kaltara Agustus 2025 tercatat INFLASI 0,06% (mtm), didorong Angkutan Laut (0,23%), Daging Ayam Ras (0,06%), Bawang Merah (0,04%).</t>
  </si>
  <si>
    <t xml:space="preserve">August 2025 was inflation, not deflation; the answer affirms deflation while citing price increases, which is contradictory.</t>
  </si>
  <si>
    <t xml:space="preserve">Apakah Provinsi Kaltara mengalami deflasi pada bulan Agustus 2025?</t>
  </si>
  <si>
    <t xml:space="preserve">Tidak. Pada Agustus 2025 IHK Gabungan 3 Kab/Kota Kaltara mencatat inflasi 0,06% (mtm), didorong kenaikan harga Angkutan Laut (andil 0,23%), Daging Ayam Ras (0,06%), dan Bawang Merah (0,04%).</t>
  </si>
  <si>
    <t xml:space="preserve">QA0828</t>
  </si>
  <si>
    <t xml:space="preserve">Apakah penurunan harga Tomat disebabkan oleh curah hujan tinggi?</t>
  </si>
  <si>
    <t xml:space="preserve">Ya, penurunan harga Tomat disebabkan oleh curah hujan tinggi yang membuat output panen Tomat menurun dan menipiskan pasokan dari luar daerah.</t>
  </si>
  <si>
    <t xml:space="preserve">Text: high rainfall cut tomato harvest and supply (explaining a price rise, Juli: Tomat mtm +34,70); 'Penurunan harga Tomat ... disebabkan meningkatnya pasokan lokal karena memasuki fase panen yang didukung cuaca yang lebih kondusif' (Agustus).</t>
  </si>
  <si>
    <t xml:space="preserve">High rainfall caused lower supply and a price rise, not a decrease; the Aug/Sep price decline was due to harvest under favorable weather. Evidence is text, not a chart.</t>
  </si>
  <si>
    <t xml:space="preserve">Tidak. Curah hujan tinggi justru menurunkan output panen dan pasokan sehingga harga Tomat naik (Juli 2025); penurunan harga Tomat (Agustus 2025) disebabkan meningkatnya pasokan lokal karena memasuki fase panen yang didukung cuaca lebih kondusif.</t>
  </si>
  <si>
    <t xml:space="preserve">QA0829</t>
  </si>
  <si>
    <t xml:space="preserve">Apakah komoditas angkutan udara, cabai rawit, dan tahu mentah menjadi kontributor utama penahan inflasi tahunan pada triwulan III 2025?</t>
  </si>
  <si>
    <t xml:space="preserve">Ya, komoditas angkutan udara, cabai rawit, dan tahu mentah menjadi kontributor utama penahan inflasi tahunan pada triwulan III 2025.</t>
  </si>
  <si>
    <t xml:space="preserve">Text (bold): angkutan udara, cabai rawit, dan tahu mentah menjadi kontributor utama penahan inflasi tahunan pada triwulan III 2025.</t>
  </si>
  <si>
    <t xml:space="preserve">Correct, stated verbatim in text.</t>
  </si>
  <si>
    <t xml:space="preserve">QA0830</t>
  </si>
  <si>
    <t xml:space="preserve">Berapa persentase penurunan harga cabai rawit pada triwulan III 2025?</t>
  </si>
  <si>
    <t xml:space="preserve">Penurunan harga cabai rawit pada triwulan III 2025 adalah sebesar -0,09%.</t>
  </si>
  <si>
    <t xml:space="preserve">Tabel III.7: Cabai Rawit inflasi -15,27% (yoy), andil -0,12; text: andil -0,09% to headline inflation.</t>
  </si>
  <si>
    <t xml:space="preserve">-0,09% is the andil (contribution), not the price change; price fell 15,27% yoy. No chart on page.</t>
  </si>
  <si>
    <t xml:space="preserve">Harga cabai rawit pada triwulan III 2025 turun 15,27% (yoy), dengan andil -0,12% terhadap inflasi kelompok makanan (andil -0,09% terhadap inflasi umum).</t>
  </si>
  <si>
    <t xml:space="preserve">QA0831</t>
  </si>
  <si>
    <t xml:space="preserve">Berapakah komoditas yang terbanyak kontributor inflasi pada triwulan III 2025?</t>
  </si>
  <si>
    <t xml:space="preserve">Komoditas yang terbanyak kontributor inflasi pada triwulan III 2025 adalah Makanan, Minuman dan Tembakau dengan inflasi sebesar 3,50.</t>
  </si>
  <si>
    <t xml:space="preserve">Typo/Grammar, Unit, Instruction-following</t>
  </si>
  <si>
    <t xml:space="preserve">Tabel III.6: Makanan, Minuman dan Tembakau yoy 3,50%, andil 1,13 (largest andil). Top commodity (Tabel III.7): Ikan Bandeng andil 0,29.</t>
  </si>
  <si>
    <t xml:space="preserve">Question garbled ('Berapakah komoditas'); answer names a group (kelompok) not a commodity, omits % and andil. Ranking from a table, not a chart calculation.</t>
  </si>
  <si>
    <t xml:space="preserve">Kelompok pengeluaran apa yang menjadi kontributor terbesar inflasi tahunan pada triwulan III 2025?</t>
  </si>
  <si>
    <t xml:space="preserve">Kelompok Makanan, Minuman dan Tembakau, dengan inflasi 3,50% (yoy) dan andil 1,13%, terbesar di antara kelompok pengeluaran.</t>
  </si>
  <si>
    <t xml:space="preserve">QA0832</t>
  </si>
  <si>
    <t xml:space="preserve">Banyaknya UMKM binaan dan mitra Bank Indonesia di Provinsi Kalimantan Utara pada periode II 2025?</t>
  </si>
  <si>
    <t xml:space="preserve">Tabel IV.4 Total II 2025 = 17; text: 'Terdapat 17 usaha ... 13 usaha non pertanian dan 4 usaha pertanian'.</t>
  </si>
  <si>
    <t xml:space="preserve">17 is correct, but it is read from the Total row / stated in text, no calculation needed; bare number.</t>
  </si>
  <si>
    <t xml:space="preserve">Terdapat 17 UMKM binaan dan mitra Bank Indonesia di Kalimantan Utara pada triwulan II 2025, terdiri dari 13 usaha non pertanian dan 4 usaha pertanian.</t>
  </si>
  <si>
    <t xml:space="preserve">QA0833</t>
  </si>
  <si>
    <t xml:space="preserve">Jumlah pinjaman yang diberikan oleh Bank Indonesia kepada UMKM binaan dan mitra di Kabupaten Malinau pada periode II 2025?</t>
  </si>
  <si>
    <t xml:space="preserve">Rp408.000.000</t>
  </si>
  <si>
    <t xml:space="preserve">Instruction-following, Reasoning</t>
  </si>
  <si>
    <t xml:space="preserve">Tabel IV.4 Kabupaten Malinau pinjaman II 2025: non pertanian Rp408.000.000, pertanian Rp-; Keterangan: Perbankan.</t>
  </si>
  <si>
    <t xml:space="preserve">Value correct, but it comes from the table (not text), and loans are from perbankan to BI-assisted UMKM, not given by Bank Indonesia.</t>
  </si>
  <si>
    <t xml:space="preserve">Berapa jumlah pinjaman yang diterima UMKM binaan dan mitra BI di Kabupaten Malinau pada triwulan II 2025?</t>
  </si>
  <si>
    <t xml:space="preserve">UMKM binaan dan mitra BI di Kabupaten Malinau menerima pinjaman perbankan sebesar Rp408.000.000 pada triwulan II 2025 (seluruhnya pada usaha non pertanian).</t>
  </si>
  <si>
    <t xml:space="preserve">QA0834</t>
  </si>
  <si>
    <t xml:space="preserve">Total pinjaman yang diberikan oleh Bank Indonesia pada periode II 2025?</t>
  </si>
  <si>
    <t xml:space="preserve">Rp1.387.000.000</t>
  </si>
  <si>
    <t xml:space="preserve">Tabel IV.4 Total pinjaman II 2025 Rp1.387.000.000 (III 2025 Rp1.403.515.000); source Perbankan. No chart on page.</t>
  </si>
  <si>
    <t xml:space="preserve">Value correct, but it is a table cell (no chart), and the loans are bank financing to BI-assisted UMKM, not loans by Bank Indonesia.</t>
  </si>
  <si>
    <t xml:space="preserve">Berapa total pinjaman yang diterima UMKM binaan dan mitra BI Kalimantan Utara pada triwulan II 2025?</t>
  </si>
  <si>
    <t xml:space="preserve">Total pinjaman yang diterima UMKM binaan dan mitra BI pada triwulan II 2025 sebesar Rp1.387.000.000.</t>
  </si>
  <si>
    <t xml:space="preserve">QA0835</t>
  </si>
  <si>
    <t xml:space="preserve">Apakah Indeks Ketersediaan Lapangan Kerja di Kalimantan Utara pada Triwulan III 2025 turun dibandingkan dengan Triwulan III 2024?</t>
  </si>
  <si>
    <t xml:space="preserve">Turun</t>
  </si>
  <si>
    <t xml:space="preserve">Grafik VI.1 &amp; text: Indeks ketersediaan lapangan kerja 6 bulan lalu 95,10 (Tw III 2025) vs 111,00 (Tw III 2024), turun 14,32% (yoy).</t>
  </si>
  <si>
    <t xml:space="preserve">'Turun' is correct per chart and text.</t>
  </si>
  <si>
    <t xml:space="preserve">QA0836</t>
  </si>
  <si>
    <t xml:space="preserve">Berapa persentase penurunan jumlah angkatan kerja di Kalimantan Utara pada Agustus 2025 dibandingkan Agustus 2024?</t>
  </si>
  <si>
    <t xml:space="preserve">2.099 orang</t>
  </si>
  <si>
    <t xml:space="preserve">Reasoning, Unit, Instruction-following</t>
  </si>
  <si>
    <t xml:space="preserve">Text/Tabel VI.1: angkatan kerja meningkat 2.099 orang, dari 393.704 (Ags 2024) menjadi 395.803 (Ags 2025).</t>
  </si>
  <si>
    <t xml:space="preserve">Labor force increased, not decreased; question asks a percentage but answer gives persons (2.099 orang). Correct: +2.099 orang (~0,53%).</t>
  </si>
  <si>
    <t xml:space="preserve">Berapa perubahan jumlah angkatan kerja di Kalimantan Utara pada Agustus 2025 dibandingkan Agustus 2024?</t>
  </si>
  <si>
    <t xml:space="preserve">Jumlah angkatan kerja meningkat 2.099 orang (sekitar 0,53%), dari 393.704 orang menjadi 395.803 orang.</t>
  </si>
  <si>
    <t xml:space="preserve">QA0837</t>
  </si>
  <si>
    <t xml:space="preserve">Apakah Tingkat Pengangguran Terbuka (TPT) di Kalimantan Utara pada Agustus 2025 lebih rendah dibandingkan Agustus 2024?</t>
  </si>
  <si>
    <t xml:space="preserve">Grafik VI.2 &amp; text: TPT Ags 2025 3,85% vs Ags 2024 3,90%.</t>
  </si>
  <si>
    <t xml:space="preserve">'Ya' is correct; TPT fell from 3,90% to 3,85%.</t>
  </si>
  <si>
    <t xml:space="preserve">QA0838</t>
  </si>
  <si>
    <t xml:space="preserve">Berapa jumlah penduduk berusaha sendiri di Agustus 2024?</t>
  </si>
  <si>
    <t xml:space="preserve">78.697</t>
  </si>
  <si>
    <t xml:space="preserve">Tabel VI.3: Berusaha sendiri Agustus 2024 Jumlah 78.697 (pangsa 20,80%).</t>
  </si>
  <si>
    <t xml:space="preserve">Value correct, but it is a single-cell lookup, not a calculation (table label kept); bare number without 'orang'.</t>
  </si>
  <si>
    <t xml:space="preserve">78.697 orang (20,80% dari penduduk bekerja).</t>
  </si>
  <si>
    <t xml:space="preserve">QA0839</t>
  </si>
  <si>
    <t xml:space="preserve">Berapa persentase penduduk yang bekerja di pertanian di Agustus 2024?</t>
  </si>
  <si>
    <t xml:space="preserve">46,28%</t>
  </si>
  <si>
    <t xml:space="preserve">Tabel VI.3 Agustus 2024: Pekerja bebas di pertanian 7.613 orang, pangsa 2,01%; 46,28% is Buruh/karyawan/pegawai share.</t>
  </si>
  <si>
    <t xml:space="preserve">46,28% belongs to Buruh/karyawan/pegawai; the only agriculture row is 'Pekerja bebas di pertanian' at 2,01%. Evidence is table, not text.</t>
  </si>
  <si>
    <t xml:space="preserve">Berapa persentase pekerja bebas di pertanian terhadap total penduduk bekerja pada Agustus 2024?</t>
  </si>
  <si>
    <t xml:space="preserve">2,01% (7.613 orang).</t>
  </si>
  <si>
    <t xml:space="preserve">QA0840</t>
  </si>
  <si>
    <t xml:space="preserve">Berapa jumlah penduduk yang bekerja di nonpertanian di Agustus 2024?</t>
  </si>
  <si>
    <t xml:space="preserve">8.138</t>
  </si>
  <si>
    <t xml:space="preserve">Tabel VI.3 Agustus 2024: Pekerja bebas di nonpertanian 8.138 orang (2,15%).</t>
  </si>
  <si>
    <t xml:space="preserve">8.138 is correct for 'pekerja bebas di nonpertanian'; question omits 'pekerja bebas' and it's a table lookup, not a chart.</t>
  </si>
  <si>
    <t xml:space="preserve">Berapa jumlah pekerja bebas di nonpertanian pada Agustus 2024?</t>
  </si>
  <si>
    <t xml:space="preserve">8.138 orang (pangsa 2,15%).</t>
  </si>
  <si>
    <t xml:space="preserve">QA0841</t>
  </si>
  <si>
    <t xml:space="preserve">Bertambahnya penduduk miskin di perkotaan sebesar berapa?</t>
  </si>
  <si>
    <t xml:space="preserve">0,5 ribu jiwa</t>
  </si>
  <si>
    <t xml:space="preserve">Text: penduduk miskin perkotaan naik dari 25,06 ribu menjadi 25,56 ribu orang, bertambah sekitar 0,5 ribu jiwa.</t>
  </si>
  <si>
    <t xml:space="preserve">QA0842</t>
  </si>
  <si>
    <t xml:space="preserve">Berapa persentase peningkatan penduduk miskin di desa sepanjang periode 2024-2025?</t>
  </si>
  <si>
    <t xml:space="preserve">0,97 ribu jiwa</t>
  </si>
  <si>
    <t xml:space="preserve">Text: penduduk miskin desa 16,05 ribu (5,96%) -&gt; 17,01 ribu (5,98%), bertambah 0,97 ribu jiwa; persentase naik 0,02 persen poin.</t>
  </si>
  <si>
    <t xml:space="preserve">Question asks for percentage increase but answer gives the absolute increase; the percentage rose 0,02 poin (5,96% -&gt; 5,98%). Percentages appear only in text.</t>
  </si>
  <si>
    <t xml:space="preserve">Persentase penduduk miskin di desa naik 0,02 persen poin, dari 5,96% (Sep 2024) menjadi 5,98% (Mar 2025), atau bertambah 0,97 ribu jiwa.</t>
  </si>
  <si>
    <t xml:space="preserve">QA0843</t>
  </si>
  <si>
    <t xml:space="preserve">Apakah ada penurunan signifikan dalam jumlah penduduk miskin di desa pada September 2024?</t>
  </si>
  <si>
    <t xml:space="preserve">Text: kelompok miskin di perdesaan sebelumnya justru mengalami penurunan signifikan pada September 2024 (Grafik VI.4).</t>
  </si>
  <si>
    <t xml:space="preserve">'Ya' is correct, but the claim is stated in text; Grafik VI.4 shows only Sep 2024 vs Mar 2025, and no calculation is needed.</t>
  </si>
  <si>
    <t xml:space="preserve">Ya, jumlah penduduk miskin di perdesaan sempat mengalami penurunan signifikan pada September 2024 sebelum naik kembali menjadi 17,01 ribu orang pada Maret 2025.</t>
  </si>
  <si>
    <t xml:space="preserve">QA0844</t>
  </si>
  <si>
    <t xml:space="preserve">Berapa pertumbuhan ekonomi global diharapkan pada 2025?</t>
  </si>
  <si>
    <t xml:space="preserve">3.0%</t>
  </si>
  <si>
    <t xml:space="preserve">Text: IMF memperkirakan pertumbuhan ekonomi global tumbuh 3,0% (yoy) pada 2025 (Tabel VII.1 shows 3,2).</t>
  </si>
  <si>
    <t xml:space="preserve">Answer matches the text statement for 2025 global growth; category Text fits.</t>
  </si>
  <si>
    <t xml:space="preserve">QA0845</t>
  </si>
  <si>
    <t xml:space="preserve">Berapakah pertumbuhan ekonomi AS pada 2025?</t>
  </si>
  <si>
    <t xml:space="preserve">2.9%</t>
  </si>
  <si>
    <t xml:space="preserve">Text: AS diperkirakan tumbuh 1,9% (yoy) pada 2025; Tabel VII.1 AS 2025 = 2,0; 2,9 is AS 2023. No chart.</t>
  </si>
  <si>
    <t xml:space="preserve">2,9% is the 2023 value; 2025 US growth is 1,9% (text) / 2,0% (table). No chart on page.</t>
  </si>
  <si>
    <t xml:space="preserve">1,9% (yoy) menurut teks (Tabel VII.1: 2,0%), melambat dari 2,8% pada 2024.</t>
  </si>
  <si>
    <t xml:space="preserve">QA0846</t>
  </si>
  <si>
    <t xml:space="preserve">Berapa pertumbuhan ekonomi AS pada 2024?</t>
  </si>
  <si>
    <t xml:space="preserve">2.8%</t>
  </si>
  <si>
    <t xml:space="preserve">Text: AS tumbuh 1,9% pada 2025, melambat dari 2,8% (yoy) pada 2024; Tabel VII.1 AS 2024 = 2,8.</t>
  </si>
  <si>
    <t xml:space="preserve">2,8% is correct, but it is a lookup from text/table, not a chart calculation.</t>
  </si>
  <si>
    <t xml:space="preserve">2,8% (yoy)</t>
  </si>
  <si>
    <t xml:space="preserve">QA0847</t>
  </si>
  <si>
    <t xml:space="preserve">Pendapatan sektor pertanian kawasan DIY pada triwulan III 2023 berapakah?</t>
  </si>
  <si>
    <t xml:space="preserve">5,16%</t>
  </si>
  <si>
    <t xml:space="preserve">Page gives no agricultural-sector income/revenue for DIY; agriculture is only mentioned qualitatively (LU pertanian, NTP). 5,16% is DIY PDRB growth Tw II 2023.</t>
  </si>
  <si>
    <t xml:space="preserve">The metric asked (agricultural income in Tw III 2023) is not on the page. 5,16% is DIY's Tw II 2023 GDP growth.</t>
  </si>
  <si>
    <t xml:space="preserve">QA0848</t>
  </si>
  <si>
    <t xml:space="preserve">QA0849</t>
  </si>
  <si>
    <t xml:space="preserve">QA0850</t>
  </si>
  <si>
    <t xml:space="preserve">Apakah pertumbuhan konsumsi rumah tangga pada triwulan III 2023?</t>
  </si>
  <si>
    <t xml:space="preserve">Pertumbuhan konsumsi rumah tangga pada triwulan III 2023 melanjutkan pertumbuhan positif dengan peningkatan sebesar 5,16% (yoy).</t>
  </si>
  <si>
    <t xml:space="preserve">Text: Konsumsi RT melanjutkan pertumbuhan positif; Tw III 2023 tumbuh 5,16% (yoy).</t>
  </si>
  <si>
    <t xml:space="preserve">QA0851</t>
  </si>
  <si>
    <t xml:space="preserve">Apakah konsumsi rumah tangga mampu tumbuh 11,99% pada triwulan II 2023?</t>
  </si>
  <si>
    <t xml:space="preserve">Tidak, konsumsi rumah tangga mencatat penurunan sebesar 11,99% (yoy) pada triwulan II 2023.</t>
  </si>
  <si>
    <t xml:space="preserve">Text: konsumsi RT Tw II 2023 tumbuh 5,19% (yoy); 11,99% (yoy) is growth of the pakaian group in Tw III 2023.</t>
  </si>
  <si>
    <t xml:space="preserve">'Tidak' is right but claiming an 11,99% decline in Tw II is false; 11,99% is clothing consumption growth in Tw III 2023. Evidence is text.</t>
  </si>
  <si>
    <t xml:space="preserve">Tidak. Konsumsi rumah tangga pada triwulan II 2023 tumbuh 5,19% (yoy); angka 11,99% (yoy) adalah pertumbuhan konsumsi kelompok pakaian pada triwulan III 2023.</t>
  </si>
  <si>
    <t xml:space="preserve">QA0852</t>
  </si>
  <si>
    <t xml:space="preserve">Berapa persentase peningkatan konsumsi rumah tangga pada triwulan III 2023?</t>
  </si>
  <si>
    <t xml:space="preserve">Peningkatan konsumsi rumah tangga pada triwulan III 2023 mencapai 5,16% (yoy).</t>
  </si>
  <si>
    <t xml:space="preserve">Text: konsumsi RT Tw III 2023 tumbuh 5,16% (yoy); Grafik 1.2 shows ~5% but no labels.</t>
  </si>
  <si>
    <t xml:space="preserve">Value correct but stated directly in text; no calculation from chart.</t>
  </si>
  <si>
    <t xml:space="preserve">QA0853</t>
  </si>
  <si>
    <t xml:space="preserve">Apakah pertumbuhan PDRB Triwulan III 2023 untuk Lapangan Usaha industri pengolahan?</t>
  </si>
  <si>
    <t xml:space="preserve">Tidak disebutkan secara spesifik, tetapi dapat diambil dari tabel 1.3.</t>
  </si>
  <si>
    <t xml:space="preserve">Text 1.2.1: LU industri pengolahan tumbuh 4,56% (yoy) di Tw III 2023; Tabel 1.3 Q3/23 yoy 4,56, qtq -2,44.</t>
  </si>
  <si>
    <t xml:space="preserve">Answer wrongly claims the value is not stated; text explicitly gives 4,56% (yoy).</t>
  </si>
  <si>
    <t xml:space="preserve">Berapa pertumbuhan PDRB Lapangan Usaha industri pengolahan DIY pada triwulan III 2023?</t>
  </si>
  <si>
    <t xml:space="preserve">LU industri pengolahan tumbuh 4,56% (yoy) pada triwulan III 2023.</t>
  </si>
  <si>
    <t xml:space="preserve">QA0854</t>
  </si>
  <si>
    <t xml:space="preserve">Apakah pertumbuhan PDRB Triwulan III 2023 untuk Lapangan Usaha industri pengolahan dibandingkan triwulan sebelumnya?</t>
  </si>
  <si>
    <t xml:space="preserve">Incomplete, Calculation, Typo/Grammar</t>
  </si>
  <si>
    <t xml:space="preserve">Tabel 1.3 Industri Pengolahan: yoy Q2/23 3,74 -&gt; Q3/23 4,56 (+0,82 pp); qtq Q2/23 1,68 -&gt; Q3/23 -2,44.</t>
  </si>
  <si>
    <t xml:space="preserve">No answer given although the table has the values; the comparison/difference was not computed.</t>
  </si>
  <si>
    <t xml:space="preserve">Bagaimana pertumbuhan PDRB LU industri pengolahan DIY triwulan III 2023 dibandingkan triwulan sebelumnya?</t>
  </si>
  <si>
    <t xml:space="preserve">Pertumbuhan yoy naik dari 3,74% (Q2/23) menjadi 4,56% (Q3/23), atau meningkat 0,82 poin persen; secara qtq -2,44% dibanding 1,68% pada Q2/23.</t>
  </si>
  <si>
    <t xml:space="preserve">QA0855</t>
  </si>
  <si>
    <t xml:space="preserve">Tidak disebutkan secara spesifik, tetapi dapat diambil dari grafik 1.33.</t>
  </si>
  <si>
    <t xml:space="preserve">Grafik 1.33: industri pengolahan line rises from Tw II to Tw III 2023; text gives 3,74% -&gt; 4,56% (yoy).</t>
  </si>
  <si>
    <t xml:space="preserve">Non-answer although chart and text show an increase; a quarter-over-quarter trend is time-sensitive, not plain extraction.</t>
  </si>
  <si>
    <t xml:space="preserve">Bagaimana pertumbuhan LU industri pengolahan DIY pada triwulan III 2023 dibandingkan triwulan sebelumnya berdasarkan Grafik 1.33?</t>
  </si>
  <si>
    <t xml:space="preserve">Meningkat, dari 3,74% (yoy) pada triwulan II 2023 menjadi 4,56% (yoy) pada triwulan III 2023.</t>
  </si>
  <si>
    <t xml:space="preserve">QA0856</t>
  </si>
  <si>
    <t xml:space="preserve">Apakah kondisi inflasi di DIY pada triwulan III 2023?</t>
  </si>
  <si>
    <t xml:space="preserve">Deflasi terus berlanjut dengan penurunan harga BBM pada triwulan III 2023, mencapai 3,30% (yoy).</t>
  </si>
  <si>
    <t xml:space="preserve">Text: inflasi DIY terus menunjukkan tren penurunan pada Tw III 2023, tercatat 3,30% (yoy), turun dari 4,20% (yoy) Tw II. Deflation applies only to bensin.</t>
  </si>
  <si>
    <t xml:space="preserve">DIY had inflation (not deflation) of 3,30% yoy with a downward trend; deflation was only on bensin commodity.</t>
  </si>
  <si>
    <t xml:space="preserve">Bagaimana kondisi inflasi di DIY pada triwulan III 2023?</t>
  </si>
  <si>
    <t xml:space="preserve">Inflasi DIY terus menunjukkan tren penurunan, tercatat 3,30% (yoy) pada triwulan III 2023, turun dari 4,20% (yoy) pada triwulan II 2023, namun masih di atas inflasi Jawa (2,25%) dan nasional (2,28%).</t>
  </si>
  <si>
    <t xml:space="preserve">QA0857</t>
  </si>
  <si>
    <t xml:space="preserve">Apakah ada perubahan dalam tingkat inflasi di DIY pada triwulan III 2023?</t>
  </si>
  <si>
    <t xml:space="preserve">Tingkat inflasi di DIY pada triwulan III 2023 menurun dibandingkan triwulan II 2023 yang mencapai 4,20% (yoy).</t>
  </si>
  <si>
    <t xml:space="preserve">Text/Tabel 3.1: inflasi umum DIY Tw III 2023 3,30% (yoy), turun dari 4,20% (yoy) Tw II 2023. Grafik 3.1 is oil price, not DIY inflation.</t>
  </si>
  <si>
    <t xml:space="preserve">Direction and Tw II value correct, but Tw III level 3,30% omitted and evidence is text/table, not a chart.</t>
  </si>
  <si>
    <t xml:space="preserve">Ya, inflasi DIY menurun menjadi 3,30% (yoy) pada triwulan III 2023 dibandingkan triwulan II 2023 yang mencapai 4,20% (yoy).</t>
  </si>
  <si>
    <t xml:space="preserve">QA0858</t>
  </si>
  <si>
    <t xml:space="preserve">Apakah ada perubahan dalam tingkat inflasi di DIY pada triwulan II 2023?</t>
  </si>
  <si>
    <t xml:space="preserve">Tingkat inflasi di DIY pada triwulan II 2023 mencapai 4,20% (yoy).</t>
  </si>
  <si>
    <t xml:space="preserve">Text/Tabel 3.1: inflasi umum DIY Tw II 2023 = 4,20% (yoy) (Tw I 6,11%).</t>
  </si>
  <si>
    <t xml:space="preserve">4,20% is correct, but it is a text/table lookup, not a chart calculation; question wording ('apakah ada perubahan') mismatches the answer.</t>
  </si>
  <si>
    <t xml:space="preserve">Berapa tingkat inflasi DIY pada triwulan II 2023?</t>
  </si>
  <si>
    <t xml:space="preserve">Tingkat inflasi DIY pada triwulan II 2023 mencapai 4,20% (yoy).</t>
  </si>
  <si>
    <t xml:space="preserve">QA0859</t>
  </si>
  <si>
    <t xml:space="preserve">Apakah inflasi yang paling tinggi dalam tabel?</t>
  </si>
  <si>
    <t xml:space="preserve">Makanan, Minuman Dan Tembakau</t>
  </si>
  <si>
    <t xml:space="preserve">Tabel 3.2: highest group inflation = Makanan, Minuman dan Tembakau 5,97% (yoy), next Kesehatan 5,42%.</t>
  </si>
  <si>
    <t xml:space="preserve">Answer correct, but it is a ranking from a table, not text inference; 'Apakah' should be 'Kelompok apa'.</t>
  </si>
  <si>
    <t xml:space="preserve">Kelompok apa yang mencatat inflasi paling tinggi dalam Tabel 3.2?</t>
  </si>
  <si>
    <t xml:space="preserve">Kelompok Makanan, Minuman dan Tembakau dengan inflasi 5,97% (yoy) dan andil 1,35%.</t>
  </si>
  <si>
    <t xml:space="preserve">QA0860</t>
  </si>
  <si>
    <t xml:space="preserve">Apakah ketersediaan beras di wilayah DIY stabil di tengah musim kering?</t>
  </si>
  <si>
    <t xml:space="preserve">Text: 'Ketersediaan beras di wilayah DIY terpantau stabil di tengah musim kering berkepanjangan akibat El Nino'; Grafik 3.2 actually shows a decline in September weeks (~11.400 to ~9.800 ton).</t>
  </si>
  <si>
    <t xml:space="preserve">'Ya' matches the text statement, but the claim comes from text, not the chart (chart shows a September decline); bare yes/no.</t>
  </si>
  <si>
    <t xml:space="preserve">Ya, ketersediaan beras di DIY terpantau stabil di tengah musim kering berkepanjangan akibat El Nino, meskipun harga beras cenderung naik.</t>
  </si>
  <si>
    <t xml:space="preserve">QA0861</t>
  </si>
  <si>
    <t xml:space="preserve">Berapa kenaikan harga bawang putih pada September 2023?</t>
  </si>
  <si>
    <t xml:space="preserve">Rp 39.750,00</t>
  </si>
  <si>
    <t xml:space="preserve">Text (PIHPS): bawang putih Rp39.750,00 (Sep 2023) vs Rp30.750,00 (Sep 2022); increase Rp9.000 (~29,3%). No chart on garlic.</t>
  </si>
  <si>
    <t xml:space="preserve">Answer gives the price level, not the increase; the increase is Rp9.000. Data is from text, not a chart.</t>
  </si>
  <si>
    <t xml:space="preserve">Harga bawang putih naik Rp9.000 (sekitar 29,3%), dari Rp30.750,00 pada September 2022 menjadi Rp39.750,00 pada September 2023.</t>
  </si>
  <si>
    <t xml:space="preserve">QA0862</t>
  </si>
  <si>
    <t xml:space="preserve">Apakah tingkat partisipasi angkatan kerja (TPAK) DIY meningkat pada Agustus 2023?</t>
  </si>
  <si>
    <t xml:space="preserve">Ya, tingkat partisipasi angkatan kerja (TPAK) DIY meningkat pada Agustus 2023.</t>
  </si>
  <si>
    <t xml:space="preserve">Text: TPAK DIY pada Agustus 2023 meningkat, 74,08% dari 72,60%.</t>
  </si>
  <si>
    <t xml:space="preserve">QA0863</t>
  </si>
  <si>
    <t xml:space="preserve">Jumlah penduduk usia kerja di DIY pada Agustus 2023 adalah 2.998.93 ribu orang.</t>
  </si>
  <si>
    <t xml:space="preserve">Text &amp; Tabel 6.1: penduduk usia kerja Agustus 2023 = 2.998,93 ribu orang.</t>
  </si>
  <si>
    <t xml:space="preserve">Value right but single-cell lookup also stated in text (no calculation); decimal separator malformed (2.998.93).</t>
  </si>
  <si>
    <t xml:space="preserve">Jumlah penduduk usia kerja di DIY pada Agustus 2023 adalah 2.998,93 ribu orang.</t>
  </si>
  <si>
    <t xml:space="preserve">QA0864</t>
  </si>
  <si>
    <t xml:space="preserve">Berapa persentase penduduk usia kerja yang tidak termasuk angkatan kerja pada Agustus 2023?</t>
  </si>
  <si>
    <t xml:space="preserve">Persentase penduduk usia kerja yang tidak termasuk angkatan kerja pada Agustus 2023 adalah 25,92%.</t>
  </si>
  <si>
    <t xml:space="preserve">Text: bukan angkatan kerja 777,23 ribu orang atau 25,92% dari total penduduk usia kerja (Agustus 2023).</t>
  </si>
  <si>
    <t xml:space="preserve">25,92% correct but from text; no chart on page.</t>
  </si>
  <si>
    <t xml:space="preserve">Persentase penduduk usia kerja yang bukan angkatan kerja pada Agustus 2023 adalah 25,92% (777,23 ribu orang).</t>
  </si>
  <si>
    <t xml:space="preserve">QA0865</t>
  </si>
  <si>
    <t xml:space="preserve">Berapa persentase tenaga kerja formal di DIY pada Agustus 2023?</t>
  </si>
  <si>
    <t xml:space="preserve">46,22</t>
  </si>
  <si>
    <t xml:space="preserve">Tabel 6.3 Formal Aug 2023 = 46,22 (%); text only gives informal 53,78%.</t>
  </si>
  <si>
    <t xml:space="preserve">Value correct but found in Tabel 6.3, not text; answer lacks % unit.</t>
  </si>
  <si>
    <t xml:space="preserve">Persentase tenaga kerja formal di DIY pada Agustus 2023 sebesar 46,22%.</t>
  </si>
  <si>
    <t xml:space="preserve">QA0866</t>
  </si>
  <si>
    <t xml:space="preserve">Bagaimana peningkatan tenaga kerja formal di DIY pada Agustus 2023?</t>
  </si>
  <si>
    <t xml:space="preserve">Peningkatan tenaga kerja formal di DIY pada Agustus 2023 adalah 46,22% pada Agustus 2023.</t>
  </si>
  <si>
    <t xml:space="preserve">Text: tenaga kerja formal melanjutkan tren penurunan; Tabel 6.3 Formal 46,62 (Aug 2022) -&gt; 46,22 (Aug 2023), yoy -0,01.</t>
  </si>
  <si>
    <t xml:space="preserve">Formal employment share decreased (46,62% -&gt; 46,22%), so describing it as an increase is wrong. No chart on page.</t>
  </si>
  <si>
    <t xml:space="preserve">Bagaimana perkembangan tenaga kerja formal di DIY pada Agustus 2023?</t>
  </si>
  <si>
    <t xml:space="preserve">Tenaga kerja formal di DIY melanjutkan tren penurunan, dari 46,62% pada Agustus 2022 menjadi 46,22% pada Agustus 2023, terutama karena berkurangnya tenaga kerja berstatus Buruh/Karyawan/Pegawai.</t>
  </si>
  <si>
    <t xml:space="preserve">QA0867</t>
  </si>
  <si>
    <t xml:space="preserve">Berapa persentase tenaga kerja informal di DIY pada Agustus 2023?</t>
  </si>
  <si>
    <t xml:space="preserve">53,78%</t>
  </si>
  <si>
    <t xml:space="preserve">Text: persentase tenaga kerja informal 53,38% (Aug 2022) menjadi 53,78% (Aug 2023); Tabel 6.3 Informal 53,78.</t>
  </si>
  <si>
    <t xml:space="preserve">53,78% correct but stated directly in text; no chart or calculation.</t>
  </si>
  <si>
    <t xml:space="preserve">Persentase tenaga kerja informal di DIY pada Agustus 2023 sebesar 53,78%, naik dari 53,38% pada Agustus 2022.</t>
  </si>
  <si>
    <t xml:space="preserve">QA0868</t>
  </si>
  <si>
    <t xml:space="preserve">Berapa persentase TPT yang terjadi pada jenjang pendidikan Diploma, Universitas, SMP, dan SMK?</t>
  </si>
  <si>
    <t xml:space="preserve">3,93, 4,28, 3,97, 3,93, 3,92, dan 3,92</t>
  </si>
  <si>
    <t xml:space="preserve">Grafik 6.5 Aug 2023: DI/II/III 3,34; Universitas 4,28; SMP 3,79; SMK 4,49 (Aug 2022: 0,85; 3,41; 3,20; 4,37).</t>
  </si>
  <si>
    <t xml:space="preserve">Six values for four levels; only 4,28 (Universitas) is right. Values come from Grafik 6.5, not text; period missing.</t>
  </si>
  <si>
    <t xml:space="preserve">Berapa TPT DIY pada jenjang pendidikan Diploma, Universitas, SMP, dan SMK pada Agustus 2023?</t>
  </si>
  <si>
    <t xml:space="preserve">Pada Agustus 2023, TPT jenjang Diploma (DI/II/III) 3,34%, Universitas 4,28%, SMP 3,79%, dan SMK 4,49%, semuanya meningkat dibandingkan Agustus 2022.</t>
  </si>
  <si>
    <t xml:space="preserve">QA0869</t>
  </si>
  <si>
    <t xml:space="preserve">Berapakah perbedaan jumlah TPT di pedesaan pada Agustus 2023 dibandingkan dengan Agustus 2022?</t>
  </si>
  <si>
    <t xml:space="preserve">2,06%</t>
  </si>
  <si>
    <t xml:space="preserve">Grafik 6.4 &amp; text: TPT perdesaan Aug 2022 2,06%, Aug 2023 2,33%.</t>
  </si>
  <si>
    <t xml:space="preserve">Answer gives the Aug 2022 level instead of the difference: 2,33 - 2,06 = +0,27 percentage points. Task is a calculation, not extraction.</t>
  </si>
  <si>
    <t xml:space="preserve">Berapa perbedaan TPT di perdesaan pada Agustus 2023 dibandingkan Agustus 2022?</t>
  </si>
  <si>
    <t xml:space="preserve">TPT perdesaan naik 0,27 poin persen, dari 2,06% (Agustus 2022) menjadi 2,33% (Agustus 2023).</t>
  </si>
  <si>
    <t xml:space="preserve">QA0870</t>
  </si>
  <si>
    <t xml:space="preserve">Apakah terjadi penurunan TPT di perkotaan atau peningkatan?</t>
  </si>
  <si>
    <t xml:space="preserve">Penurunan</t>
  </si>
  <si>
    <t xml:space="preserve">Grafik 6.4 &amp; text: TPT perkotaan turun dari 4,78% (Aug 2022) menjadi 4,19% (Aug 2023).</t>
  </si>
  <si>
    <t xml:space="preserve">'Penurunan' is correct, but this is a trend question, not a calculation; period and values missing.</t>
  </si>
  <si>
    <t xml:space="preserve">Apakah TPT di perkotaan DIY pada Agustus 2023 menurun atau meningkat dibandingkan Agustus 2022?</t>
  </si>
  <si>
    <t xml:space="preserve">Menurun, dari 4,78% pada Agustus 2022 menjadi 4,19% pada Agustus 2023.</t>
  </si>
  <si>
    <t xml:space="preserve">QA0871</t>
  </si>
  <si>
    <t xml:space="preserve">Apakah pertumbuhan ekonomi Jawa Tengah pada triwulan IV 2025 sebesar 5,84% (yoy)?</t>
  </si>
  <si>
    <t xml:space="preserve">Text: Pertumbuhan ekonomi Jawa Tengah pada triwulan IV 2025 sebesar 5,84% (yoy).</t>
  </si>
  <si>
    <t xml:space="preserve">Correct yes answer.</t>
  </si>
  <si>
    <t xml:space="preserve">QA0872</t>
  </si>
  <si>
    <t xml:space="preserve">Apakah pertumbuhan ekonomi Jawa Tengah pada triwulan IV 2025 lebih tinggi dibandingkan dengan pertumbuhan ekonomi nasional sebesar 5,39% (yoy)?</t>
  </si>
  <si>
    <t xml:space="preserve">Text: 5,84% (yoy) lebih tinggi dibandingkan pertumbuhan ekonomi nasional sebesar 5,39% (yoy). Grafik 1.2 bars are unlabelled.</t>
  </si>
  <si>
    <t xml:space="preserve">Yes is correct, but the 5,39% figure and comparison come from text; chart bars have no values.</t>
  </si>
  <si>
    <t xml:space="preserve">Ya, pertumbuhan ekonomi Jawa Tengah triwulan IV 2025 sebesar 5,84% (yoy), lebih tinggi dari pertumbuhan nasional 5,39% (yoy).</t>
  </si>
  <si>
    <t xml:space="preserve">QA0873</t>
  </si>
  <si>
    <t xml:space="preserve">5,84%</t>
  </si>
  <si>
    <t xml:space="preserve">Format, Instruction-following</t>
  </si>
  <si>
    <t xml:space="preserve">Grafik 1.1 end label 5,84 (% yoy) for Tw IV 2025; text states 5,84% (yoy).</t>
  </si>
  <si>
    <t xml:space="preserve">Yes/no question answered with a bare number, and no calculation is involved (value read from Grafik 1.1 label).</t>
  </si>
  <si>
    <t xml:space="preserve">Ya, pertumbuhan ekonomi Jawa Tengah pada triwulan IV 2025 sebesar 5,84% (yoy).</t>
  </si>
  <si>
    <t xml:space="preserve">QA0874</t>
  </si>
  <si>
    <t xml:space="preserve">Apakah realisasi investasi tertinggi PMDN di Jawa Tengah pada triwulan IV 2025?</t>
  </si>
  <si>
    <t xml:space="preserve">Kabupaten Semarang</t>
  </si>
  <si>
    <t xml:space="preserve">Text: realisasi PMDN mayoritas ke Kota Semarang (Rp1,85 triliun), Kabupaten Semarang (Rp1,07 triliun), Cilacap (Rp0,64 T), Kendal, Batang.</t>
  </si>
  <si>
    <t xml:space="preserve">Highest PMDN realization is Kota Semarang, not Kabupaten Semarang (second). 'Apakah' misused for 'where'.</t>
  </si>
  <si>
    <t xml:space="preserve">Di manakah realisasi investasi PMDN tertinggi di Jawa Tengah pada triwulan IV 2025?</t>
  </si>
  <si>
    <t xml:space="preserve">Kota Semarang, dengan nilai investasi Rp1,85 triliun.</t>
  </si>
  <si>
    <t xml:space="preserve">QA0875</t>
  </si>
  <si>
    <t xml:space="preserve">Apakah penurunan permintaan akibat tarif impor Amerika Serikat menyebabkan penurunan ekspor sub sektor TPT?</t>
  </si>
  <si>
    <t xml:space="preserve">Ya, penurunan permintaan akibat tarif impor Amerika Serikat menyebabkan penurunan ekspor sub sektor TPT.</t>
  </si>
  <si>
    <t xml:space="preserve">Text: ekspor sub sektor TPT masih mengalami kontraksi karena ada penurunan permintaan akibat tarif impor Amerika Serikat.</t>
  </si>
  <si>
    <t xml:space="preserve">Answer correct, but the causal claim is stated in text, not derived from a chart.</t>
  </si>
  <si>
    <t xml:space="preserve">Ya, ekspor sub sektor TPT masih terkontraksi dibandingkan tahun sebelumnya karena penurunan permintaan akibat tarif impor Amerika Serikat.</t>
  </si>
  <si>
    <t xml:space="preserve">QA0876</t>
  </si>
  <si>
    <t xml:space="preserve">Apakah negara yang memiliki ekspor terbesar di Jawa Tengah pada triwulan IV 2025?</t>
  </si>
  <si>
    <t xml:space="preserve">Hongkong</t>
  </si>
  <si>
    <t xml:space="preserve">No export-by-destination-country data on page. Hongkong is cited only as the country with the highest investment realization (Rp12,92 triliun).</t>
  </si>
  <si>
    <t xml:space="preserve">Exports by country are not on the page; answer reuses the top investor country. Question not answerable from the page.</t>
  </si>
  <si>
    <t xml:space="preserve">QA0877</t>
  </si>
  <si>
    <t xml:space="preserve">Bagaimana tingkat pertumbuhan ekspor antardaerah di Jawa Tengah pada triwulan IV 2025?</t>
  </si>
  <si>
    <t xml:space="preserve">12,77% (yoy)</t>
  </si>
  <si>
    <t xml:space="preserve">Text: net ekspor antardaerah pada triwulan IV 2025 mengalami kontraksi sebesar 12,77% (yoy), lebih dalam dari triwulan sebelumnya (-10,71% yoy).</t>
  </si>
  <si>
    <t xml:space="preserve">12,77% is a contraction of net inter-regional exports, but the answer presents it as positive growth of 'ekspor antardaerah' without the negative direction.</t>
  </si>
  <si>
    <t xml:space="preserve">Bagaimana kinerja net ekspor antardaerah Jawa Tengah pada triwulan IV 2025?</t>
  </si>
  <si>
    <t xml:space="preserve">Net ekspor antardaerah terkontraksi sebesar 12,77% (yoy).</t>
  </si>
  <si>
    <t xml:space="preserve">QA0878</t>
  </si>
  <si>
    <t xml:space="preserve">Apakah penurunan impor bahan bakar di Jawa Tengah pada triwulan IV 2025?</t>
  </si>
  <si>
    <t xml:space="preserve">Ya, penurunan impor bahan bakar di Jawa Tengah pada triwulan IV 2025.</t>
  </si>
  <si>
    <t xml:space="preserve">Page mentions impor bahan baku 2025 tumbuh 7,09% (yoy) (slower than 17,38%), not fuel ('bahan bakar') imports, and no Tw IV 2025 import breakdown.</t>
  </si>
  <si>
    <t xml:space="preserve">Fuel imports in Q4 2025 are not on the page; the related raw-material imports still grew in 2025, so the premise is unsupported.</t>
  </si>
  <si>
    <t xml:space="preserve">QA0879</t>
  </si>
  <si>
    <t xml:space="preserve">Bagaimana tingkat pertumbuhan ekspor antardaerah di Jawa Tengah pada triwulan IV 2025 dibandingkan triwulan sebelumnya?</t>
  </si>
  <si>
    <t xml:space="preserve">Tingkat pertumbuhan ekspor antardaerah di Jawa Tengah pada triwulan IV 2025 lebih tinggi dibandingkan triwulan sebelumnya sebesar 12,77% (yoy).</t>
  </si>
  <si>
    <t xml:space="preserve">Text: net ekspor antardaerah Tw IV 2025 kontraksi 12,77% (yoy), lebih dalam dibandingkan triwulan sebelumnya yang terkontraksi 10,71% (yoy). Grafik 1.38 has no value labels.</t>
  </si>
  <si>
    <t xml:space="preserve">Wrong direction: it contracted more deeply (-12,77% vs -10,71%), not higher growth. Values come from text; the chart has no labels to compute from.</t>
  </si>
  <si>
    <t xml:space="preserve">Bagaimana kinerja net ekspor antardaerah Jawa Tengah pada triwulan IV 2025 dibandingkan triwulan sebelumnya?</t>
  </si>
  <si>
    <t xml:space="preserve">Lebih rendah; net ekspor antardaerah terkontraksi 12,77% (yoy), lebih dalam dibandingkan kontraksi triwulan sebelumnya sebesar 10,71% (yoy).</t>
  </si>
  <si>
    <t xml:space="preserve">QA0880</t>
  </si>
  <si>
    <t xml:space="preserve">Peningkatan luas tanam pada triwulan IV 2025 sejalan dengan peningkatan luas tanam padai panen raya komoditas hortikultura didukung oleh cuaca yang kondusif.</t>
  </si>
  <si>
    <t xml:space="preserve">Peningkatan luas tanam pada triwulan IV 2025 sejalan dengan peningkatan luas tanam pada panen raya komoditas hortikultura didukung oleh cuaca yang kondusif.</t>
  </si>
  <si>
    <t xml:space="preserve">Instruction-following, Typo/Grammar, Reasoning</t>
  </si>
  <si>
    <t xml:space="preserve">Text 1.1.2.1: Kinerja LU Pertanian meningkat pada Tw IV 2025 sejalan dengan peningkatan luas tanam padi dan panen raya komoditas hortikultura (cabai, bawang merah) didukung oleh cuaca yang kondusif.</t>
  </si>
  <si>
    <t xml:space="preserve">The 'question' is a statement copied from the text with typos ('padai'), and the answer just repeats it. It also garbles the claim (luas tanam 'sejalan dengan peningkatan luas tanam'). The content is on the page and fixable.</t>
  </si>
  <si>
    <t xml:space="preserve">Apa yang mendorong peningkatan kinerja LU Pertanian, Kehutanan, dan Perikanan Jawa Tengah pada triwulan IV 2025?</t>
  </si>
  <si>
    <t xml:space="preserve">Kinerja LU Pertanian, Kehutanan, dan Perikanan meningkat pada triwulan IV 2025 (tumbuh 4,06% yoy) sejalan dengan peningkatan luas tanam padi (naik 8,92% yoy menjadi 699,28 ribu Ha) dan panen raya komoditas hortikultura terutama cabai dan bawang merah, didukung oleh cuaca yang kondusif.</t>
  </si>
  <si>
    <t xml:space="preserve">QA0881</t>
  </si>
  <si>
    <t xml:space="preserve">Not a question: the text is copied with typos ('padai') and the answer repeats it, garbling the claim. The content is on the page (fixable). The source is text, not a chart.</t>
  </si>
  <si>
    <t xml:space="preserve">QA0882</t>
  </si>
  <si>
    <t xml:space="preserve">QA0883</t>
  </si>
  <si>
    <t xml:space="preserve">Peningkatan kinerja Perdagangan Jawa Tengah pada triwulan IV 2025</t>
  </si>
  <si>
    <t xml:space="preserve">Text: Kinerja LU Perdagangan tumbuh meningkat pada Tw IV 2025 sebesar 5,26% (yoy), lebih tinggi dari Tw III 2025 4,56% (yoy).</t>
  </si>
  <si>
    <t xml:space="preserve">Value correct but it is a text lookup, not a chart calculation; missing '(yoy)' and the query is not phrased as a question.</t>
  </si>
  <si>
    <t xml:space="preserve">Berapa pertumbuhan kinerja LU Perdagangan Jawa Tengah pada triwulan IV 2025?</t>
  </si>
  <si>
    <t xml:space="preserve">Kinerja LU Perdagangan Jawa Tengah pada triwulan IV 2025 tumbuh 5,26% (yoy), lebih tinggi dari triwulan III 2025 sebesar 4,56% (yoy).</t>
  </si>
  <si>
    <t xml:space="preserve">QA0884</t>
  </si>
  <si>
    <t xml:space="preserve">Peningkatan penjualan kendaraan bermotor pada triwulan IV 2025</t>
  </si>
  <si>
    <t xml:space="preserve">Tinggi</t>
  </si>
  <si>
    <t xml:space="preserve">Text: IPR kelompok bahan bakar kendaraan bermotor mengalami peningkatan penjualan tertinggi, dari 41,91 (Tw III 2025) menjadi 45,53 (Tw IV 2025).</t>
  </si>
  <si>
    <t xml:space="preserve">No vehicle sales figure on page; the related item is IPR for motor-vehicle fuel. 'Tinggi' is vague and gives no value.</t>
  </si>
  <si>
    <t xml:space="preserve">Bagaimana peningkatan penjualan kelompok bahan bakar kendaraan bermotor (IPR) pada triwulan IV 2025?</t>
  </si>
  <si>
    <t xml:space="preserve">IPR kelompok bahan bakar kendaraan bermotor mencatat peningkatan penjualan tertinggi, dari 41,91 pada triwulan III 2025 menjadi 45,53 pada triwulan IV 2025.</t>
  </si>
  <si>
    <t xml:space="preserve">QA0885</t>
  </si>
  <si>
    <t xml:space="preserve">Persentase pertumbuhan kredit kendaraan bermotor pada triwulan IV 2025</t>
  </si>
  <si>
    <t xml:space="preserve">Factual/Numerical, Reasoning, Incomplete, Instruction-following</t>
  </si>
  <si>
    <t xml:space="preserve">Text: KKB dan KMG pada triwulan laporan tercatat melambat. Grafik 1.50: KKB growth Tw IV 2025 approx. -14% to -15% (yoy).</t>
  </si>
  <si>
    <t xml:space="preserve">'Tinggi' is wrong and non-numeric: KKB slowed and contracted to roughly -14% yoy in Tw IV 2025 per Grafik 1.50.</t>
  </si>
  <si>
    <t xml:space="preserve">Pertumbuhan Kredit Kendaraan Bermotor (KKB) pada triwulan IV 2025 melambat dan terkontraksi sekitar -14% (yoy) berdasarkan Grafik 1.50.</t>
  </si>
  <si>
    <t xml:space="preserve">QA0886</t>
  </si>
  <si>
    <t xml:space="preserve">Apakah APBD Provinsi Jawa Tengah pada tahun 2025 menurun dibandingkan dengan tahun 2024?</t>
  </si>
  <si>
    <t xml:space="preserve">Text: APBD Provinsi Jawa Tengah tahun 2025 menurun dibandingkan 2024 baik dari sisi pendapatan maupun belanja.</t>
  </si>
  <si>
    <t xml:space="preserve">QA0887</t>
  </si>
  <si>
    <t xml:space="preserve">Berapakah penurunan pendapatan APBD Provinsi Jawa Tengah pada tahun 2025 dibandingkan dengan tahun 2024?</t>
  </si>
  <si>
    <t xml:space="preserve">Pendapatan APBD Provinsi Jawa Tengah pada tahun 2025 menurun sebesar 9,46% dibandingkan tahun 2024. Dalam tabel, penurunan ini terjadi pada komponen Pendapatan Asli Daerah (PAD), yang mencapai 15,57%.</t>
  </si>
  <si>
    <t xml:space="preserve">Grafik 2.1: pendapatan 27.231 -&gt; 24.655 (-9,46%); Tabel 2.1: PAD turun 15,57%.</t>
  </si>
  <si>
    <t xml:space="preserve">9,46% decline verified (24.655/27.231-1 = -9,46%); PAD -15,57% also correct.</t>
  </si>
  <si>
    <t xml:space="preserve">QA0888</t>
  </si>
  <si>
    <t xml:space="preserve">Berapakah total pendapatan APBD Provinsi Jawa Tengah pada tahun 2024?</t>
  </si>
  <si>
    <t xml:space="preserve">27,231 Miliar</t>
  </si>
  <si>
    <t xml:space="preserve">Grafik 2.1 / Tabel 2.1: Jumlah Pendapatan 2024 = 27.231 (Rp miliar), i.e. Rp27,23 triliun.</t>
  </si>
  <si>
    <t xml:space="preserve">Right figure, but '27,231 Miliar' with a decimal comma reads as Rp27 miliar in Indonesian notation; 'Rp' missing.</t>
  </si>
  <si>
    <t xml:space="preserve">Rp27.231 miliar (sekitar Rp27,23 triliun).</t>
  </si>
  <si>
    <t xml:space="preserve">QA0889</t>
  </si>
  <si>
    <t xml:space="preserve">Apakah perubahan besarnya belanja modal pada tahun 2025 dibandingkan tahun 2024?</t>
  </si>
  <si>
    <t xml:space="preserve">Terdapat peningkatan sebesar 12,43% pada tahun 2025 dibandingkan tahun 2024.</t>
  </si>
  <si>
    <t xml:space="preserve">Tabel 2.2: Belanja Modal 1.777 (2024) -&gt; 1.998 (2025) miliar, +221, 12,43%; also stated in text.</t>
  </si>
  <si>
    <t xml:space="preserve">Value correct, but 12,43% is read directly (table % column and text), no calculation performed.</t>
  </si>
  <si>
    <t xml:space="preserve">Belanja modal meningkat 12,43% (yoy), dari Rp1.777 miliar pada 2024 menjadi Rp1.998 miliar pada 2025.</t>
  </si>
  <si>
    <t xml:space="preserve">QA0890</t>
  </si>
  <si>
    <t xml:space="preserve">Apakah total belanja APBD Provinsi Jawa Tengah pada tahun 2025 menurun dibandingkan tahun 2024?</t>
  </si>
  <si>
    <t xml:space="preserve">Ya, total belanja APBD Provinsi Jawa Tengah pada tahun 2025 menurun dibandingkan tahun 2024 dengan penurunan sebesar 11,68%.</t>
  </si>
  <si>
    <t xml:space="preserve">Tabel 2.2: JUMLAH BELANJA 28.567 (2024) -&gt; 25.232 (2025) miliar, (3.335), -11,68%. Not stated in running text.</t>
  </si>
  <si>
    <t xml:space="preserve">Answer correct, but evidence is the table, not the text.</t>
  </si>
  <si>
    <t xml:space="preserve">Ya, total anggaran belanja APBD Provinsi Jawa Tengah turun dari Rp28.567 miliar pada 2024 menjadi Rp25.232 miliar pada 2025, atau turun 11,68%.</t>
  </si>
  <si>
    <t xml:space="preserve">QA0891</t>
  </si>
  <si>
    <t xml:space="preserve">Apakah belanja modal justru tumbuh positif pada tahun 2025?</t>
  </si>
  <si>
    <t xml:space="preserve">Ya, belanja modal justru tumbuh positif pada tahun 2025 dengan peningkatan sebesar 12,43%.</t>
  </si>
  <si>
    <t xml:space="preserve">Text: 'Belanja Modal justru tumbuh positif pada tahun 2025... meningkat sebesar 12,43% (yoy)'. Charts show realization of pendapatan/belanja only.</t>
  </si>
  <si>
    <t xml:space="preserve">Answer correct, but it comes from text/table, not a chart.</t>
  </si>
  <si>
    <t xml:space="preserve">Ya, belanja modal tumbuh positif sebesar 12,43% (yoy) pada 2025 di tengah kebijakan efisiensi anggaran.</t>
  </si>
  <si>
    <t xml:space="preserve">QA0892</t>
  </si>
  <si>
    <t xml:space="preserve">Apakah realisasi pendapatan APBD Provinsi Jawa Tengah pada triwulan IV 2025?</t>
  </si>
  <si>
    <t xml:space="preserve">Realisasi pendapatan APBD Provinsi Jawa Tengah pada triwulan IV 2025 mencapai 96,87% dari total anggaran.</t>
  </si>
  <si>
    <t xml:space="preserve">Tabel 2.3 Jumlah Pendapatan %Realisasi: 96,87% (IV 2024), 96,38% (IV 2025). Not stated in running text.</t>
  </si>
  <si>
    <t xml:space="preserve">96,87% is the IV 2024 ratio; IV 2025 is 96,38%. Source is the table, not text; 'Apakah' should be 'Berapa'.</t>
  </si>
  <si>
    <t xml:space="preserve">Berapa persentase realisasi pendapatan APBD Provinsi Jawa Tengah pada triwulan IV 2025?</t>
  </si>
  <si>
    <t xml:space="preserve">Realisasi pendapatan APBD Provinsi Jawa Tengah pada triwulan IV 2025 mencapai 96,38% dari anggaran (Rp23.761,97 miliar), sedikit lebih rendah dari 96,87% pada triwulan IV 2024.</t>
  </si>
  <si>
    <t xml:space="preserve">QA0893</t>
  </si>
  <si>
    <t xml:space="preserve">Berapa persentase realisasi pendapatan APBD Provinsi Jawa Tengah pada triwulan IV 2025 terhadap triwulan IV 2024?</t>
  </si>
  <si>
    <t xml:space="preserve">Persentase realisasi pendapatan APBD Provinsi Jawa Tengah pada triwulan IV 2025 terhadap triwulan IV 2024 adalah 96,38%.</t>
  </si>
  <si>
    <t xml:space="preserve">Tabel 2.3: Jumlah Pendapatan 26.738,72 (IV 2024) vs 23.761,97 (IV 2025) -&gt; 88,87% of 2024, i.e. -9,92% nominal growth; 96,38% is realization vs anggaran in IV 2025.</t>
  </si>
  <si>
    <t xml:space="preserve">96,38% is realization against budget, not IV 2025 relative to IV 2024 (88,87%, or -9,92% growth). Source is a table, not a chart.</t>
  </si>
  <si>
    <t xml:space="preserve">Realisasi pendapatan triwulan IV 2025 (Rp23.761,97 miliar) setara sekitar 88,87% dari triwulan IV 2024 (Rp26.738,72 miliar), atau turun 9,92%.</t>
  </si>
  <si>
    <t xml:space="preserve">QA0894</t>
  </si>
  <si>
    <t xml:space="preserve">Apakah ada penurunan realisasi pada triwulan IV 2025?</t>
  </si>
  <si>
    <t xml:space="preserve">Ya, terdapat penurunan realisasi pada triwulan IV 2025 sebesar 9,92%.</t>
  </si>
  <si>
    <t xml:space="preserve">Tabel 2.3: Jumlah Pendapatan pertumbuhan nominal realisasi -9,92% (IV 2025 vs IV 2024).</t>
  </si>
  <si>
    <t xml:space="preserve">Answer is correct for revenue, but the question does not say which realization (revenue vs spending, which fell 12,19%), and the value is read from a table, not a chart calculation.</t>
  </si>
  <si>
    <t xml:space="preserve">Apakah ada penurunan realisasi pendapatan APBD Jawa Tengah pada triwulan IV 2025 dibandingkan triwulan IV 2024?</t>
  </si>
  <si>
    <t xml:space="preserve">Ya, realisasi jumlah pendapatan turun 9,92%, dari Rp26.738,72 miliar menjadi Rp23.761,97 miliar.</t>
  </si>
  <si>
    <t xml:space="preserve">QA0895</t>
  </si>
  <si>
    <t xml:space="preserve">Apakah tingkat inflasi di Provinsi Jawa Tengah pada triwulan IV 2025?</t>
  </si>
  <si>
    <t xml:space="preserve">2,72%</t>
  </si>
  <si>
    <t xml:space="preserve">Text: inflasi Provinsi Jawa Tengah Tw IV 2025 sebesar 2,72% (yoy).</t>
  </si>
  <si>
    <t xml:space="preserve">Value correct; question uses 'Apakah' for a 'berapa' question and answer omits yoy.</t>
  </si>
  <si>
    <t xml:space="preserve">Berapakah tingkat inflasi di Provinsi Jawa Tengah pada triwulan IV 2025?</t>
  </si>
  <si>
    <t xml:space="preserve">2,72% (yoy).</t>
  </si>
  <si>
    <t xml:space="preserve">QA0896</t>
  </si>
  <si>
    <t xml:space="preserve">Berapakah tingkat inflasi di Indonesia pada triwulan IV 2025?</t>
  </si>
  <si>
    <t xml:space="preserve">2,65%</t>
  </si>
  <si>
    <t xml:space="preserve">Text: inflasi nasional meningkat menjadi 2,92% (yoy) dari 2,65% (yoy).</t>
  </si>
  <si>
    <t xml:space="preserve">2,65% is the national rate of the previous quarter; Tw IV 2025 is 2,92%. Value from text, chart unlabeled.</t>
  </si>
  <si>
    <t xml:space="preserve">Inflasi nasional pada triwulan IV 2025 sebesar 2,92% (yoy), meningkat dari 2,65% (yoy) pada triwulan sebelumnya.</t>
  </si>
  <si>
    <t xml:space="preserve">QA0897</t>
  </si>
  <si>
    <t xml:space="preserve">Berapakah tingkat inflasi di Jawa Tengah pada triwulan IV 2025?</t>
  </si>
  <si>
    <t xml:space="preserve">Text: inflasi Jawa Tengah Tw IV 2025 sebesar 2,72% (yoy).</t>
  </si>
  <si>
    <t xml:space="preserve">Correct value, but it is stated in text; no calculation.</t>
  </si>
  <si>
    <t xml:space="preserve">Inflasi Jawa Tengah pada triwulan IV 2025 sebesar 2,72% (yoy).</t>
  </si>
  <si>
    <t xml:space="preserve">QA0898</t>
  </si>
  <si>
    <t xml:space="preserve">Apakah peningkatan inflasi di Provinsi Jawa Tengah terjadi pada periode tertentu?</t>
  </si>
  <si>
    <t xml:space="preserve">Tingkat inflasi di Provinsi Jawa Tengah terjadi secara bertahap pada periode yang berbeda, mulai dari triwulan IV 2022 hingga triwulan IV 2025.</t>
  </si>
  <si>
    <t xml:space="preserve">Grafik 3.4 andil Perawatan Pribadi: ~0,44 (Tw IV-22) turun ke ~0,18 (Tw IV-23), lalu naik bertahap hingga ~0,76 (Tw IV-25). Grafik 3.5 transport peak ~2,0 in Tw III-IV 2022.</t>
  </si>
  <si>
    <t xml:space="preserve">Question is vague; answer claims a gradual rise from Tw IV 2022 to Tw IV 2025, but charts show declines in 2023 and a steady rise only from 2024. Trend question fits Chart-Time-Sensitive.</t>
  </si>
  <si>
    <t xml:space="preserve">Bagaimana perkembangan andil inflasi tahunan Kelompok Perawatan Pribadi dan Jasa Lainnya di Jawa Tengah pada periode 2022-2025?</t>
  </si>
  <si>
    <t xml:space="preserve">Andil inflasi kelompok ini turun dari sekitar 0,44% pada triwulan IV 2022 menjadi sekitar 0,18% pada akhir 2023, kemudian meningkat bertahap sejak 2024 hingga mencapai sekitar 0,76% pada triwulan IV 2025, terutama didorong subkelompok perawatan pribadi lainnya (emas perhiasan).</t>
  </si>
  <si>
    <t xml:space="preserve">QA0899</t>
  </si>
  <si>
    <t xml:space="preserve">Berapa persentase peningkatan inflasi di Kelompok Perawatan Pribadi pada triwulan IV 2025?</t>
  </si>
  <si>
    <t xml:space="preserve">Peningkatan inflasi di Kelompok Perawatan Pribadi pada triwulan IV 2025 mencapai 12,04% (yoy).</t>
  </si>
  <si>
    <t xml:space="preserve">Text: inflasi Kelompok Perawatan Pribadi dan Jasa Lainnya Tw IV 2025 sebesar 12,04% (yoy), naik dari 8,73% (yoy).</t>
  </si>
  <si>
    <t xml:space="preserve">Value, period and unit match the text.</t>
  </si>
  <si>
    <t xml:space="preserve">QA0900</t>
  </si>
  <si>
    <t xml:space="preserve">Apakah peningkatan inflasi di Kelompok Transportasi terjadi secara bertahap?</t>
  </si>
  <si>
    <t xml:space="preserve">Tingkat inflasi di Kelompok Transportasi pada triwulan IV 2025 mencapai 1,40% (yoy), lebih tinggi dibandingkan inflasi sebelumnya sebesar 0,97% (yoy).</t>
  </si>
  <si>
    <t xml:space="preserve">Text: inflasi Transportasi Tw IV 2025 1,40% (yoy) vs 0,97% sebelumnya. Grafik 3.5: andil spiked to ~2,0 in Tw III-IV 2022, fell sharply from Tw III 2023, low (~0,1-0,2) through 2025.</t>
  </si>
  <si>
    <t xml:space="preserve">Numbers are correct but answer does not address whether the rise is gradual; chart shows abrupt 2022 spike and only a slight uptick in Tw IV 2025. No calculation involved.</t>
  </si>
  <si>
    <t xml:space="preserve">Tidak sepenuhnya bertahap. Andil inflasi Transportasi melonjak tajam pada triwulan III-IV 2022 (sekitar 2,0%), turun drastis sejak triwulan III 2023, dan relatif rendah sepanjang 2024-2025. Pada triwulan IV 2025 inflasi kelompok ini naik tipis menjadi 1,40% (yoy) dari 0,97% (yoy) pada triwulan sebelumnya.</t>
  </si>
  <si>
    <t xml:space="preserve">QA0901</t>
  </si>
  <si>
    <t xml:space="preserve">Apakah kinerja perbankan Jawa Tengah pada triwulan IV 2025 menurun?</t>
  </si>
  <si>
    <t xml:space="preserve">Text 4.1: kinerja perbankan Jawa Tengah pada triwulan IV 2025 relatif menurun (LDR 88,34% vs 88,54%; NPL 4,26% vs 3,35%).</t>
  </si>
  <si>
    <t xml:space="preserve">'Menurun' is correct per text.</t>
  </si>
  <si>
    <t xml:space="preserve">QA0902</t>
  </si>
  <si>
    <t xml:space="preserve">Berdasarkan lokasi bank, kinerja perbankan Jawa Tengah pada triwulan IV 2025 terbesar di mana?</t>
  </si>
  <si>
    <t xml:space="preserve">Jawa Barat</t>
  </si>
  <si>
    <t xml:space="preserve">Grafik 4.3/text: pangsa kredit Pulau Jawa DKI Jakarta 70,79%, Jawa Barat 9,78%, Jawa Timur 9,28%, Jawa Tengah 5,88% (ke-4).</t>
  </si>
  <si>
    <t xml:space="preserve">Question is garbled ('berdasarkan lokasi bank' is methodology). Largest credit share in Java is DKI Jakarta (70,79%), not Jawa Barat (9,78%). Reading shares is extraction, not calculation.</t>
  </si>
  <si>
    <t xml:space="preserve">Provinsi mana yang memiliki pangsa penyaluran kredit perbankan terbesar di Pulau Jawa pada triwulan IV 2025?</t>
  </si>
  <si>
    <t xml:space="preserve">DKI Jakarta dengan pangsa 70,79%, diikuti Jawa Barat (9,78%), Jawa Timur (9,28%), dan Jawa Tengah (5,88%).</t>
  </si>
  <si>
    <t xml:space="preserve">QA0903</t>
  </si>
  <si>
    <t xml:space="preserve">Kinerja perbankan Jawa Tengah pada triwulan IV 2025 berbanding dengan triwulan sebelumnya?</t>
  </si>
  <si>
    <t xml:space="preserve">Text 4.1: kinerja relatif menurun; LDR 88,34% (Tw IV) vs 88,54% (Tw III); NPL 3,35% -&gt; 4,26%. Grafik 4.1 lines unlabeled.</t>
  </si>
  <si>
    <t xml:space="preserve">'Menurun' is correct, but the conclusion and figures come from text, not a labelled chart; answer gives no supporting indicators.</t>
  </si>
  <si>
    <t xml:space="preserve">Bagaimana kinerja perbankan Jawa Tengah pada triwulan IV 2025 dibandingkan triwulan sebelumnya?</t>
  </si>
  <si>
    <t xml:space="preserve">Menurun; LDR turun dari 88,54% menjadi 88,34% dan NPL naik dari 3,35% menjadi 4,26%.</t>
  </si>
  <si>
    <t xml:space="preserve">QA0904</t>
  </si>
  <si>
    <t xml:space="preserve">Apakah Kabupaten/Kota Utama di Jawa Tengah yang memiliki tingkat penghimpunan DPK tertinggi?</t>
  </si>
  <si>
    <t xml:space="preserve">Kota Semarang</t>
  </si>
  <si>
    <t xml:space="preserve">Text 4.2.2: penghimpunan DPK Tw IV 2025 terpusat di Kota Semarang (pangsa 31,43%).</t>
  </si>
  <si>
    <t xml:space="preserve">Kota Semarang is correct; wording awkward ('Apakah' for 'Manakah') but understandable.</t>
  </si>
  <si>
    <t xml:space="preserve">QA0905</t>
  </si>
  <si>
    <t xml:space="preserve">Berapa persentase penghimpunan DPK di Kabupaten/Kota Semarang pada triwulan IV 2025?</t>
  </si>
  <si>
    <t xml:space="preserve">31,43%</t>
  </si>
  <si>
    <t xml:space="preserve">Grafik 4.19: Kota Semarang 31,43% (Tw IV 2025). Kab. Semarang is a separate entity (Grafik 4.20).</t>
  </si>
  <si>
    <t xml:space="preserve">Value correct for Kota Semarang, but 'Kabupaten/Kota Semarang' is ambiguous since Kabupaten Semarang is a different region.</t>
  </si>
  <si>
    <t xml:space="preserve">Berapa pangsa penghimpunan DPK Kota Semarang pada triwulan IV 2025?</t>
  </si>
  <si>
    <t xml:space="preserve">31,43%.</t>
  </si>
  <si>
    <t xml:space="preserve">QA0906</t>
  </si>
  <si>
    <t xml:space="preserve">Berapa persentase penghimpunan DPK di Kabupaten/Kota Banyumas pada triwulan IV 2025?</t>
  </si>
  <si>
    <t xml:space="preserve">5,68%</t>
  </si>
  <si>
    <t xml:space="preserve">Grafik 4.19/text: Kabupaten Banyumas pangsa 4,54%; 5,68% is its DPK growth (yoy) in Tw IV 2025.</t>
  </si>
  <si>
    <t xml:space="preserve">5,68% is growth, not share; Banyumas share is 4,54%. No calculation needed.</t>
  </si>
  <si>
    <t xml:space="preserve">Berapa pangsa penghimpunan DPK Kabupaten Banyumas pada triwulan IV 2025?</t>
  </si>
  <si>
    <t xml:space="preserve">4,54% (pertumbuhan DPK-nya 5,68% yoy).</t>
  </si>
  <si>
    <t xml:space="preserve">QA0907</t>
  </si>
  <si>
    <t xml:space="preserve">Berapa persentase pertumbuhan kredit UMKM di Jawa Tengah pada triwulan IV 2025?</t>
  </si>
  <si>
    <t xml:space="preserve">8,80%</t>
  </si>
  <si>
    <t xml:space="preserve">8,80% (yoy) is growth of kredit investasi UMKM Tw IV 2025 (text). Grafik 4.34 Total UMKM credit growth Tw IV 2025 is slightly negative (~ -2% yoy).</t>
  </si>
  <si>
    <t xml:space="preserve">Misattributed: 8,80% is UMKM investment-credit growth, not total UMKM credit growth, which is around -2% yoy on Grafik 4.34. Single value, not a trend.</t>
  </si>
  <si>
    <t xml:space="preserve">Berapa persentase pertumbuhan kredit investasi UMKM di Jawa Tengah pada triwulan IV 2025?</t>
  </si>
  <si>
    <t xml:space="preserve">Kredit investasi UMKM tumbuh 8,80% (yoy) pada triwulan IV 2025, naik dari 3,34% (yoy) pada triwulan III 2025.</t>
  </si>
  <si>
    <t xml:space="preserve">QA0908</t>
  </si>
  <si>
    <t xml:space="preserve">Berapa rasio NPL kredit UMKM di Jawa Tengah pada triwulan IV 2025?</t>
  </si>
  <si>
    <t xml:space="preserve">Rasio NPL kredit UMKM di Jawa Tengah pada triwulan IV 2025 tercatat stabil dan masih dalam batas aman yaitu 4,21% (di bawah 5%).</t>
  </si>
  <si>
    <t xml:space="preserve">Text: rasio NPL kredit UMKM di Jawa Tengah pada Tw IV 2025 tercatat stabil dan masih dalam batas aman yaitu 4,21% (di bawah 5%). (Another paragraph cites 4,53%.)</t>
  </si>
  <si>
    <t xml:space="preserve">Answer matches the text verbatim; note the page elsewhere gives 4,53%, an internal inconsistency of the source.</t>
  </si>
  <si>
    <t xml:space="preserve">QA0909</t>
  </si>
  <si>
    <t xml:space="preserve">Berapa persentase kredit UMKM yang disalurkan kepada sektor perdagangan besar dan eceran pada triwulan III 2025?</t>
  </si>
  <si>
    <t xml:space="preserve">52,38% dari total kredit UMKM</t>
  </si>
  <si>
    <t xml:space="preserve">Text (Tw IV 2025 report context): mayoritas kredit UMKM disalurkan ke perdagangan besar dan eceran (pangsa 52,38%). Grafik 4.33 has no data labels.</t>
  </si>
  <si>
    <t xml:space="preserve">52,38% is the share in the reporting quarter (Tw IV 2025), not Tw III 2025; exact value is from text, not the chart.</t>
  </si>
  <si>
    <t xml:space="preserve">Berapa persentase kredit UMKM yang disalurkan kepada sektor perdagangan besar dan eceran pada triwulan IV 2025?</t>
  </si>
  <si>
    <t xml:space="preserve">52,38% dari total kredit UMKM.</t>
  </si>
  <si>
    <t xml:space="preserve">QA0910</t>
  </si>
  <si>
    <t xml:space="preserve">Apakah indeks ketersebaran lapangan kerja pada triwulan IV 2025 berada pada level 95,78?</t>
  </si>
  <si>
    <t xml:space="preserve">Ya, indeks ketersebaran lapangan kerja pada triwulan IV 2025 berada pada level 95,78.</t>
  </si>
  <si>
    <t xml:space="preserve">Text: indeks ketersediaan lapangan kerja pada triwulan IV 2025 berada pada level 95,78. Grafik 6.1 lines are unlabeled.</t>
  </si>
  <si>
    <t xml:space="preserve">Answer correct, but 'ketersebaran' is a typo for 'ketersediaan' and the value is stated in text, not readable from the chart.</t>
  </si>
  <si>
    <t xml:space="preserve">Apakah indeks ketersediaan lapangan kerja pada triwulan IV 2025 berada pada level 95,78?</t>
  </si>
  <si>
    <t xml:space="preserve">Ya, indeks ketersediaan lapangan kerja pada triwulan IV 2025 berada pada level 95,78.</t>
  </si>
  <si>
    <t xml:space="preserve">QA0911</t>
  </si>
  <si>
    <t xml:space="preserve">Berapakah indeks yang diterima petani pada triwulan IV 2025?</t>
  </si>
  <si>
    <t xml:space="preserve">Indeks yang diterima petani pada triwulan IV 2025 adalah 142,40.</t>
  </si>
  <si>
    <t xml:space="preserve">Tabel 6.6: It Mar 2025 142,40; Sep 2025 147,99; Des 2025 150,96.</t>
  </si>
  <si>
    <t xml:space="preserve">142,40 is March 2025 (Tw I); Tw IV (Des 2025) value is 150,96. Pure table lookup, no calculation (table label kept).</t>
  </si>
  <si>
    <t xml:space="preserve">Indeks yang diterima petani pada triwulan IV 2025 (Desember) adalah 150,96.</t>
  </si>
  <si>
    <t xml:space="preserve">QA0912</t>
  </si>
  <si>
    <t xml:space="preserve">Apakah kenaikan indeks yang diterima petani pada triwulan IV 2025 sebesar 0,62%?</t>
  </si>
  <si>
    <t xml:space="preserve">Ya, kenaikan indeks yang diterima petani pada triwulan IV 2025 sebesar 0,62%.</t>
  </si>
  <si>
    <t xml:space="preserve">Text: It dan Ib meningkat masing-masing 2,01% dan 1,37%; 0,62% is NTP increase. Tabel 6.6: It 147,99 -&gt; 150,96.</t>
  </si>
  <si>
    <t xml:space="preserve">0,62% is the NTP increase; the index received by farmers rose 2,01%, so the answer 'Ya' is wrong.</t>
  </si>
  <si>
    <t xml:space="preserve">Tidak, indeks yang diterima petani naik 2,01% (dari 147,99 menjadi 150,96); kenaikan 0,62% adalah kenaikan NTP.</t>
  </si>
  <si>
    <t xml:space="preserve">QA0913</t>
  </si>
  <si>
    <t xml:space="preserve">Apa posisi M2 pada Desember 2024?</t>
  </si>
  <si>
    <t xml:space="preserve">Rp9,210,8 triliun</t>
  </si>
  <si>
    <t xml:space="preserve">Text &amp; Tabel 1: posisi M2 Desember 2024 Rp9.210,8 triliun.</t>
  </si>
  <si>
    <t xml:space="preserve">The value is correct, but the number is written with mixed separators ('Rp9,210,8') and given bare.</t>
  </si>
  <si>
    <t xml:space="preserve">Posisi M2 pada Desember 2024 tercatat sebesar Rp9.210,8 triliun.</t>
  </si>
  <si>
    <t xml:space="preserve">QA0914</t>
  </si>
  <si>
    <t xml:space="preserve">Apa pertumbuhan M2 pada Desember 2024?</t>
  </si>
  <si>
    <t xml:space="preserve">4,4% (yoy)</t>
  </si>
  <si>
    <t xml:space="preserve">Grafik 1: M2 growth line ends ~4-5% in Dec 2024; text: M2 tumbuh 4,4% (yoy).</t>
  </si>
  <si>
    <t xml:space="preserve">Correct; consistent with the chart and the text.</t>
  </si>
  <si>
    <t xml:space="preserve">QA0915</t>
  </si>
  <si>
    <t xml:space="preserve">Apa perhitungan M1 pada Desember 2024?</t>
  </si>
  <si>
    <t xml:space="preserve">Rp5,223,9 triliun atau 5,8% (yoy)</t>
  </si>
  <si>
    <t xml:space="preserve">Text/Tabel 1: M1 Desember 2024 Rp5.223,9 triliun, tumbuh 5,8% (yoy), pangsa 56,7% dari M2.</t>
  </si>
  <si>
    <t xml:space="preserve">The values are correct, but 'perhitungan M1' is odd wording, there is no chart calculation (text/table lookup), and the number formatting is mixed.</t>
  </si>
  <si>
    <t xml:space="preserve">Berapa posisi dan pertumbuhan M1 pada Desember 2024?</t>
  </si>
  <si>
    <t xml:space="preserve">M1 pada Desember 2024 tercatat sebesar Rp5.223,9 triliun atau tumbuh 5,8% (yoy).</t>
  </si>
  <si>
    <t xml:space="preserve">QA0916</t>
  </si>
  <si>
    <t xml:space="preserve">Apakah pertumbuhan uang beredar positif pada Februari 2026?</t>
  </si>
  <si>
    <t xml:space="preserve">Ya, pertumbuhan uang beredar positif pada Februari 2026.</t>
  </si>
  <si>
    <t xml:space="preserve">Text: Uang Beredar Tumbuh Positif pada Februari 2026; M2 tumbuh 8,7% (yoy).</t>
  </si>
  <si>
    <t xml:space="preserve">Verified in heading and text.</t>
  </si>
  <si>
    <t xml:space="preserve">QA0917</t>
  </si>
  <si>
    <t xml:space="preserve">Berapakah pertumbuhan uang beredar (M2) pada Februari 2026?</t>
  </si>
  <si>
    <t xml:space="preserve">Pertumbuhan uang beredar (M2) pada Februari 2026 sebesar 8,7% (yoy).</t>
  </si>
  <si>
    <t xml:space="preserve">Text &amp; Tabel 1: M2 Feb 2026 tumbuh 8,7% (yoy).</t>
  </si>
  <si>
    <t xml:space="preserve">Value correct but no chart on the page; stated in text.</t>
  </si>
  <si>
    <t xml:space="preserve">QA0918</t>
  </si>
  <si>
    <t xml:space="preserve">Berapa jumlah uang beredar (M2) pada Februari 2026?</t>
  </si>
  <si>
    <t xml:space="preserve">Jumlah uang beredar (M2) pada Februari 2026 sebesar Rp10.089,9 triliun.</t>
  </si>
  <si>
    <t xml:space="preserve">Text &amp; Tabel 1: posisi M2 Februari 2026 Rp10.089,9 triliun.</t>
  </si>
  <si>
    <t xml:space="preserve">Value correct but it is a direct text lookup; no chart or calculation.</t>
  </si>
  <si>
    <t xml:space="preserve">QA0919</t>
  </si>
  <si>
    <t xml:space="preserve">Apakah pertumbuhan uang beredar M2 pada Februari 2026?</t>
  </si>
  <si>
    <t xml:space="preserve">M2 tumbuh sebesar 8,7% pada Februari 2026.</t>
  </si>
  <si>
    <t xml:space="preserve">Text: posisi M2 Februari 2026 Rp10.089,9 triliun atau tumbuh sebesar 8,7% (yoy).</t>
  </si>
  <si>
    <t xml:space="preserve">Value correct but the (yoy) basis is omitted.</t>
  </si>
  <si>
    <t xml:space="preserve">Berapa pertumbuhan uang beredar M2 pada Februari 2026?</t>
  </si>
  <si>
    <t xml:space="preserve">M2 tumbuh sebesar 8,7% (yoy) pada Februari 2026.</t>
  </si>
  <si>
    <t xml:space="preserve">QA0920</t>
  </si>
  <si>
    <t xml:space="preserve">Berapa jumlah uang beredar M2 pada Februari 2026?</t>
  </si>
  <si>
    <t xml:space="preserve">10.089,9 triliun</t>
  </si>
  <si>
    <t xml:space="preserve">Text &amp; Tabel 1: posisi M2 Februari 2026 Rp10.089,9 triliun. No chart on page.</t>
  </si>
  <si>
    <t xml:space="preserve">Value correct but 'Rp' missing and source is text/table, not a chart.</t>
  </si>
  <si>
    <t xml:space="preserve">Rp10.089,9 triliun.</t>
  </si>
  <si>
    <t xml:space="preserve">QA0921</t>
  </si>
  <si>
    <t xml:space="preserve">Apakah pertumbuhan uang beredar M1 pada Februari 2026?</t>
  </si>
  <si>
    <t xml:space="preserve">M1 tumbuh sebesar 14,9% pada Februari 2026.</t>
  </si>
  <si>
    <t xml:space="preserve">Temporal, Factual/Numerical, Instruction-following, Unit</t>
  </si>
  <si>
    <t xml:space="preserve">Text &amp; Tabel 1: M1 tumbuh 14,4% (yoy) Feb 2026, setelah 14,9% (yoy) Jan 2026.</t>
  </si>
  <si>
    <t xml:space="preserve">14,9% is January's M1 growth; February is 14,4% (yoy). No chart or calculation.</t>
  </si>
  <si>
    <t xml:space="preserve">Berapa pertumbuhan uang beredar M1 pada Februari 2026?</t>
  </si>
  <si>
    <t xml:space="preserve">M1 tumbuh sebesar 14,4% (yoy) pada Februari 2026, setelah 14,9% (yoy) pada Januari 2026.</t>
  </si>
  <si>
    <t xml:space="preserve">QA0922</t>
  </si>
  <si>
    <t xml:space="preserve">Pendapatan terbesar dari DPJ dalam tabel 3?</t>
  </si>
  <si>
    <t xml:space="preserve">Rupiah</t>
  </si>
  <si>
    <t xml:space="preserve">Typo/Grammar, Instruction-following, Incomplete</t>
  </si>
  <si>
    <t xml:space="preserve">Tabel 3 (Feb 2026): Rupiah Rp8.082,0 T vs Valas Rp1.367,2 T.</t>
  </si>
  <si>
    <t xml:space="preserve">Rupiah is correct, but question is garbled ('Pendapatan', 'DPJ'), no value given, and it is a comparison, not a calculation.</t>
  </si>
  <si>
    <t xml:space="preserve">Berdasarkan Tabel 3, valuta apa yang memiliki penghimpunan DPK terbesar pada Februari 2026?</t>
  </si>
  <si>
    <t xml:space="preserve">Rupiah, sebesar Rp8.082,0 triliun, jauh di atas valas Rp1.367,2 triliun.</t>
  </si>
  <si>
    <t xml:space="preserve">QA0923</t>
  </si>
  <si>
    <t xml:space="preserve">Jumlah total DPJ pada Februari 2026?</t>
  </si>
  <si>
    <t xml:space="preserve">Rp9,449,1 triliun</t>
  </si>
  <si>
    <t xml:space="preserve">Text: DPK Februari 2026 tercatat Rp9.449,1 triliun.</t>
  </si>
  <si>
    <t xml:space="preserve">Value correct but question uses wrong acronym 'DPJ' instead of DPK.</t>
  </si>
  <si>
    <t xml:space="preserve">Berapa jumlah total DPK pada Februari 2026?</t>
  </si>
  <si>
    <t xml:space="preserve">Rp9.449,1 triliun.</t>
  </si>
  <si>
    <t xml:space="preserve">QA0924</t>
  </si>
  <si>
    <t xml:space="preserve">Tingkat pertumbuhan DPJ pada Februari 2026?</t>
  </si>
  <si>
    <t xml:space="preserve">9,2%</t>
  </si>
  <si>
    <t xml:space="preserve">Instruction-following, Typo/Grammar, Unit</t>
  </si>
  <si>
    <t xml:space="preserve">Text/Tabel 3: DPK tumbuh 9,2% (yoy) pada Februari 2026. Grafik 3 not precise enough to read this value.</t>
  </si>
  <si>
    <t xml:space="preserve">9,2% is correct but comes from text/table, 'DPJ' typo, and yoy missing.</t>
  </si>
  <si>
    <t xml:space="preserve">Berapa tingkat pertumbuhan DPK pada Februari 2026?</t>
  </si>
  <si>
    <t xml:space="preserve">9,2% (yoy).</t>
  </si>
  <si>
    <t xml:space="preserve">QA0925</t>
  </si>
  <si>
    <t xml:space="preserve">Apakah pertumbuhan M2 pada Januari 2026 lebih tinggi dibandingkan Desember 2025?</t>
  </si>
  <si>
    <t xml:space="preserve">Ya, pertumbuhan M2 pada Januari 2026 lebih tinggi dibandingkan Desember 2025.</t>
  </si>
  <si>
    <t xml:space="preserve">Text: M2 Jan 2026 tumbuh 10,0% (yoy), lebih tinggi dibandingkan Des 2025 sebesar 9,6% (yoy).</t>
  </si>
  <si>
    <t xml:space="preserve">Correct comparison supported by text.</t>
  </si>
  <si>
    <t xml:space="preserve">QA0926</t>
  </si>
  <si>
    <t xml:space="preserve">Berdasarkan komponen, seperti M1 dan M2, apa yang mempengaruhi pertumbuhan M2 pada Januari 2026?</t>
  </si>
  <si>
    <t xml:space="preserve">Pertumbuhan M2 pada Januari 2026 didorong oleh pertumbuhan uang beredar sempit (M1) sebesar 14,9% (yoy) dan uang kuasi sebesar 5,4% (yoy).</t>
  </si>
  <si>
    <t xml:space="preserve">Text: perkembangan M2 didorong pertumbuhan M1 14,9% (yoy) dan uang kuasi 5,4% (yoy). No chart on page.</t>
  </si>
  <si>
    <t xml:space="preserve">Answer correct, but evidence is text (no chart); question wording 'seperti M1 dan M2' is confused.</t>
  </si>
  <si>
    <t xml:space="preserve">Berdasarkan komponennya, apa yang mendorong pertumbuhan M2 pada Januari 2026?</t>
  </si>
  <si>
    <t xml:space="preserve">QA0927</t>
  </si>
  <si>
    <t xml:space="preserve">Apakah M1 dengan pangsa sebesar 58,5% dari M2 pada Januari 2026?</t>
  </si>
  <si>
    <t xml:space="preserve">Ya, M1 dengan pangsa sebesar 58,5% dari M2 pada Januari 2026.</t>
  </si>
  <si>
    <t xml:space="preserve">Text: M1 dengan pangsa 58,5% dari M2 pada Januari 2026 (Rp5.923,3 T / Rp10.117,8 T = 58,5%).</t>
  </si>
  <si>
    <t xml:space="preserve">Answer correct, but the share is stated directly in text; no chart and no calculation required.</t>
  </si>
  <si>
    <t xml:space="preserve">Ya, M1 memiliki pangsa 58,5% dari M2 pada Januari 2026, tercatat Rp5.923,3 triliun.</t>
  </si>
  <si>
    <t xml:space="preserve">QA0928</t>
  </si>
  <si>
    <t xml:space="preserve">Apakah pertumbuhan uang beredar (M2) pada Maret 2026 lebih tinggi dibandingkan Februari 2026?</t>
  </si>
  <si>
    <t xml:space="preserve">Ya, pertumbuhan uang beredar (M2) pada Maret 2026 mencapai 9,7% (yoy), lebih tinggi dibandingkan pertumbuhan pada Februari 2026 sebesar 8,7% (yoy).</t>
  </si>
  <si>
    <t xml:space="preserve">Text: M2 Maret 2026 tumbuh 9,7% (yoy), lebih tinggi dari Februari 2026 8,7% (yoy).</t>
  </si>
  <si>
    <t xml:space="preserve">Correct comparison and values.</t>
  </si>
  <si>
    <t xml:space="preserve">QA0929</t>
  </si>
  <si>
    <t xml:space="preserve">Apakah pertumbuhan uang beredar (M2) pada Maret 2026 didorong oleh pertumbuhan uang beredar sempit (M1) dan uang kuasi?</t>
  </si>
  <si>
    <t xml:space="preserve">Ya, pertumbuhan uang beredar (M2) pada Maret 2026 didorong oleh pertumbuhan uang beredar sempit (M1) sebesar 14,4% (yoy) dan uang kuasi sebesar 5,2% (yoy).</t>
  </si>
  <si>
    <t xml:space="preserve">Text: M2 didorong oleh pertumbuhan M1 14,4% (yoy) dan uang kuasi 5,2% (yoy).</t>
  </si>
  <si>
    <t xml:space="preserve">Correct, but from text; no chart on page.</t>
  </si>
  <si>
    <t xml:space="preserve">Ya, pertumbuhan M2 pada Maret 2026 didorong oleh pertumbuhan M1 sebesar 14,4% (yoy) dan uang kuasi sebesar 5,2% (yoy).</t>
  </si>
  <si>
    <t xml:space="preserve">QA0930</t>
  </si>
  <si>
    <t xml:space="preserve">Apakah pertumbuhan M1 pada Maret 2026 sebesar 14,4% (yoy)?</t>
  </si>
  <si>
    <t xml:space="preserve">Ya, pertumbuhan M1 pada Maret 2026 sebesar 14,4% (yoy).</t>
  </si>
  <si>
    <t xml:space="preserve">Text/Tabel 1: M1 Mar'26 tumbuh 14,4% (yoy).</t>
  </si>
  <si>
    <t xml:space="preserve">Correct, but it is a text lookup, not a chart calculation.</t>
  </si>
  <si>
    <t xml:space="preserve">QA0931</t>
  </si>
  <si>
    <t xml:space="preserve">Berdasarkan tabel 1, apakah jumlah Uang Beredar Luas (M2) pada Februari 2026 lebih tinggi atau lebih rendah dibandingkan Februari 2026?</t>
  </si>
  <si>
    <t xml:space="preserve">Tabel 1 M2: Feb 2026 Rp10.088,1 T; Mar 2026 Rp10.355,1 T.</t>
  </si>
  <si>
    <t xml:space="preserve">Question compares Februari 2026 with itself (should be Maret 2026); intended answer 'lebih rendah' is correct. It explicitly uses Tabel 1, so category is table comparison.</t>
  </si>
  <si>
    <t xml:space="preserve">Berdasarkan Tabel 1, apakah jumlah Uang Beredar Luas (M2) pada Februari 2026 lebih tinggi atau lebih rendah dibandingkan Maret 2026?</t>
  </si>
  <si>
    <t xml:space="preserve">Lebih rendah; M2 Februari 2026 sebesar Rp10.088,1 triliun, di bawah Maret 2026 sebesar Rp10.355,1 triliun.</t>
  </si>
  <si>
    <t xml:space="preserve">QA0932</t>
  </si>
  <si>
    <t xml:space="preserve">Berdasarkan tabel 1, apakah jumlah Uang Beredar Luas (M2) pada Februari 2026 mencapai Rp10.088,1 triliun?</t>
  </si>
  <si>
    <t xml:space="preserve">Tabel 1: Uang Beredar Luas (M2) Feb 2026 = 10.088,1 triliun Rp.</t>
  </si>
  <si>
    <t xml:space="preserve">'Ya' is correct, but evidence is Tabel 1 (question says so), not a chart.</t>
  </si>
  <si>
    <t xml:space="preserve">Ya, M2 pada Februari 2026 tercatat Rp10.088,1 triliun.</t>
  </si>
  <si>
    <t xml:space="preserve">QA0933</t>
  </si>
  <si>
    <t xml:space="preserve">Duplicate of QW-0: question compares Feb 2026 with Feb 2026 (should be Maret); answer correct for intended comparison; a table comparison, not chart calculation.</t>
  </si>
  <si>
    <t xml:space="preserve">Lebih rendah; M2 Februari 2026 Rp10.088,1 triliun, lebih rendah Rp267,0 triliun dibandingkan Maret 2026 (Rp10.355,1 triliun).</t>
  </si>
  <si>
    <t xml:space="preserve">QA0934</t>
  </si>
  <si>
    <t xml:space="preserve">Berapa total penghimpunan Dana Pihak Ketiga (DPK) pada Februari 2026?</t>
  </si>
  <si>
    <t xml:space="preserve">Rp 9.079,9 triliun</t>
  </si>
  <si>
    <t xml:space="preserve">Tabel 3/4 Total Feb 2026 = Rp9.447,0 T (9,2% yoy); Rupiah DPK Feb = 8.079,9. Text gives only Feb growth 9,2%.</t>
  </si>
  <si>
    <t xml:space="preserve">Total DPK in Feb 2026 is Rp9.447,0 triliun; 9.079,9 matches no cell (resembles Rupiah 8.079,9). Value is only in the tables, not text.</t>
  </si>
  <si>
    <t xml:space="preserve">Rp9.447,0 triliun (tumbuh 9,2% yoy).</t>
  </si>
  <si>
    <t xml:space="preserve">QA0935</t>
  </si>
  <si>
    <t xml:space="preserve">Berapakah pertumbuhan DPK perusahaan pada Februari 2026?</t>
  </si>
  <si>
    <t xml:space="preserve">15,9% (yoy)</t>
  </si>
  <si>
    <t xml:space="preserve">Tabel 4 Total Korporasi Feb'26 15,9 (yoy); text: DPK korporasi tumbuh 18,8% (Mar) vs 15,9% (yoy) bulan sebelumnya.</t>
  </si>
  <si>
    <t xml:space="preserve">15,9% (yoy) is correct for corporate DPK in Feb 2026, but evidence is text/table, not a chart.</t>
  </si>
  <si>
    <t xml:space="preserve">Berapakah pertumbuhan DPK korporasi pada Februari 2026?</t>
  </si>
  <si>
    <t xml:space="preserve">DPK korporasi pada Februari 2026 tumbuh 15,9% (yoy).</t>
  </si>
  <si>
    <t xml:space="preserve">QA0936</t>
  </si>
  <si>
    <t xml:space="preserve">Berapa total penghimpunan Dana Pihak Ketiga (DPK) pada Maret 2026?</t>
  </si>
  <si>
    <t xml:space="preserve">Rp 9.658,5 triliun</t>
  </si>
  <si>
    <t xml:space="preserve">Text: penghimpunan DPK Maret 2026 tercatat Rp9.658,5 triliun; Tabel 3/4 Total Mar* 9.658,5.</t>
  </si>
  <si>
    <t xml:space="preserve">Value is correct, but it is a direct text/table lookup; no chart or calculation.</t>
  </si>
  <si>
    <t xml:space="preserve">Rp9.658,5 triliun (tumbuh 10,7% yoy).</t>
  </si>
  <si>
    <t xml:space="preserve">QA0937</t>
  </si>
  <si>
    <t xml:space="preserve">Apakah total surplus neraca perdagangan Indonesia pada triwulan III 2025?</t>
  </si>
  <si>
    <t xml:space="preserve">4,0 miliar dolar AS</t>
  </si>
  <si>
    <t xml:space="preserve">Text only says surplus neraca perdagangan barang meningkat (nonmigas up, migas deficit up); no trade-balance figure. 4,0 miliar dolar AS is the Transaksi Berjalan surplus.</t>
  </si>
  <si>
    <t xml:space="preserve">The asked metric (trade balance surplus value) is not on the page; the answer borrows the current-account figure.</t>
  </si>
  <si>
    <t xml:space="preserve">QA0938</t>
  </si>
  <si>
    <t xml:space="preserve">Berapa total surplus neraca pendapatan sekunder Indonesia pada triwulan III 2025?</t>
  </si>
  <si>
    <t xml:space="preserve">170 miliar dolar AS</t>
  </si>
  <si>
    <t xml:space="preserve">Text: surplus neraca pendapatan sekunder relatif stabil (remitansi PMI); no value given. 170 is the top of Grafik 1 right axis (Cadev).</t>
  </si>
  <si>
    <t xml:space="preserve">No secondary-income figure exists on page; 170 miliar is an axis tick, fabricated as the answer.</t>
  </si>
  <si>
    <t xml:space="preserve">QA0939</t>
  </si>
  <si>
    <t xml:space="preserve">Apakah total surplus neraca perbankan dan finansial Indonesia pada triwulan III 2025?</t>
  </si>
  <si>
    <t xml:space="preserve">8,1 miliar dolar AS</t>
  </si>
  <si>
    <t xml:space="preserve">Text: Neraca Transaksi Modal dan Finansial (TMF) mencatat defisit 8,1 miliar dolar AS pada Tw III 2025.</t>
  </si>
  <si>
    <t xml:space="preserve">8,1 miliar dolar AS is a deficit, not a surplus, and the account is 'modal dan finansial', not 'perbankan dan finansial'. Text source, no calculation.</t>
  </si>
  <si>
    <t xml:space="preserve">Berapa neraca transaksi modal dan finansial Indonesia pada triwulan III 2025?</t>
  </si>
  <si>
    <t xml:space="preserve">Neraca TMF mencatat defisit sebesar 8,1 miliar dolar AS, meningkat dari defisit 3,5 miliar dolar AS pada triwulan sebelumnya.</t>
  </si>
  <si>
    <t xml:space="preserve">QA0940</t>
  </si>
  <si>
    <t xml:space="preserve">Apakah pertumbuhan ekspor nonmisas ke negara tujuan utama pada triwulan III 2025?</t>
  </si>
  <si>
    <t xml:space="preserve">Pertumbuhan ekspor nonmisas ke negara tujuan utama pada triwulan III 2025 mencapai 7,5% (yoy)</t>
  </si>
  <si>
    <t xml:space="preserve">Text: kinerja ekspor nonmigas ke sepuluh negara tujuan utama Tw III 2025 tumbuh 7,5% (yoy), lebih rendah dari 8,6% Tw II 2025.</t>
  </si>
  <si>
    <t xml:space="preserve">Value correct, but 'nonmisas' is a misspelling of 'nonmigas' in both question and answer, and 'Apakah' misused for 'Berapa'.</t>
  </si>
  <si>
    <t xml:space="preserve">Berapa pertumbuhan ekspor nonmigas ke sepuluh negara tujuan utama pada triwulan III 2025?</t>
  </si>
  <si>
    <t xml:space="preserve">Pertumbuhan ekspor nonmigas ke sepuluh negara tujuan utama pada triwulan III 2025 mencapai 7,5% (yoy).</t>
  </si>
  <si>
    <t xml:space="preserve">QA0941</t>
  </si>
  <si>
    <t xml:space="preserve">Apakah pertumbuhan ekspor nonmisas ke India pada triwulan III 2025?</t>
  </si>
  <si>
    <t xml:space="preserve">Pertumbuhan ekspor nonmisas ke India pada triwulan III 2025 mencapai 10,3% (yoy)</t>
  </si>
  <si>
    <t xml:space="preserve">Text/Tabel 3: ekspor nonmigas ke India tumbuh 10,3% (yoy) Tw III 2025, setelah kontraksi 16,2% Tw II 2025. No chart.</t>
  </si>
  <si>
    <t xml:space="preserve">Value correct but no chart exists (text/table); 'nonmisas' misspelling.</t>
  </si>
  <si>
    <t xml:space="preserve">Berapa pertumbuhan ekspor nonmigas ke India pada triwulan III 2025?</t>
  </si>
  <si>
    <t xml:space="preserve">Pertumbuhan ekspor nonmigas ke India pada triwulan III 2025 mencapai 10,3% (yoy).</t>
  </si>
  <si>
    <t xml:space="preserve">QA0942</t>
  </si>
  <si>
    <t xml:space="preserve">Apakah pertumbuhan ekspor nonmisas ke Jepang pada triwulan III 2025?</t>
  </si>
  <si>
    <t xml:space="preserve">Pertumbuhan ekspor nonmisas ke Jepang pada triwulan III 2025 mencapai 16,8% (yoy)</t>
  </si>
  <si>
    <t xml:space="preserve">Tabel 3 Jepang Tw III 2025 = -16,8; text: kontraksi 16,8% (yoy), lebih rendah dari kontraksi 18,4% Tw II 2025.</t>
  </si>
  <si>
    <t xml:space="preserve">Sign/direction wrong: exports to Japan contracted 16,8%, not grew. No chart and no calculation; 'nonmisas' typo.</t>
  </si>
  <si>
    <t xml:space="preserve">Berapa pertumbuhan ekspor nonmigas ke Jepang pada triwulan III 2025?</t>
  </si>
  <si>
    <t xml:space="preserve">Ekspor nonmigas ke Jepang pada triwulan III 2025 terkontraksi 16,8% (yoy), lebih rendah dari kontraksi 18,4% (yoy) pada triwulan II 2025.</t>
  </si>
  <si>
    <t xml:space="preserve">QA0943</t>
  </si>
  <si>
    <t xml:space="preserve">Apakah volume ekspor gas pada triwulan III 2025 turun atau meningkat?</t>
  </si>
  <si>
    <t xml:space="preserve">Text: ekspor gas 1,7 miliar (Tw III) vs 1,8 miliar (Tw II); LNG volume turun 152-&gt;133 juta MMBTU, NG 38-&gt;39; 'penurunan kinerja ekspor gas'.</t>
  </si>
  <si>
    <t xml:space="preserve">Overall gas export volume declined (LNG drop outweighs small NG rise); matches text.</t>
  </si>
  <si>
    <t xml:space="preserve">QA0944</t>
  </si>
  <si>
    <t xml:space="preserve">Berapakah total ekspor gas pada triwulan III 2025?</t>
  </si>
  <si>
    <t xml:space="preserve">1,7 miliar dolar AS</t>
  </si>
  <si>
    <t xml:space="preserve">Text: ekspor gas triwulan III 2025 tercatat 1,7 miliar dolar AS; Tabel 8: 1.661 juta dolar AS.</t>
  </si>
  <si>
    <t xml:space="preserve">Value correct, but from text/table; there is no chart of gas exports.</t>
  </si>
  <si>
    <t xml:space="preserve">1,7 miliar dolar AS (1.661 juta dolar AS), sedikit lebih rendah dari 1,8 miliar dolar AS pada triwulan II 2025.</t>
  </si>
  <si>
    <t xml:space="preserve">QA0945</t>
  </si>
  <si>
    <t xml:space="preserve">Apakah defisit neraca jasa pada triwulan III 2025 lebih tinggi atau lebih rendah dibandingkan triwulan II 2025?</t>
  </si>
  <si>
    <t xml:space="preserve">Text: defisit neraca jasa Tw III 2025 4,3 miliar dolar AS, menurun dari 5,2 miliar dolar AS pada Tw II 2025 (Grafik 8, unlabeled).</t>
  </si>
  <si>
    <t xml:space="preserve">'Lebih rendah' is correct, but values come from text (chart unlabeled) and no numbers/calculation are given.</t>
  </si>
  <si>
    <t xml:space="preserve">Lebih rendah; defisit triwulan III 2025 sebesar 4,3 miliar dolar AS dibandingkan 5,2 miliar dolar AS pada triwulan II 2025 (menyempit 0,9 miliar dolar AS).</t>
  </si>
  <si>
    <t xml:space="preserve">QA0946</t>
  </si>
  <si>
    <t xml:space="preserve">Apakah ada perubahan dalam data Transaksi Berjalan dalam publikasi triwulan III 2025?</t>
  </si>
  <si>
    <t xml:space="preserve">Ya, terdapat perubahan dalam data Transaksi Berjalan dalam publikasi triwulan III 2025.</t>
  </si>
  <si>
    <t xml:space="preserve">Text: publikasi NPI Tw III 2025 memuat perubahan data yang dirilis pada publikasi Tw II 2025; Tabel 1 shows Transaksi Berjalan revisions (e.g. Tw IV 2024 -1.208 -&gt; -1.293).</t>
  </si>
  <si>
    <t xml:space="preserve">Correct; supported by the text and Tabel 1.</t>
  </si>
  <si>
    <t xml:space="preserve">QA0947</t>
  </si>
  <si>
    <t xml:space="preserve">Apakah terdapat perubahan dalam data Transaksi Modal dan Finansial dalam publikasi triwulan III 2025?</t>
  </si>
  <si>
    <t xml:space="preserve">Ya, terdapat perubahan dalam data Transaksi Modal dan Finansial dalam publikasi triwulan III 2025. Misalnya, Transaksi Modal dan Finansial pada triwulan I 2024 adalah -2,388, sedangkan pada triwulan II 2024 adalah -3,285.</t>
  </si>
  <si>
    <t xml:space="preserve">Tabel 1: Modal &amp; Finansial Tw I 2024 -2.388 -&gt; -2.385; Tw II 2024 2.616 -&gt; 2.564; Tw II 2025 -5.160 -&gt; -3.521 (lama -&gt; baru). No -3,285.</t>
  </si>
  <si>
    <t xml:space="preserve">'Ya' is right, but the example is wrong: -3,285 is not on the page (Tw II 2024 is 2.616/2.564), and it compares two quarters instead of old vs new data. This is a comparison, not a calculation.</t>
  </si>
  <si>
    <t xml:space="preserve">Ya, terdapat perubahan data Transaksi Modal dan Finansial. Misalnya, pada triwulan II 2025 angkanya direvisi dari -5.160 juta dolar AS (lama) menjadi -3.521 juta dolar AS (baru), dan pada triwulan I 2024 dari -2.388 menjadi -2.385 juta dolar AS.</t>
  </si>
  <si>
    <t xml:space="preserve">QA0948</t>
  </si>
  <si>
    <t xml:space="preserve">Apakah transaksi pendapatan primer dalam publikasi triwulan III 2025 mengalami peningkatan?</t>
  </si>
  <si>
    <t xml:space="preserve">Ya, transaksi pendapatan primer dalam publikasi triwulan III 2025 mengalami peningkatan.</t>
  </si>
  <si>
    <t xml:space="preserve">Tabel 1 Pendapatan Primer (lama-&gt;baru): Tw IV 2024 -9.047-&gt;-9.049; Tw I 2025 -9.347-&gt;-9.357; Tw II 2025 -9.826-&gt;-9.772. Text: perubahan sejak Tw IV 2024 (LLD, ULN, data institusi).</t>
  </si>
  <si>
    <t xml:space="preserve">'Ya, meningkat' is unsupported and ambiguous: revisions went both ways (the deficit widened for Tw IV 2024/Tw I 2025 and narrowed for Tw II 2025). There is no chart; the source is the table and text.</t>
  </si>
  <si>
    <t xml:space="preserve">Bagaimana perubahan data transaksi pendapatan primer dalam publikasi triwulan III 2025?</t>
  </si>
  <si>
    <t xml:space="preserve">Data transaksi pendapatan primer berubah sejak triwulan IV 2024 karena penginian data LLD, ULN, dan data institusi: triwulan IV 2024 dari -9.047 menjadi -9.049 juta dolar AS, triwulan I 2025 dari -9.347 menjadi -9.357 juta dolar AS, dan triwulan II 2025 dari -9.826 menjadi -9.772 juta dolar AS.</t>
  </si>
  <si>
    <t xml:space="preserve">QA0949</t>
  </si>
  <si>
    <t xml:space="preserve">Apakah pertumbuhan ekspor nonmigas ke Korea Selatan dan Thailand pada triwulan IV 2025?</t>
  </si>
  <si>
    <t xml:space="preserve">Pertumbuhan ekspor nonmigas ke Korea Selatan dan Thailand pada triwulan IV 2025 terbatas sebesar 6,7% (yoy).</t>
  </si>
  <si>
    <t xml:space="preserve">Text: ekspor ke Korea Selatan dan Thailand mencatatkan perbaikan. Tabel 3 Tw IV 2025: Korea Selatan 7,6%, Thailand 17,5% (yoy). -6,7% is Jepang.</t>
  </si>
  <si>
    <t xml:space="preserve">6,7% is Japan's contraction; Korea (7,6%) and Thailand (17,5%) both improved. No chart; data from table.</t>
  </si>
  <si>
    <t xml:space="preserve">Bagaimana pertumbuhan ekspor nonmigas ke Korea Selatan dan Thailand pada triwulan IV 2025?</t>
  </si>
  <si>
    <t xml:space="preserve">Ekspor nonmigas ke Korea Selatan dan Thailand mencatatkan perbaikan pertumbuhan pada triwulan IV 2025, masing-masing sebesar 7,6% (yoy) dan 17,5% (yoy).</t>
  </si>
  <si>
    <t xml:space="preserve">QA0950</t>
  </si>
  <si>
    <t xml:space="preserve">Berapakah pertumbuhan ekspor nonmigas ke Amerika Serikat pada triwulan IV 2025?</t>
  </si>
  <si>
    <t xml:space="preserve">Pertumbuhan ekspor nonmigas ke Amerika Serikat pada triwulan IV 2025 mencatatkan pertumbuhan sebesar 10,8% (yoy).</t>
  </si>
  <si>
    <t xml:space="preserve">Text: ekspor nonmigas ke Amerika Serikat Tw IV 2025 tumbuh 10,8% (yoy).</t>
  </si>
  <si>
    <t xml:space="preserve">Verified in text and Tabel 3.</t>
  </si>
  <si>
    <t xml:space="preserve">QA0951</t>
  </si>
  <si>
    <t xml:space="preserve">Berapa persentase pertumbuhan ekspor nonmigas ke Jepang pada triwulan IV 2025?</t>
  </si>
  <si>
    <t xml:space="preserve">Persentase pertumbuhan ekspor nonmigas ke Jepang pada triwulan IV 2025 terbatas sebesar 6,7% (yoy).</t>
  </si>
  <si>
    <t xml:space="preserve">Text: ekspor nonmigas ke Jepang membaik meski masih terkontraksi 6,7% (yoy) pada Tw IV 2025; Tabel 3: -6,7 (Tw III -16,8).</t>
  </si>
  <si>
    <t xml:space="preserve">Japan exports contracted 6,7% (negative), not grew 'terbatas' 6,7%. Evidence is text/table, no chart.</t>
  </si>
  <si>
    <t xml:space="preserve">Ekspor nonmigas ke Jepang pada triwulan IV 2025 masih terkontraksi sebesar 6,7% (yoy), membaik dari kontraksi 16,8% (yoy) pada triwulan III 2025.</t>
  </si>
  <si>
    <t xml:space="preserve">QA0952</t>
  </si>
  <si>
    <t xml:space="preserve">Apakah perusahaan yang mengalami penurunan kinerja ekspor batu bara, kokas, dan briket?</t>
  </si>
  <si>
    <t xml:space="preserve">Dokumen tidak menyebutkan nama perusahaan yang mengalami penurunan kinerja ekspor batu bara, kokas, dan briket.</t>
  </si>
  <si>
    <t xml:space="preserve">Page discusses exports by destination country and commodity; no companies are mentioned.</t>
  </si>
  <si>
    <t xml:space="preserve">Question asks about companies, an entity not present on the page; nothing to support.</t>
  </si>
  <si>
    <t xml:space="preserve">QA0953</t>
  </si>
  <si>
    <t xml:space="preserve">Berapa persentase penurunan kinerja ekspor batu bara, kokas, dan briket?</t>
  </si>
  <si>
    <t xml:space="preserve">Kinerja ekspor batu bara, kokas, dan briket mengalami penurunan sebesar 11,4% (yoy) pada triwulan IV 2025.</t>
  </si>
  <si>
    <t xml:space="preserve">No % figure for coal exports on page; coal cited qualitatively (rise in one market, decline to Malaysia). 11,4% (yoy) is Filipina Tw III 2025 contraction. Grafik 6 = imports.</t>
  </si>
  <si>
    <t xml:space="preserve">The coal export decline percentage does not exist on the page; 11,4% belongs to Philippines exports.</t>
  </si>
  <si>
    <t xml:space="preserve">QA0954</t>
  </si>
  <si>
    <t xml:space="preserve">Apakah ada peningkatan kinerja ekspor logam?</t>
  </si>
  <si>
    <t xml:space="preserve">Kinerja ekspor logam meningkat sebesar 17,5% (yoy) pada triwulan IV 2025.</t>
  </si>
  <si>
    <t xml:space="preserve">Text: perbaikan kinerja didorong kenaikan signifikan ekspor logam tidak mengandung besi; no % given. 17,5% (yoy) is total export growth to Thailand.</t>
  </si>
  <si>
    <t xml:space="preserve">Yes is supported, but 17,5% is Thailand's total export growth, not metals; text-only, no chart calculation.</t>
  </si>
  <si>
    <t xml:space="preserve">Ya, terdapat kenaikan signifikan ekspor komoditas logam tidak mengandung besi seiring membaiknya kinerja manufaktur (besarnya tidak disebutkan).</t>
  </si>
  <si>
    <t xml:space="preserve">QA0955</t>
  </si>
  <si>
    <t xml:space="preserve">Berapa total impor minyak AS pada triwulan IV 2025?</t>
  </si>
  <si>
    <t xml:space="preserve">27,5 miliar dolar AS</t>
  </si>
  <si>
    <t xml:space="preserve">Temporal, Typo/Grammar</t>
  </si>
  <si>
    <t xml:space="preserve">Text: impor minyak Tw IV 2025 sebesar 7,5 miliar dolar AS (Tabel 7: 7.451,4 juta); 27,5 miliar dolar AS is full-year 2025.</t>
  </si>
  <si>
    <t xml:space="preserve">27,5 miliar is the 2025 annual total, not Tw IV 2025 (7,5 miliar); 'minyak AS' wrongly implies US oil.</t>
  </si>
  <si>
    <t xml:space="preserve">Berapa total impor minyak Indonesia pada triwulan IV 2025?</t>
  </si>
  <si>
    <t xml:space="preserve">7,5 miliar dolar AS, lebih tinggi dibanding 6,9 miliar dolar AS pada triwulan III 2025.</t>
  </si>
  <si>
    <t xml:space="preserve">QA0956</t>
  </si>
  <si>
    <t xml:space="preserve">Berapa total ekspor minyak AS pada triwulan IV 2025?</t>
  </si>
  <si>
    <t xml:space="preserve">5,1 miliar dolar AS</t>
  </si>
  <si>
    <t xml:space="preserve">Tabel 6: ekspor minyak Tw IV 2025 = 1.155,7 juta dolar AS; total 2025 = 5.098,4 juta (5,1 miliar, text).</t>
  </si>
  <si>
    <t xml:space="preserve">5,1 miliar is full-year 2025; Tw IV 2025 exports were 1.155,7 juta dolar AS. Simple lookup, not a calculation; 'minyak AS' misleading.</t>
  </si>
  <si>
    <t xml:space="preserve">Berapa total ekspor minyak Indonesia pada triwulan IV 2025?</t>
  </si>
  <si>
    <t xml:space="preserve">1.155,7 juta dolar AS (sekitar 1,16 miliar dolar AS).</t>
  </si>
  <si>
    <t xml:space="preserve">QA0957</t>
  </si>
  <si>
    <t xml:space="preserve">Berapa persentase penurunan impor minyak AS pada triwulan IV 2025?</t>
  </si>
  <si>
    <t xml:space="preserve">36,1 juta</t>
  </si>
  <si>
    <t xml:space="preserve">Calculation, Factual/Numerical, Unit, Instruction-following</t>
  </si>
  <si>
    <t xml:space="preserve">Tabel 7: impor minyak Tw IV 2025 7.451,4 vs Tw IV 2024 7.504,2 juta dolar AS (-0,70% yoy); vs Tw III 2025 6.891,0 (+8,1% qtq). 36,1 is crude import volume Tw III.</t>
  </si>
  <si>
    <t xml:space="preserve">Asks a % decline but gives '36,1 juta' (a volume figure, wrong unit); correct yoy change is about -0,70%, and imports rose 8,1% qtq. Needs table calculation, no chart.</t>
  </si>
  <si>
    <t xml:space="preserve">Berapa persentase perubahan impor minyak Indonesia pada triwulan IV 2025 dibanding triwulan IV 2024?</t>
  </si>
  <si>
    <t xml:space="preserve">Impor minyak turun sekitar 0,70% (yoy), dari 7.504,2 juta dolar AS menjadi 7.451,4 juta dolar AS (namun naik 8,1% dibanding triwulan III 2025).</t>
  </si>
  <si>
    <t xml:space="preserve">QA0958</t>
  </si>
  <si>
    <t xml:space="preserve">Berapa pertumbuhan GDP di tahun 2020 menurut estimasi ECB?</t>
  </si>
  <si>
    <t xml:space="preserve">-8,0%</t>
  </si>
  <si>
    <t xml:space="preserve">Text &amp; Tabel 1.3: ECB (Sep 2020) outlook 2020 -8,0% yoy (sebelumnya -8,7%).</t>
  </si>
  <si>
    <t xml:space="preserve">Value correct, but answer is a bare number without context or yoy label.</t>
  </si>
  <si>
    <t xml:space="preserve">Berapa pertumbuhan GDP Kawasan Euro tahun 2020 menurut estimasi ECB (September 2020)?</t>
  </si>
  <si>
    <t xml:space="preserve">ECB memperkirakan pertumbuhan GDP Kawasan Euro tahun 2020 sebesar -8,0% (yoy), direvisi ke atas dari -8,7%.</t>
  </si>
  <si>
    <t xml:space="preserve">QA0959</t>
  </si>
  <si>
    <t xml:space="preserve">Berapakah pertumbuhan HICP di tahun 2020 menurut estimasi IMF?</t>
  </si>
  <si>
    <t xml:space="preserve">4,7%</t>
  </si>
  <si>
    <t xml:space="preserve">Tabel 1.3 IMF (WEO Jun-20): HICP 2020 = 0,2; 4,7 is IMF's previous GDP 2021 estimate. No chart on page.</t>
  </si>
  <si>
    <t xml:space="preserve">Wrong cell: IMF HICP 2020 is 0,2%, not 4,7%. Data comes from a table, not a chart.</t>
  </si>
  <si>
    <t xml:space="preserve">Menurut estimasi IMF (WEO Juni 2020), inflasi HICP Kawasan Euro tahun 2020 sebesar 0,2% (yoy).</t>
  </si>
  <si>
    <t xml:space="preserve">QA0960</t>
  </si>
  <si>
    <t xml:space="preserve">Berapa pertumbuhan HICP di tahun 2021 menurut estimasi ECB?</t>
  </si>
  <si>
    <t xml:space="preserve">6,0%</t>
  </si>
  <si>
    <t xml:space="preserve">Text &amp; Tabel 1.3: ECB merevisi ke atas outlook inflasi HICP 2021 menjadi 1,0% yoy (dari 0,8%); 6,0 is IMF GDP 2021.</t>
  </si>
  <si>
    <t xml:space="preserve">Wrong cell: ECB HICP 2021 is 1,0%, not 6,0%. Stated in text; no chart or calculation.</t>
  </si>
  <si>
    <t xml:space="preserve">ECB memperkirakan inflasi HICP Kawasan Euro tahun 2021 sebesar 1,0% (yoy), naik dari estimasi sebelumnya 0,8%.</t>
  </si>
  <si>
    <t xml:space="preserve">QA0961</t>
  </si>
  <si>
    <t xml:space="preserve">Apakah tren harga komoditas pertanian berubah pada periode TW2-20?</t>
  </si>
  <si>
    <t xml:space="preserve">Tren harga komoditas pertanian berubah variatif pada periode TW2-20.</t>
  </si>
  <si>
    <t xml:space="preserve">Text: harga komoditas pertanian bergerak variatif pada TW2-20 (jagung, gandum, kedelai turun; beras naik).</t>
  </si>
  <si>
    <t xml:space="preserve">Correct, stated in text.</t>
  </si>
  <si>
    <t xml:space="preserve">QA0962</t>
  </si>
  <si>
    <t xml:space="preserve">Berapa persentase penurunan harga jagung pada periode TW2-20?</t>
  </si>
  <si>
    <t xml:space="preserve">(-12,3% qtq)</t>
  </si>
  <si>
    <t xml:space="preserve">Text: penurunan harga jagung (-12,3% qtq) pada TW2-20.</t>
  </si>
  <si>
    <t xml:space="preserve">Value correct but stated in text, not calculated from a chart; bare parenthetical answer.</t>
  </si>
  <si>
    <t xml:space="preserve">Harga jagung turun 12,3% (qtq) pada TW2-20.</t>
  </si>
  <si>
    <t xml:space="preserve">QA0963</t>
  </si>
  <si>
    <t xml:space="preserve">Berapakah perbedaan rata-rata harga emas antara TW2-20 dan TW1-20?</t>
  </si>
  <si>
    <t xml:space="preserve">1,714 USD/ounce</t>
  </si>
  <si>
    <t xml:space="preserve">Tabel 1.8 Emas rata-rata harga: TW2-20 1.714, TW1-20 1.582 USD/ounce.</t>
  </si>
  <si>
    <t xml:space="preserve">Answer gives the TW2-20 average, not the difference; difference is 132 USD/ounce. Requires table calculation.</t>
  </si>
  <si>
    <t xml:space="preserve">Selisih rata-rata harga emas TW2-20 dan TW1-20 adalah 1.714 - 1.582 = 132 USD/ounce (naik sekitar 8,3%).</t>
  </si>
  <si>
    <t xml:space="preserve">QA0964</t>
  </si>
  <si>
    <t xml:space="preserve">Apakah Indeks Keyakinan Konsumen (IKK) pada Maret 2026 berada pada level optimis?</t>
  </si>
  <si>
    <t xml:space="preserve">Ya, IKK pada Maret 2026 berada pada level optimis.</t>
  </si>
  <si>
    <t xml:space="preserve">Text: IKK Maret 2026 berada pada level optimis (indeks &gt;100) sebesar 122,9.</t>
  </si>
  <si>
    <t xml:space="preserve">QA0965</t>
  </si>
  <si>
    <t xml:space="preserve">Berapakah Indeks Kondisi Ekonomi Saat Ini (IKE) pada Maret 2026?</t>
  </si>
  <si>
    <t xml:space="preserve">Grafik 1 end label for IKE (Mar 2026) 115,4; text also 115,4.</t>
  </si>
  <si>
    <t xml:space="preserve">Value and period correct; readable from Grafik 1.</t>
  </si>
  <si>
    <t xml:space="preserve">QA0966</t>
  </si>
  <si>
    <t xml:space="preserve">Apakah Indeks Ekspektasi Konsumen (IEK) pada Maret 2026 berada pada level optimis?</t>
  </si>
  <si>
    <t xml:space="preserve">Ya, IEK pada Maret 2026 berada pada level optimis.</t>
  </si>
  <si>
    <t xml:space="preserve">Text: IKE dan IEK tetap berada pada level optimis, masing-masing 115,4 dan 130,4.</t>
  </si>
  <si>
    <t xml:space="preserve">'Ya' is correct, but it is stated in text; no chart calculation involved. Value 130,4 could be added.</t>
  </si>
  <si>
    <t xml:space="preserve">Ya, IEK pada Maret 2026 berada pada level optimis (indeks &gt;100) sebesar 130,4.</t>
  </si>
  <si>
    <t xml:space="preserve">QA0967</t>
  </si>
  <si>
    <t xml:space="preserve">Berapa indeks ekspektasi ketersediaan lapangan kerja yang tertinggi?</t>
  </si>
  <si>
    <t xml:space="preserve">140,7</t>
  </si>
  <si>
    <t xml:space="preserve">Grafik 11: IEKLK (red) Feb 2026 131,7, Mar 2026 128,0 (text). 140,7 is IEP (blue) Feb 2026.</t>
  </si>
  <si>
    <t xml:space="preserve">140,7 belongs to the income expectation index (IEP), not job availability. IEKLK is 128,0 in Mar 2026 (131,7 in Feb). Reading a value is extraction, not calculation.</t>
  </si>
  <si>
    <t xml:space="preserve">Berapa indeks ekspektasi ketersediaan lapangan kerja pada Maret 2026?</t>
  </si>
  <si>
    <t xml:space="preserve">Indeks ekspektasi ketersediaan lapangan kerja (IEKLK) Maret 2026 sebesar 128,0, turun dari 131,7 pada Februari 2026 (140,7 adalah indeks ekspektasi penghasilan Februari 2026).</t>
  </si>
  <si>
    <t xml:space="preserve">QA0968</t>
  </si>
  <si>
    <t xml:space="preserve">Berapakah indeks ekspektasi ketersediaan lapangan kerja untuk kelompok usia 31-40 tahun?</t>
  </si>
  <si>
    <t xml:space="preserve">Tinggi pada bulan 2024</t>
  </si>
  <si>
    <t xml:space="preserve">IEKLK by age (Grafik 15) is not on page; text gives only &gt;60 tahun (118,3). Grafik 13 (IEP by age) 31-40: 144,7 (Feb), 140,6 (Mar).</t>
  </si>
  <si>
    <t xml:space="preserve">Job-availability index for age 31-40 is not on the page, and the answer 'Tinggi pada bulan 2024' is not a value.</t>
  </si>
  <si>
    <t xml:space="preserve">QA0969</t>
  </si>
  <si>
    <t xml:space="preserve">Berapa indeks ekspektasi penghasilan yang tertinggi?</t>
  </si>
  <si>
    <t xml:space="preserve">Rp4,1 juta</t>
  </si>
  <si>
    <t xml:space="preserve">Text: IEP tertinggi pada kelompok pengeluaran Rp4,1-5 juta sebesar 139,6 (Grafik 12); menurut usia tertinggi usia 31-40 sebesar 140,6 (Grafik 13).</t>
  </si>
  <si>
    <t xml:space="preserve">Asks for the highest index value but answer gives a truncated group name ('Rp4,1 juta') and no index; correct is 139,6 for Rp4,1-5 juta (140,6 for age 31-40).</t>
  </si>
  <si>
    <t xml:space="preserve">Indeks ekspektasi penghasilan tertinggi menurut kelompok pengeluaran tercatat pada kelompok Rp4,1-5 juta sebesar 139,6; menurut kelompok usia tertinggi pada usia 31-40 tahun sebesar 140,6.</t>
  </si>
  <si>
    <t xml:space="preserve">QA0970</t>
  </si>
  <si>
    <t xml:space="preserve">Apakah kondisi likuiditas perusahaan pada triwulan III-2022?</t>
  </si>
  <si>
    <t xml:space="preserve">Kondisi likuiditas perusahaan pada triwulan III-2022 cukup baik, meski lebih rendah dibandingkan triwulan II-2022.</t>
  </si>
  <si>
    <t xml:space="preserve">Grafik 3: SB likuiditas 20,46 (Tw II-2022) -&gt; 19,64 (Tw III-2022); text: masih cukup baik.</t>
  </si>
  <si>
    <t xml:space="preserve">Qualitative answer correct and consistent with Grafik 3; wording awkward but understandable.</t>
  </si>
  <si>
    <t xml:space="preserve">QA0971</t>
  </si>
  <si>
    <t xml:space="preserve">Bagaimana kondisi rentabilitas perusahaan pada triwulan III-2022?</t>
  </si>
  <si>
    <t xml:space="preserve">Kondisi rentabilitas atau kemampuan perusahaan untuk mencetak laba pada triwulan III-2022 terindikasi cukup baik meski melambat.</t>
  </si>
  <si>
    <t xml:space="preserve">Text: Kondisi rentabilitas atau kemampuan perusahaan untuk mencetak laba pada Tw III-2022 terindikasi cukup baik meski melambat.</t>
  </si>
  <si>
    <t xml:space="preserve">Answer matches text.</t>
  </si>
  <si>
    <t xml:space="preserve">QA0972</t>
  </si>
  <si>
    <t xml:space="preserve">Apakah akses kredit perbankan pada triwulan III-2022?</t>
  </si>
  <si>
    <t xml:space="preserve">Akses kredit perbankan pada triwulan III-2022 sebesar 2,79%, meningkat dibandingkan triwulan II-2022.</t>
  </si>
  <si>
    <t xml:space="preserve">Text: SB akses kredit Tw III-2022 sebesar 2,79%, meningkat dibandingkan 2,64% Tw II-2022; responden 'mudah' 7,11% vs 6,91%. No akses kredit chart.</t>
  </si>
  <si>
    <t xml:space="preserve">Values correct, but from text only (no chart on credit access); question wording ('Apakah') awkward and answer should say it's a Saldo Bersih.</t>
  </si>
  <si>
    <t xml:space="preserve">Bagaimana akses kredit perbankan pada triwulan III-2022?</t>
  </si>
  <si>
    <t xml:space="preserve">Akses kredit lebih mudah: SB akses kredit sebesar 2,79% pada triwulan III-2022, meningkat dari 2,64% pada triwulan II-2022.</t>
  </si>
  <si>
    <t xml:space="preserve">QA0973</t>
  </si>
  <si>
    <t xml:space="preserve">Apakah rata-rata inflasi yang dianggap akan terjadi pada akhir 2022?</t>
  </si>
  <si>
    <t xml:space="preserve">3,42%</t>
  </si>
  <si>
    <t xml:space="preserve">Text: responden memprakirakan rata-rata inflasi hingga akhir 2022 sebesar 3,42% (yoy).</t>
  </si>
  <si>
    <t xml:space="preserve">QA0974</t>
  </si>
  <si>
    <t xml:space="preserve">Berapakah tingkat inflasi yang dianggap paling tinggi oleh responden?</t>
  </si>
  <si>
    <t xml:space="preserve">3,71%</t>
  </si>
  <si>
    <t xml:space="preserve">Text: prakiraan inflasi tertinggi oleh responden sektor Keuangan, Real Estate dan Jasa Perusahaan (3,71%). Sector breakdown not in Grafik 7.</t>
  </si>
  <si>
    <t xml:space="preserve">3,71% correct, but it is stated in text (chart has no sector data) and the answer omits the sector.</t>
  </si>
  <si>
    <t xml:space="preserve">3,71%, yaitu prakiraan responden di sektor Keuangan, Real Estate dan Jasa Perusahaan.</t>
  </si>
  <si>
    <t xml:space="preserve">QA0975</t>
  </si>
  <si>
    <t xml:space="preserve">Berdasarkan sektor mana yang menunjukkan tingkat inflasi yang paling rendah?</t>
  </si>
  <si>
    <t xml:space="preserve">Sektor Listrik, Gas, dan Air Bersih</t>
  </si>
  <si>
    <t xml:space="preserve">Text: prakiraan inflasi paling rendah di sektor Listrik, Gas dan Air Bersih, rata-rata 3,11%.</t>
  </si>
  <si>
    <t xml:space="preserve">Answer correct but it comes from text, not a chart calculation; question wording garbled ('Berdasarkan sektor mana').</t>
  </si>
  <si>
    <t xml:space="preserve">Sektor mana yang menunjukkan prakiraan inflasi paling rendah?</t>
  </si>
  <si>
    <t xml:space="preserve">Sektor Listrik, Gas dan Air Bersih, dengan prakiraan inflasi rata-rata 3,11%.</t>
  </si>
  <si>
    <t xml:space="preserve">QA0976</t>
  </si>
  <si>
    <t xml:space="preserve">Berdasarkan kondisi keuangan perusahaan pada triwulan I 2026 secara umum dalam kondisi baik?</t>
  </si>
  <si>
    <t xml:space="preserve">Ya, kondisi likuiditas perusahaan masih dalam kondisi baik pada triwulan I 2026</t>
  </si>
  <si>
    <t xml:space="preserve">Sidebar/text: kondisi keuangan perusahaan pada triwulan I 2026 secara umum dalam kondisi baik; responden menilai likuiditas masih dalam kondisi baik.</t>
  </si>
  <si>
    <t xml:space="preserve">Answer matches text; awkward but understandable wording.</t>
  </si>
  <si>
    <t xml:space="preserve">QA0977</t>
  </si>
  <si>
    <t xml:space="preserve">Pada triwulan I 2026, persentase responden yang menjawab kondisi likuiditas lebih baik sebesar?</t>
  </si>
  <si>
    <t xml:space="preserve">Persentase responden yang menjawab kondisi likuiditas lebih baik sebesar 23,98% pada triwulan I 2026</t>
  </si>
  <si>
    <t xml:space="preserve">Text: persentase responden yang menjawab kondisi likuiditas Tw I 2026 'lebih baik' sebesar 23,98% (vs 25,93%). Grafik 3 shows SB only.</t>
  </si>
  <si>
    <t xml:space="preserve">Value correct, but it comes from text (Lampiran Tabel 3), not the chart, which shows net balance.</t>
  </si>
  <si>
    <t xml:space="preserve">23,98%, lebih rendah dibandingkan 25,93% pada triwulan sebelumnya.</t>
  </si>
  <si>
    <t xml:space="preserve">QA0978</t>
  </si>
  <si>
    <t xml:space="preserve">Pada triwulan I 2026, persentase responden yang menjawab kondisi rentabilitas lebih baik sebesar?</t>
  </si>
  <si>
    <t xml:space="preserve">Persentase responden yang menjawab kondisi rentabilitas lebih baik sebesar 24,04% pada triwulan I 2026</t>
  </si>
  <si>
    <t xml:space="preserve">Text: responden yang menjawab kondisi rentabilitas Tw I 2026 'lebih baik' sebanyak 24,04% (vs 25,90%).</t>
  </si>
  <si>
    <t xml:space="preserve">Value correct, but it is a text lookup; no chart value or calculation involved.</t>
  </si>
  <si>
    <t xml:space="preserve">24,04%, menurun dibandingkan 25,90% pada triwulan sebelumnya.</t>
  </si>
  <si>
    <t xml:space="preserve">QA0979</t>
  </si>
  <si>
    <t xml:space="preserve">Apakah pertumbuhan ekonomi Indonesia diharapkan meningkat pada tahun 2017?</t>
  </si>
  <si>
    <t xml:space="preserve">Ya, pertumbuhan ekonomi Indonesia diharapkan meningkat pada tahun 2017.</t>
  </si>
  <si>
    <t xml:space="preserve">Text: pertumbuhan ekonomi 2017 diperkirakan membaik, tumbuh 5,09% (yoy), lebih tinggi dari 5,02% (yoy) pada 2016.</t>
  </si>
  <si>
    <t xml:space="preserve">QA0980</t>
  </si>
  <si>
    <t xml:space="preserve">Berapakah perkiraan pertumbuhan ekonomi Indonesia pada triwulan III-2017?</t>
  </si>
  <si>
    <t xml:space="preserve">Pertumbuhan ekonomi Indonesia diharapkan meningkat pada triwulan III-2017.</t>
  </si>
  <si>
    <t xml:space="preserve">Grafik 1 &amp; text: Q III-2017 diperkirakan 5,09% (yoy), lebih tinggi dari 5,01% (yoy) pada Q II-2017.</t>
  </si>
  <si>
    <t xml:space="preserve">The question asks 'berapakah' but the answer gives no number; the forecast is 5,09% (yoy).</t>
  </si>
  <si>
    <t xml:space="preserve">Pertumbuhan ekonomi Indonesia pada triwulan III-2017 diperkirakan sebesar 5,09% (yoy), lebih tinggi dibandingkan 5,01% (yoy) pada triwulan II-2017.</t>
  </si>
  <si>
    <t xml:space="preserve">QA0981</t>
  </si>
  <si>
    <t xml:space="preserve">Apakah inflasi diharapkan meningkat pada tahun 2017?</t>
  </si>
  <si>
    <t xml:space="preserve">Inflasi diharapkan meningkat pada tahun 2017.</t>
  </si>
  <si>
    <t xml:space="preserve">Text: inflasi 2017 diperkirakan meningkat ke 3,86% (yoy) dari 3,02% (yoy) pada 2016, namun tetap terkendali.</t>
  </si>
  <si>
    <t xml:space="preserve">The answer is correct, but the evidence is text only (no inflation chart, no calculation), and it omits the values.</t>
  </si>
  <si>
    <t xml:space="preserve">Ya, inflasi tahun 2017 diperkirakan meningkat menjadi 3,86% (yoy) dari 3,02% (yoy) pada 2016, namun tetap terkendali.</t>
  </si>
  <si>
    <t xml:space="preserve">QA0982</t>
  </si>
  <si>
    <t xml:space="preserve">Apakah pertumbuhan ekonomi di Indonesia diharapkan naik atau turun tahun 2018?</t>
  </si>
  <si>
    <t xml:space="preserve">Naik</t>
  </si>
  <si>
    <t xml:space="preserve">Text: kinerja perekonomian 2018 akan semakin membaik, tumbuh 5,31% (yoy); Tabel 2: mpe 2017 5,09 vs 2018 5,31.</t>
  </si>
  <si>
    <t xml:space="preserve">Direction 'naik' verified in text.</t>
  </si>
  <si>
    <t xml:space="preserve">QA0983</t>
  </si>
  <si>
    <t xml:space="preserve">Berapa persentase pertumbuhan ekonomi di Indonesia yang diharapkan tahun 2018?</t>
  </si>
  <si>
    <t xml:space="preserve">5,31%</t>
  </si>
  <si>
    <t xml:space="preserve">Text &amp; Tabel 2: ekonomi 2018 diperkirakan tumbuh 5,31% (yoy); Grafik 2 shows only respondent shares by range.</t>
  </si>
  <si>
    <t xml:space="preserve">Value correct but it is from text/table, not Grafik 2; add (yoy).</t>
  </si>
  <si>
    <t xml:space="preserve">Pertumbuhan ekonomi Indonesia tahun 2018 diperkirakan sebesar 5,31% (yoy).</t>
  </si>
  <si>
    <t xml:space="preserve">QA0984</t>
  </si>
  <si>
    <t xml:space="preserve">Berapa persentase inflasi di Indonesia yang diharapkan tahun 2018?</t>
  </si>
  <si>
    <t xml:space="preserve">4,26 - 4,50%</t>
  </si>
  <si>
    <t xml:space="preserve">Text/Tabel 2: inflasi 2018 diperkirakan &lt;=3,50% (mpe 3,18%). Grafik 3: 2018 largest share 31,6% at &lt;=3,5%; 4,26-4,50% only 15,8%.</t>
  </si>
  <si>
    <t xml:space="preserve">4,26-4,50% is a minority range; expected 2018 inflation is 3,18% (range &lt;=3,50%). No calculation involved.</t>
  </si>
  <si>
    <t xml:space="preserve">Inflasi Indonesia tahun 2018 diperkirakan sebesar 3,18% (yoy), berada pada kisaran &lt;=3,50%; porsi responden terbesar (31,6%) memperkirakan inflasi &lt;=3,5%.</t>
  </si>
  <si>
    <t xml:space="preserve">QA0985</t>
  </si>
  <si>
    <t xml:space="preserve">Apakah strategi yang ditujukan untuk menarik aliran investasi asing?</t>
  </si>
  <si>
    <t xml:space="preserve">Strategi operasi moneter pro-market untuk menarik aliran masuk investasi portofolio asing dengan tetap menjaga kecukupan likuiditas di pasar uang dan perbankan</t>
  </si>
  <si>
    <t xml:space="preserve">Point 2: penguatan strategi operasi moneter pro-market untuk menarik aliran masuk investasi portofolio asing dengan tetap menjaga kecukupan likuiditas.</t>
  </si>
  <si>
    <t xml:space="preserve">QA0986</t>
  </si>
  <si>
    <t xml:space="preserve">Apakah ada program yang melibatkan Bank Indonesia dan Pemerintah?</t>
  </si>
  <si>
    <t xml:space="preserve">Ya, ada program Semarak Rupiah Ramadan dan Berkah Idulfitri (SERAMBI) 2026 yang melibatkan Bank Indonesia dan Pemerintah dalam upaya memperkuat efektivitas pelonggaran kebijakan makroprudensial</t>
  </si>
  <si>
    <t xml:space="preserve">Point 3: sinergi bersama Pemerintah untuk efektivitas pelonggaran makroprudensial melalui Program Percepatan Intermediasi Indonesia (PINISI) dan publikasi SBDK. SERAMBI (point 5) is about Rupiah availability.</t>
  </si>
  <si>
    <t xml:space="preserve">Wrong program: the BI-Government program for macroprudential easing is PINISI, not SERAMBI; text source, not chart.</t>
  </si>
  <si>
    <t xml:space="preserve">Ya, Bank Indonesia bersinergi dengan Pemerintah melalui Program Percepatan Intermediasi Indonesia (PINISI) untuk memperkuat efektivitas pelonggaran kebijakan makroprudensial.</t>
  </si>
  <si>
    <t xml:space="preserve">QA0987</t>
  </si>
  <si>
    <t xml:space="preserve">Berdasarkan grafik, bagaimana indikator PMI Global pada tahun 2025?</t>
  </si>
  <si>
    <t xml:space="preserve">Indeks PMI Global pada tahun 2025 sekitar 51.1</t>
  </si>
  <si>
    <t xml:space="preserve">PMI Global chart shows country lines only (AS, Kawasan Eropa, Jepang, Tiongkok, India); Jan 2026 labels: India 58,4, Jepang 53,1, AS 53,0, Tiongkok 51,6. No aggregate 51,1.</t>
  </si>
  <si>
    <t xml:space="preserve">51.1 does not appear; chart has no single global PMI. A description of 2025 country trends is needed, not a calculation.</t>
  </si>
  <si>
    <t xml:space="preserve">Berdasarkan grafik PMI Global, bagaimana perkembangan PMI negara utama pada tahun 2025?</t>
  </si>
  <si>
    <t xml:space="preserve">Sepanjang 2025 PMI negara utama umumnya di atas 50 (ekspansi): India tertinggi di kisaran 58-63, sedangkan AS, Kawasan Eropa, Jepang dan Tiongkok berkisar 49-55; pada Januari 2026 India 58,4, Jepang 53,1, AS 53,0 dan Tiongkok 51,6.</t>
  </si>
  <si>
    <t xml:space="preserve">Metrics per QA category and modality (Text / Chart / Table)</t>
  </si>
  <si>
    <t xml:space="preserve">Category = category assigned by the generator. Rates are % of QA in that row.</t>
  </si>
  <si>
    <t xml:space="preserve">Group</t>
  </si>
  <si>
    <t xml:space="preserve">Category / Modality</t>
  </si>
  <si>
    <t xml:space="preserve">FPY</t>
  </si>
  <si>
    <t xml:space="preserve">Category label correct %</t>
  </si>
  <si>
    <t xml:space="preserve">Top error: Factual/Numerical</t>
  </si>
  <si>
    <t xml:space="preserve">Category</t>
  </si>
  <si>
    <t xml:space="preserve">Top-error columns count the PRIMARY error type of each REVISE/DISCARD QA. "-" = no QA of that category for the model.</t>
  </si>
  <si>
    <t xml:space="preserve">Error type × QA category (any occurrence, one QA can have several)</t>
  </si>
  <si>
    <t xml:space="preserve">Counts of QA containing each error type. Use with By_Category N to get rates.</t>
  </si>
  <si>
    <t xml:space="preserve">Total</t>
  </si>
  <si>
    <t xml:space="preserve">N (QA in category)</t>
  </si>
  <si>
    <t xml:space="preserve">Discard analysis — why each QA was judged hallucinated</t>
  </si>
  <si>
    <t xml:space="preserve">DISCARD = question and answer are not in the document. Reason = what is missing; Answer basis = where the model's answer came from.</t>
  </si>
  <si>
    <t xml:space="preserve">Discard reason</t>
  </si>
  <si>
    <t xml:space="preserve">% of discards</t>
  </si>
  <si>
    <t xml:space="preserve">Total discards</t>
  </si>
  <si>
    <t xml:space="preserve">Answer basis</t>
  </si>
  <si>
    <t xml:space="preserve">Discards by category</t>
  </si>
  <si>
    <t xml:space="preserve">Discard rate in category (Overall)</t>
  </si>
  <si>
    <t xml:space="preserve">All discarded QA</t>
  </si>
  <si>
    <t xml:space="preserve">Evidence on page</t>
  </si>
  <si>
    <t xml:space="preserve">Why discarded</t>
  </si>
  <si>
    <t xml:space="preserve">Revision analysis — QA grounded in the page that need a fix</t>
  </si>
  <si>
    <t xml:space="preserve">Primary error type × severity for REVISE QA. Corrected answers are in QA_Detail (filter Verdict = REVISE).</t>
  </si>
  <si>
    <t xml:space="preserve">Primary error type</t>
  </si>
  <si>
    <t xml:space="preserve">% of revisions</t>
  </si>
  <si>
    <t xml:space="preserve">Total revisions</t>
  </si>
  <si>
    <t xml:space="preserve">Label-only revisions (category wrong, content correct)</t>
  </si>
  <si>
    <t xml:space="preserve">QA not included in the metrics</t>
  </si>
  <si>
    <t xml:space="preserve">Excluded because the page image is not in bi_images/single, or the model produced no QA.</t>
  </si>
  <si>
    <t xml:space="preserve">Reason excluded</t>
  </si>
  <si>
    <t xml:space="preserve">8dabadfb728f43cf89fe3bf6bb7614a3KERProvinsiKalimantanTengahTriwulanIV2012_p018.png</t>
  </si>
  <si>
    <t xml:space="preserve">Bagaimana kontribusi ekspor batubara pada kabupaten Kal teng di IV-2012?</t>
  </si>
  <si>
    <t xml:space="preserve">Kontribusi ekspor batubara di Kal teng di IV-2012 adalah 30,2%.</t>
  </si>
  <si>
    <t xml:space="preserve">Image not found in folder</t>
  </si>
  <si>
    <t xml:space="preserve">Bagaimana berubah nilai ekspor dan impor di IV-2012?</t>
  </si>
  <si>
    <t xml:space="preserve">Nilai ekspor meningkat 25,9% dan impor meningkat 35,9% pada IV-2012.</t>
  </si>
  <si>
    <t xml:space="preserve">Bagaimana banyaknya kemudahan transaksi ekspor batubara di IV-2012 dibandingkan dengan III?</t>
  </si>
  <si>
    <t xml:space="preserve">Kemudahan transaksi ekspor batubara di IV-2012 lebih banyak 51,1% dibandingkan dengan III.</t>
  </si>
  <si>
    <t xml:space="preserve">Buletin 20- 20Beyond 20Infinity 20Edisi 20Desember 202025_p022.png</t>
  </si>
  <si>
    <t xml:space="preserve">Jumlah jenis kemitraan PKA pada bulan November 2025 berapa?</t>
  </si>
  <si>
    <t xml:space="preserve">183</t>
  </si>
  <si>
    <t xml:space="preserve">Perkembangan total hit PAKJ pada bulan April 2025 berapa?</t>
  </si>
  <si>
    <t xml:space="preserve">52,053,242</t>
  </si>
  <si>
    <t xml:space="preserve">Pertumbuhan total transaksi PAKJ pada bulan Januari 2025 berapa?</t>
  </si>
  <si>
    <t xml:space="preserve">2,014,98</t>
  </si>
  <si>
    <t xml:space="preserve">Kajian 20Ekonomi 20dan 20Keuangan 20Regional 20Provinsi 20Bali 20November 202016_p068.png</t>
  </si>
  <si>
    <t xml:space="preserve">Bagaimana perkembangan umum inflasi di Bali pada tahun 2016?</t>
  </si>
  <si>
    <t xml:space="preserve">Inflasi di Bali pada tahun 2016 meningkat dari 3,18% pada triwulan III 2016 menjadi 3,07% pada tahun 2016.</t>
  </si>
  <si>
    <t xml:space="preserve">Bagaimana perubahan inflasi di Singaraja dan Denpasar pada tahun 2016?</t>
  </si>
  <si>
    <t xml:space="preserve">Inflasi di Singaraja meningkat dari 2,95% pada tahun 2015 menjadi 4,25% pada tahun 2016, sementara inflasi di Denpasar meningkat dari 0,26% pada tahun 2015 menjadi 0,23% pada tahun 2016.</t>
  </si>
  <si>
    <t xml:space="preserve">Bagaimana perubahan inflasi nasional pada tahun 2016?</t>
  </si>
  <si>
    <t xml:space="preserve">Inflasi nasional meningkat dari 4,01% pada tahun 2015 menjadi 4,01% pada tahun 2016.</t>
  </si>
  <si>
    <t xml:space="preserve">Kajian 20Ekonomi 20dan 20Keuangan 20Regional 20Provinsi 20Banten 20Triwulan 20II-2015_p072.png</t>
  </si>
  <si>
    <t xml:space="preserve">Bagaimana perubahan Pertanian di Provinsi Banten antara bulan Februari 2014 dan 2015?</t>
  </si>
  <si>
    <t xml:space="preserve">Pertanian meningkat dari 712 juta hewat pada Februari 2014 menjadi 695 juta hewat pada Februari 2015, berarti meningkat 17 juta hewat.</t>
  </si>
  <si>
    <t xml:space="preserve">Bagaimana persentase pertumbuhan Pertanian di Provinsi Banten selama periode 2014-2015?</t>
  </si>
  <si>
    <t xml:space="preserve">Pertanian meningkat 17 juta hewat, atau meningkat 2.4% dari periode 2014-2015.</t>
  </si>
  <si>
    <t xml:space="preserve">Bagaimana perubahan Jasa Kemasarakan di Provinsi Banten antara bulan Februari 2014 dan 2015?</t>
  </si>
  <si>
    <t xml:space="preserve">Jasa Kemasarakan meningkat dari 66 juta hewat pada Februari 2014 menjadi 1.020 juta hewat pada Februari 2015, berarti meningkat 954 juta hewat.</t>
  </si>
  <si>
    <t xml:space="preserve">Berapa kontribusi Batubara terhadap nilai ekspor Kalteng pada triwulan IV-2012?</t>
  </si>
  <si>
    <t xml:space="preserve">30,2% terhadap nilai ekspor Kalteng di triwulan IV-2012 sebesar US$211,38 juta.</t>
  </si>
  <si>
    <t xml:space="preserve">Berapa persentase penurunan volume ekspor batubara dari triwulan sebelumnya?</t>
  </si>
  <si>
    <t xml:space="preserve">25,9%.</t>
  </si>
  <si>
    <t xml:space="preserve">Berapa persentase penurunan nilai ekspor batubara di triwulan IV-2012 dibanding triwulan III?</t>
  </si>
  <si>
    <t xml:space="preserve">35,9%.</t>
  </si>
  <si>
    <t xml:space="preserve">Bulan mana jumlah kemitraan PKA terdaftar paling tinggi?</t>
  </si>
  <si>
    <t xml:space="preserve">Januari</t>
  </si>
  <si>
    <t xml:space="preserve">Jumlah kemitraan PAJK yang terdaftar pada bulan November 2025 meningkat sebanyak berapa persen?</t>
  </si>
  <si>
    <t xml:space="preserve">0,08%</t>
  </si>
  <si>
    <t xml:space="preserve">Total hit PAKA pada bulan November 2025 mencapai berapa?</t>
  </si>
  <si>
    <t xml:space="preserve">170,72 juta hit</t>
  </si>
  <si>
    <t xml:space="preserve">Apakah inflasi Bali pada triwulan III 2016 meningkat atau turun?</t>
  </si>
  <si>
    <t xml:space="preserve">Berapakah inflasi Bali pada triwulan III 2016?</t>
  </si>
  <si>
    <t xml:space="preserve">3,18%</t>
  </si>
  <si>
    <t xml:space="preserve">Berapakah inflasi Bali pada triwulan III 2016 dibandingkan inflasi nasional?</t>
  </si>
  <si>
    <t xml:space="preserve">Lebih tinggi dibandingkan inflasi nasional yang sebesar 3,07%</t>
  </si>
  <si>
    <t xml:space="preserve">Penduduk berapa jumlahnya yang bekerja di sektor pertanian pada Februari 2014?</t>
  </si>
  <si>
    <t xml:space="preserve">712</t>
  </si>
  <si>
    <t xml:space="preserve">Penduduk berapa jumlahnya yang bekerja di sektor industri pada Februari 2014?</t>
  </si>
  <si>
    <t xml:space="preserve">1.088</t>
  </si>
  <si>
    <t xml:space="preserve">Penduduk berapa jumlahnya yang bekerja di sektor jasa kemasyarakatan pada Februari 2015?</t>
  </si>
  <si>
    <t xml:space="preserve">885</t>
  </si>
  <si>
    <t xml:space="preserve">Generation failed: no JSON (hit 1024-token limit, output "!!!!…"), 0 QA produced</t>
  </si>
</sst>
</file>

<file path=xl/styles.xml><?xml version="1.0" encoding="utf-8"?>
<styleSheet xmlns="http://schemas.openxmlformats.org/spreadsheetml/2006/main">
  <numFmts count="4">
    <numFmt numFmtId="164" formatCode="General"/>
    <numFmt numFmtId="165" formatCode="General"/>
    <numFmt numFmtId="166" formatCode="0.0%"/>
    <numFmt numFmtId="167" formatCode="0%"/>
  </numFmts>
  <fonts count="17">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name val="Arial"/>
      <family val="0"/>
      <charset val="1"/>
    </font>
    <font>
      <sz val="10"/>
      <name val="Arial"/>
      <family val="0"/>
      <charset val="1"/>
    </font>
    <font>
      <i val="true"/>
      <sz val="10"/>
      <color rgb="FF595959"/>
      <name val="Arial"/>
      <family val="0"/>
      <charset val="1"/>
    </font>
    <font>
      <b val="true"/>
      <sz val="11"/>
      <color rgb="FFFFFFFF"/>
      <name val="Arial"/>
      <family val="0"/>
      <charset val="1"/>
    </font>
    <font>
      <sz val="9"/>
      <color rgb="FF595959"/>
      <name val="Arial"/>
      <family val="0"/>
      <charset val="1"/>
    </font>
    <font>
      <b val="true"/>
      <sz val="12"/>
      <color rgb="FF1F3864"/>
      <name val="Arial"/>
      <family val="0"/>
      <charset val="1"/>
    </font>
    <font>
      <i val="true"/>
      <sz val="9"/>
      <color rgb="FF595959"/>
      <name val="Arial"/>
      <family val="0"/>
      <charset val="1"/>
    </font>
    <font>
      <b val="true"/>
      <sz val="18"/>
      <color rgb="FF000000"/>
      <name val="Calibri"/>
      <family val="2"/>
    </font>
    <font>
      <sz val="10"/>
      <color rgb="FF000000"/>
      <name val="Calibri"/>
      <family val="2"/>
    </font>
    <font>
      <b val="true"/>
      <sz val="10"/>
      <color rgb="FF000000"/>
      <name val="Calibri"/>
      <family val="2"/>
    </font>
    <font>
      <sz val="10"/>
      <name val="Noto Sans CJK SC"/>
      <family val="2"/>
    </font>
    <font>
      <i val="true"/>
      <sz val="9"/>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D9E1F2"/>
        <bgColor rgb="FFD9D9D9"/>
      </patternFill>
    </fill>
    <fill>
      <patternFill patternType="solid">
        <fgColor rgb="FFFFF2CC"/>
        <bgColor rgb="FFE2EFDA"/>
      </patternFill>
    </fill>
    <fill>
      <patternFill patternType="solid">
        <fgColor rgb="FFF8CBAD"/>
        <bgColor rgb="FFD9D9D9"/>
      </patternFill>
    </fill>
    <fill>
      <patternFill patternType="solid">
        <fgColor rgb="FFE2EFDA"/>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6" fontId="6" fillId="3"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4" borderId="0" xfId="0" applyFont="true" applyBorder="false" applyAlignment="true" applyProtection="false">
      <alignment horizontal="general" vertical="top" textRotation="0" wrapText="false" indent="0" shrinkToFit="false"/>
      <protection locked="true" hidden="false"/>
    </xf>
    <xf numFmtId="164" fontId="6" fillId="5" borderId="0" xfId="0" applyFont="true" applyBorder="false" applyAlignment="true" applyProtection="false">
      <alignment horizontal="general" vertical="top" textRotation="0" wrapText="false" indent="0" shrinkToFit="false"/>
      <protection locked="true" hidden="false"/>
    </xf>
    <xf numFmtId="164" fontId="6" fillId="6" borderId="0" xfId="0" applyFont="true" applyBorder="false" applyAlignment="true" applyProtection="false">
      <alignment horizontal="general" vertical="top"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6" fontId="5"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FF2CC"/>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2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000"/>
      <rgbColor rgb="FFFF9900"/>
      <rgbColor rgb="FFED7D31"/>
      <rgbColor rgb="FF595959"/>
      <rgbColor rgb="FF70AD47"/>
      <rgbColor rgb="FF1F3864"/>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Core rates by model</a:t>
            </a:r>
          </a:p>
        </c:rich>
      </c:tx>
      <c:overlay val="0"/>
      <c:spPr>
        <a:noFill/>
        <a:ln w="0">
          <a:noFill/>
        </a:ln>
      </c:spPr>
    </c:title>
    <c:autoTitleDeleted val="0"/>
    <c:plotArea>
      <c:barChart>
        <c:barDir val="col"/>
        <c:grouping val="clustered"/>
        <c:varyColors val="0"/>
        <c:ser>
          <c:idx val="0"/>
          <c:order val="0"/>
          <c:tx>
            <c:strRef>
              <c:f>"InternVL"</c:f>
              <c:strCache>
                <c:ptCount val="1"/>
                <c:pt idx="0">
                  <c:v>InternVL</c:v>
                </c:pt>
              </c:strCache>
            </c:strRef>
          </c:tx>
          <c:spPr>
            <a:solidFill>
              <a:srgbClr val="2f5597"/>
            </a:solidFill>
            <a:ln w="0">
              <a:noFill/>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Summary!$A$11:$A$15</c:f>
              <c:strCache>
                <c:ptCount val="5"/>
                <c:pt idx="0">
                  <c:v>QA Accuracy</c:v>
                </c:pt>
                <c:pt idx="1">
                  <c:v>Revision Rate</c:v>
                </c:pt>
                <c:pt idx="2">
                  <c:v>Discard Rate</c:v>
                </c:pt>
                <c:pt idx="3">
                  <c:v>First Pass Yield (FPY)</c:v>
                </c:pt>
                <c:pt idx="4">
                  <c:v>Error Rate</c:v>
                </c:pt>
              </c:strCache>
            </c:strRef>
          </c:cat>
          <c:val>
            <c:numRef>
              <c:f>Summary!$B$11:$B$15</c:f>
              <c:numCache>
                <c:formatCode>0.0%</c:formatCode>
                <c:ptCount val="5"/>
                <c:pt idx="0">
                  <c:v>0.129292929292929</c:v>
                </c:pt>
                <c:pt idx="1">
                  <c:v>0.854545454545455</c:v>
                </c:pt>
                <c:pt idx="2">
                  <c:v>0.109090909090909</c:v>
                </c:pt>
                <c:pt idx="3">
                  <c:v>0.0363636363636364</c:v>
                </c:pt>
                <c:pt idx="4">
                  <c:v>0.963636363636364</c:v>
                </c:pt>
              </c:numCache>
            </c:numRef>
          </c:val>
        </c:ser>
        <c:ser>
          <c:idx val="1"/>
          <c:order val="1"/>
          <c:tx>
            <c:strRef>
              <c:f>"Qwen2.5-VL"</c:f>
              <c:strCache>
                <c:ptCount val="1"/>
                <c:pt idx="0">
                  <c:v>Qwen2.5-VL</c:v>
                </c:pt>
              </c:strCache>
            </c:strRef>
          </c:tx>
          <c:spPr>
            <a:solidFill>
              <a:srgbClr val="ed7d31"/>
            </a:solidFill>
            <a:ln w="0">
              <a:noFill/>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Summary!$A$11:$A$15</c:f>
              <c:strCache>
                <c:ptCount val="5"/>
                <c:pt idx="0">
                  <c:v>QA Accuracy</c:v>
                </c:pt>
                <c:pt idx="1">
                  <c:v>Revision Rate</c:v>
                </c:pt>
                <c:pt idx="2">
                  <c:v>Discard Rate</c:v>
                </c:pt>
                <c:pt idx="3">
                  <c:v>First Pass Yield (FPY)</c:v>
                </c:pt>
                <c:pt idx="4">
                  <c:v>Error Rate</c:v>
                </c:pt>
              </c:strCache>
            </c:strRef>
          </c:cat>
          <c:val>
            <c:numRef>
              <c:f>Summary!$C$11:$C$15</c:f>
              <c:numCache>
                <c:formatCode>0.0%</c:formatCode>
                <c:ptCount val="5"/>
                <c:pt idx="0">
                  <c:v>0.471544715447155</c:v>
                </c:pt>
                <c:pt idx="1">
                  <c:v>0.741869918699187</c:v>
                </c:pt>
                <c:pt idx="2">
                  <c:v>0.0467479674796748</c:v>
                </c:pt>
                <c:pt idx="3">
                  <c:v>0.211382113821138</c:v>
                </c:pt>
                <c:pt idx="4">
                  <c:v>0.788617886178862</c:v>
                </c:pt>
              </c:numCache>
            </c:numRef>
          </c:val>
        </c:ser>
        <c:gapWidth val="150"/>
        <c:overlap val="0"/>
        <c:axId val="40618178"/>
        <c:axId val="46399370"/>
      </c:barChart>
      <c:catAx>
        <c:axId val="4061817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399370"/>
        <c:crosses val="autoZero"/>
        <c:auto val="1"/>
        <c:lblAlgn val="ctr"/>
        <c:lblOffset val="100"/>
        <c:noMultiLvlLbl val="0"/>
      </c:catAx>
      <c:valAx>
        <c:axId val="46399370"/>
        <c:scaling>
          <c:orientation val="minMax"/>
          <c:max val="1"/>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QA</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61817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Error type prevalence (any occurrence)</a:t>
            </a:r>
          </a:p>
        </c:rich>
      </c:tx>
      <c:overlay val="0"/>
      <c:spPr>
        <a:noFill/>
        <a:ln w="0">
          <a:noFill/>
        </a:ln>
      </c:spPr>
    </c:title>
    <c:autoTitleDeleted val="0"/>
    <c:plotArea>
      <c:barChart>
        <c:barDir val="bar"/>
        <c:grouping val="clustered"/>
        <c:varyColors val="0"/>
        <c:ser>
          <c:idx val="0"/>
          <c:order val="0"/>
          <c:tx>
            <c:strRef>
              <c:f>Summary!E27</c:f>
              <c:strCache>
                <c:ptCount val="1"/>
                <c:pt idx="0">
                  <c:v>InternVL (any)</c:v>
                </c:pt>
              </c:strCache>
            </c:strRef>
          </c:tx>
          <c:spPr>
            <a:solidFill>
              <a:srgbClr val="2f559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Summary!$A$28:$A$37</c:f>
              <c:strCache>
                <c:ptCount val="10"/>
                <c:pt idx="0">
                  <c:v>Hallucination</c:v>
                </c:pt>
                <c:pt idx="1">
                  <c:v>Factual/Numerical</c:v>
                </c:pt>
                <c:pt idx="2">
                  <c:v>Calculation</c:v>
                </c:pt>
                <c:pt idx="3">
                  <c:v>Reasoning</c:v>
                </c:pt>
                <c:pt idx="4">
                  <c:v>Temporal</c:v>
                </c:pt>
                <c:pt idx="5">
                  <c:v>Unit</c:v>
                </c:pt>
                <c:pt idx="6">
                  <c:v>Incomplete</c:v>
                </c:pt>
                <c:pt idx="7">
                  <c:v>Instruction-following</c:v>
                </c:pt>
                <c:pt idx="8">
                  <c:v>Format</c:v>
                </c:pt>
                <c:pt idx="9">
                  <c:v>Typo/Grammar</c:v>
                </c:pt>
              </c:strCache>
            </c:strRef>
          </c:cat>
          <c:val>
            <c:numRef>
              <c:f>Summary!$E$28:$E$37</c:f>
              <c:numCache>
                <c:formatCode>General</c:formatCode>
                <c:ptCount val="10"/>
                <c:pt idx="0">
                  <c:v>55</c:v>
                </c:pt>
                <c:pt idx="1">
                  <c:v>273</c:v>
                </c:pt>
                <c:pt idx="2">
                  <c:v>30</c:v>
                </c:pt>
                <c:pt idx="3">
                  <c:v>107</c:v>
                </c:pt>
                <c:pt idx="4">
                  <c:v>123</c:v>
                </c:pt>
                <c:pt idx="5">
                  <c:v>61</c:v>
                </c:pt>
                <c:pt idx="6">
                  <c:v>54</c:v>
                </c:pt>
                <c:pt idx="7">
                  <c:v>279</c:v>
                </c:pt>
                <c:pt idx="8">
                  <c:v>35</c:v>
                </c:pt>
                <c:pt idx="9">
                  <c:v>198</c:v>
                </c:pt>
              </c:numCache>
            </c:numRef>
          </c:val>
        </c:ser>
        <c:ser>
          <c:idx val="1"/>
          <c:order val="1"/>
          <c:tx>
            <c:strRef>
              <c:f>Summary!F27</c:f>
              <c:strCache>
                <c:ptCount val="1"/>
                <c:pt idx="0">
                  <c:v>Qwen2.5-VL (any)</c:v>
                </c:pt>
              </c:strCache>
            </c:strRef>
          </c:tx>
          <c:spPr>
            <a:solidFill>
              <a:srgbClr val="ed7d3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Summary!$A$28:$A$37</c:f>
              <c:strCache>
                <c:ptCount val="10"/>
                <c:pt idx="0">
                  <c:v>Hallucination</c:v>
                </c:pt>
                <c:pt idx="1">
                  <c:v>Factual/Numerical</c:v>
                </c:pt>
                <c:pt idx="2">
                  <c:v>Calculation</c:v>
                </c:pt>
                <c:pt idx="3">
                  <c:v>Reasoning</c:v>
                </c:pt>
                <c:pt idx="4">
                  <c:v>Temporal</c:v>
                </c:pt>
                <c:pt idx="5">
                  <c:v>Unit</c:v>
                </c:pt>
                <c:pt idx="6">
                  <c:v>Incomplete</c:v>
                </c:pt>
                <c:pt idx="7">
                  <c:v>Instruction-following</c:v>
                </c:pt>
                <c:pt idx="8">
                  <c:v>Format</c:v>
                </c:pt>
                <c:pt idx="9">
                  <c:v>Typo/Grammar</c:v>
                </c:pt>
              </c:strCache>
            </c:strRef>
          </c:cat>
          <c:val>
            <c:numRef>
              <c:f>Summary!$F$28:$F$37</c:f>
              <c:numCache>
                <c:formatCode>General</c:formatCode>
                <c:ptCount val="10"/>
                <c:pt idx="0">
                  <c:v>23</c:v>
                </c:pt>
                <c:pt idx="1">
                  <c:v>110</c:v>
                </c:pt>
                <c:pt idx="2">
                  <c:v>16</c:v>
                </c:pt>
                <c:pt idx="3">
                  <c:v>52</c:v>
                </c:pt>
                <c:pt idx="4">
                  <c:v>35</c:v>
                </c:pt>
                <c:pt idx="5">
                  <c:v>43</c:v>
                </c:pt>
                <c:pt idx="6">
                  <c:v>62</c:v>
                </c:pt>
                <c:pt idx="7">
                  <c:v>296</c:v>
                </c:pt>
                <c:pt idx="8">
                  <c:v>34</c:v>
                </c:pt>
                <c:pt idx="9">
                  <c:v>100</c:v>
                </c:pt>
              </c:numCache>
            </c:numRef>
          </c:val>
        </c:ser>
        <c:gapWidth val="150"/>
        <c:overlap val="0"/>
        <c:axId val="17692874"/>
        <c:axId val="30193226"/>
      </c:barChart>
      <c:catAx>
        <c:axId val="1769287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193226"/>
        <c:crosses val="autoZero"/>
        <c:auto val="1"/>
        <c:lblAlgn val="ctr"/>
        <c:lblOffset val="100"/>
        <c:noMultiLvlLbl val="0"/>
      </c:catAx>
      <c:valAx>
        <c:axId val="30193226"/>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QA 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69287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Severity mix by model (% of QA)</a:t>
            </a:r>
          </a:p>
        </c:rich>
      </c:tx>
      <c:overlay val="0"/>
      <c:spPr>
        <a:noFill/>
        <a:ln w="0">
          <a:noFill/>
        </a:ln>
      </c:spPr>
    </c:title>
    <c:autoTitleDeleted val="0"/>
    <c:plotArea>
      <c:barChart>
        <c:barDir val="col"/>
        <c:grouping val="stacked"/>
        <c:varyColors val="0"/>
        <c:ser>
          <c:idx val="0"/>
          <c:order val="0"/>
          <c:tx>
            <c:strRef>
              <c:f>"Minor"</c:f>
              <c:strCache>
                <c:ptCount val="1"/>
                <c:pt idx="0">
                  <c:v>Minor</c:v>
                </c:pt>
              </c:strCache>
            </c:strRef>
          </c:tx>
          <c:spPr>
            <a:solidFill>
              <a:srgbClr val="ffc00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Summary!$F$20:$G$20</c:f>
              <c:multiLvlStrCache>
                <c:ptCount val="1"/>
                <c:lvl>
                  <c:pt idx="0">
                    <c:v>Qwen2.5-VL %</c:v>
                  </c:pt>
                </c:lvl>
                <c:lvl>
                  <c:pt idx="0">
                    <c:v>InternVL %</c:v>
                  </c:pt>
                </c:lvl>
              </c:multiLvlStrCache>
            </c:multiLvlStrRef>
          </c:cat>
          <c:val>
            <c:numRef>
              <c:f>Summary!$F$21:$G$21</c:f>
              <c:numCache>
                <c:formatCode>0.0%</c:formatCode>
                <c:ptCount val="2"/>
                <c:pt idx="0">
                  <c:v>0.218181818181818</c:v>
                </c:pt>
                <c:pt idx="1">
                  <c:v>0.422764227642276</c:v>
                </c:pt>
              </c:numCache>
            </c:numRef>
          </c:val>
        </c:ser>
        <c:ser>
          <c:idx val="1"/>
          <c:order val="1"/>
          <c:tx>
            <c:strRef>
              <c:f>"Major"</c:f>
              <c:strCache>
                <c:ptCount val="1"/>
                <c:pt idx="0">
                  <c:v>Major</c:v>
                </c:pt>
              </c:strCache>
            </c:strRef>
          </c:tx>
          <c:spPr>
            <a:solidFill>
              <a:srgbClr val="ed7d3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Summary!$F$20:$G$20</c:f>
              <c:multiLvlStrCache>
                <c:ptCount val="1"/>
                <c:lvl>
                  <c:pt idx="0">
                    <c:v>Qwen2.5-VL %</c:v>
                  </c:pt>
                </c:lvl>
                <c:lvl>
                  <c:pt idx="0">
                    <c:v>InternVL %</c:v>
                  </c:pt>
                </c:lvl>
              </c:multiLvlStrCache>
            </c:multiLvlStrRef>
          </c:cat>
          <c:val>
            <c:numRef>
              <c:f>Summary!$F$22:$G$22</c:f>
              <c:numCache>
                <c:formatCode>0.0%</c:formatCode>
                <c:ptCount val="2"/>
                <c:pt idx="0">
                  <c:v>0.636363636363636</c:v>
                </c:pt>
                <c:pt idx="1">
                  <c:v>0.319105691056911</c:v>
                </c:pt>
              </c:numCache>
            </c:numRef>
          </c:val>
        </c:ser>
        <c:ser>
          <c:idx val="2"/>
          <c:order val="2"/>
          <c:tx>
            <c:strRef>
              <c:f>"Critical"</c:f>
              <c:strCache>
                <c:ptCount val="1"/>
                <c:pt idx="0">
                  <c:v>Critical</c:v>
                </c:pt>
              </c:strCache>
            </c:strRef>
          </c:tx>
          <c:spPr>
            <a:solidFill>
              <a:srgbClr val="c0000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Summary!$F$20:$G$20</c:f>
              <c:multiLvlStrCache>
                <c:ptCount val="1"/>
                <c:lvl>
                  <c:pt idx="0">
                    <c:v>Qwen2.5-VL %</c:v>
                  </c:pt>
                </c:lvl>
                <c:lvl>
                  <c:pt idx="0">
                    <c:v>InternVL %</c:v>
                  </c:pt>
                </c:lvl>
              </c:multiLvlStrCache>
            </c:multiLvlStrRef>
          </c:cat>
          <c:val>
            <c:numRef>
              <c:f>Summary!$F$23:$G$23</c:f>
              <c:numCache>
                <c:formatCode>0.0%</c:formatCode>
                <c:ptCount val="2"/>
                <c:pt idx="0">
                  <c:v>0.109090909090909</c:v>
                </c:pt>
                <c:pt idx="1">
                  <c:v>0.0467479674796748</c:v>
                </c:pt>
              </c:numCache>
            </c:numRef>
          </c:val>
        </c:ser>
        <c:gapWidth val="150"/>
        <c:overlap val="100"/>
        <c:axId val="68342523"/>
        <c:axId val="9566644"/>
      </c:barChart>
      <c:catAx>
        <c:axId val="6834252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66644"/>
        <c:crosses val="autoZero"/>
        <c:auto val="1"/>
        <c:lblAlgn val="ctr"/>
        <c:lblOffset val="100"/>
        <c:noMultiLvlLbl val="0"/>
      </c:catAx>
      <c:valAx>
        <c:axId val="9566644"/>
        <c:scaling>
          <c:orientation val="minMax"/>
          <c:max val="1"/>
          <c:min val="0"/>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34252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InternVL: Accuracy / FPY / Discard by category</a:t>
            </a:r>
          </a:p>
        </c:rich>
      </c:tx>
      <c:overlay val="0"/>
      <c:spPr>
        <a:noFill/>
        <a:ln w="0">
          <a:noFill/>
        </a:ln>
      </c:spPr>
    </c:title>
    <c:autoTitleDeleted val="0"/>
    <c:plotArea>
      <c:barChart>
        <c:barDir val="bar"/>
        <c:grouping val="clustered"/>
        <c:varyColors val="0"/>
        <c:ser>
          <c:idx val="0"/>
          <c:order val="0"/>
          <c:tx>
            <c:strRef>
              <c:f>"QA Accuracy"</c:f>
              <c:strCache>
                <c:ptCount val="1"/>
                <c:pt idx="0">
                  <c:v>QA Accuracy</c:v>
                </c:pt>
              </c:strCache>
            </c:strRef>
          </c:tx>
          <c:spPr>
            <a:solidFill>
              <a:srgbClr val="70ad4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By_Category!$C$8:$C$13</c:f>
              <c:strCache>
                <c:ptCount val="6"/>
                <c:pt idx="0">
                  <c:v>Text-Text Inference</c:v>
                </c:pt>
                <c:pt idx="1">
                  <c:v>Chart-Information Extraction</c:v>
                </c:pt>
                <c:pt idx="2">
                  <c:v>Chart-Numerical Calculation</c:v>
                </c:pt>
                <c:pt idx="3">
                  <c:v>Chart-Time-Sensitive</c:v>
                </c:pt>
                <c:pt idx="4">
                  <c:v>Table-Numerical Calculation</c:v>
                </c:pt>
                <c:pt idx="5">
                  <c:v>Table-Comparison and Sorting</c:v>
                </c:pt>
              </c:strCache>
            </c:strRef>
          </c:cat>
          <c:val>
            <c:numRef>
              <c:f>By_Category!$I$8:$I$13</c:f>
              <c:numCache>
                <c:formatCode>0.0%</c:formatCode>
                <c:ptCount val="6"/>
                <c:pt idx="0">
                  <c:v>0.181208053691275</c:v>
                </c:pt>
                <c:pt idx="1">
                  <c:v>0.115044247787611</c:v>
                </c:pt>
                <c:pt idx="2">
                  <c:v>0.1171875</c:v>
                </c:pt>
                <c:pt idx="3">
                  <c:v>0.0303030303030303</c:v>
                </c:pt>
                <c:pt idx="4">
                  <c:v>0.192307692307692</c:v>
                </c:pt>
                <c:pt idx="5">
                  <c:v>0.153846153846154</c:v>
                </c:pt>
              </c:numCache>
            </c:numRef>
          </c:val>
        </c:ser>
        <c:ser>
          <c:idx val="1"/>
          <c:order val="1"/>
          <c:tx>
            <c:strRef>
              <c:f>"FPY"</c:f>
              <c:strCache>
                <c:ptCount val="1"/>
                <c:pt idx="0">
                  <c:v>FPY</c:v>
                </c:pt>
              </c:strCache>
            </c:strRef>
          </c:tx>
          <c:spPr>
            <a:solidFill>
              <a:srgbClr val="2f559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By_Category!$C$8:$C$13</c:f>
              <c:strCache>
                <c:ptCount val="6"/>
                <c:pt idx="0">
                  <c:v>Text-Text Inference</c:v>
                </c:pt>
                <c:pt idx="1">
                  <c:v>Chart-Information Extraction</c:v>
                </c:pt>
                <c:pt idx="2">
                  <c:v>Chart-Numerical Calculation</c:v>
                </c:pt>
                <c:pt idx="3">
                  <c:v>Chart-Time-Sensitive</c:v>
                </c:pt>
                <c:pt idx="4">
                  <c:v>Table-Numerical Calculation</c:v>
                </c:pt>
                <c:pt idx="5">
                  <c:v>Table-Comparison and Sorting</c:v>
                </c:pt>
              </c:strCache>
            </c:strRef>
          </c:cat>
          <c:val>
            <c:numRef>
              <c:f>By_Category!$L$8:$L$13</c:f>
              <c:numCache>
                <c:formatCode>0.0%</c:formatCode>
                <c:ptCount val="6"/>
                <c:pt idx="0">
                  <c:v>0.100671140939597</c:v>
                </c:pt>
                <c:pt idx="1">
                  <c:v>0.0176991150442478</c:v>
                </c:pt>
                <c:pt idx="2">
                  <c:v>0</c:v>
                </c:pt>
                <c:pt idx="3">
                  <c:v>0.0151515151515152</c:v>
                </c:pt>
                <c:pt idx="4">
                  <c:v>0</c:v>
                </c:pt>
                <c:pt idx="5">
                  <c:v>0</c:v>
                </c:pt>
              </c:numCache>
            </c:numRef>
          </c:val>
        </c:ser>
        <c:ser>
          <c:idx val="2"/>
          <c:order val="2"/>
          <c:tx>
            <c:strRef>
              <c:f>"Discard Rate"</c:f>
              <c:strCache>
                <c:ptCount val="1"/>
                <c:pt idx="0">
                  <c:v>Discard Rate</c:v>
                </c:pt>
              </c:strCache>
            </c:strRef>
          </c:tx>
          <c:spPr>
            <a:solidFill>
              <a:srgbClr val="c0000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By_Category!$C$8:$C$13</c:f>
              <c:strCache>
                <c:ptCount val="6"/>
                <c:pt idx="0">
                  <c:v>Text-Text Inference</c:v>
                </c:pt>
                <c:pt idx="1">
                  <c:v>Chart-Information Extraction</c:v>
                </c:pt>
                <c:pt idx="2">
                  <c:v>Chart-Numerical Calculation</c:v>
                </c:pt>
                <c:pt idx="3">
                  <c:v>Chart-Time-Sensitive</c:v>
                </c:pt>
                <c:pt idx="4">
                  <c:v>Table-Numerical Calculation</c:v>
                </c:pt>
                <c:pt idx="5">
                  <c:v>Table-Comparison and Sorting</c:v>
                </c:pt>
              </c:strCache>
            </c:strRef>
          </c:cat>
          <c:val>
            <c:numRef>
              <c:f>By_Category!$K$8:$K$13</c:f>
              <c:numCache>
                <c:formatCode>0.0%</c:formatCode>
                <c:ptCount val="6"/>
                <c:pt idx="0">
                  <c:v>0.100671140939597</c:v>
                </c:pt>
                <c:pt idx="1">
                  <c:v>0.150442477876106</c:v>
                </c:pt>
                <c:pt idx="2">
                  <c:v>0.078125</c:v>
                </c:pt>
                <c:pt idx="3">
                  <c:v>0.121212121212121</c:v>
                </c:pt>
                <c:pt idx="4">
                  <c:v>0.115384615384615</c:v>
                </c:pt>
                <c:pt idx="5">
                  <c:v>0.0769230769230769</c:v>
                </c:pt>
              </c:numCache>
            </c:numRef>
          </c:val>
        </c:ser>
        <c:gapWidth val="150"/>
        <c:overlap val="0"/>
        <c:axId val="64128370"/>
        <c:axId val="57916109"/>
      </c:barChart>
      <c:catAx>
        <c:axId val="6412837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916109"/>
        <c:crosses val="autoZero"/>
        <c:auto val="1"/>
        <c:lblAlgn val="ctr"/>
        <c:lblOffset val="100"/>
        <c:noMultiLvlLbl val="0"/>
      </c:catAx>
      <c:valAx>
        <c:axId val="57916109"/>
        <c:scaling>
          <c:orientation val="minMax"/>
          <c:max val="1"/>
          <c:min val="0"/>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12837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Qwen2.5-VL: Accuracy / FPY / Discard by category</a:t>
            </a:r>
          </a:p>
        </c:rich>
      </c:tx>
      <c:overlay val="0"/>
      <c:spPr>
        <a:noFill/>
        <a:ln w="0">
          <a:noFill/>
        </a:ln>
      </c:spPr>
    </c:title>
    <c:autoTitleDeleted val="0"/>
    <c:plotArea>
      <c:barChart>
        <c:barDir val="bar"/>
        <c:grouping val="clustered"/>
        <c:varyColors val="0"/>
        <c:ser>
          <c:idx val="0"/>
          <c:order val="0"/>
          <c:tx>
            <c:strRef>
              <c:f>"QA Accuracy"</c:f>
              <c:strCache>
                <c:ptCount val="1"/>
                <c:pt idx="0">
                  <c:v>QA Accuracy</c:v>
                </c:pt>
              </c:strCache>
            </c:strRef>
          </c:tx>
          <c:spPr>
            <a:solidFill>
              <a:srgbClr val="70ad4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By_Category!$C$18:$C$23</c:f>
              <c:strCache>
                <c:ptCount val="6"/>
                <c:pt idx="0">
                  <c:v>Text-Text Inference</c:v>
                </c:pt>
                <c:pt idx="1">
                  <c:v>Chart-Information Extraction</c:v>
                </c:pt>
                <c:pt idx="2">
                  <c:v>Chart-Numerical Calculation</c:v>
                </c:pt>
                <c:pt idx="3">
                  <c:v>Chart-Time-Sensitive</c:v>
                </c:pt>
                <c:pt idx="4">
                  <c:v>Table-Numerical Calculation</c:v>
                </c:pt>
                <c:pt idx="5">
                  <c:v>Table-Comparison and Sorting</c:v>
                </c:pt>
              </c:strCache>
            </c:strRef>
          </c:cat>
          <c:val>
            <c:numRef>
              <c:f>By_Category!$I$18:$I$23</c:f>
              <c:numCache>
                <c:formatCode>0.0%</c:formatCode>
                <c:ptCount val="6"/>
                <c:pt idx="0">
                  <c:v>0.650306748466258</c:v>
                </c:pt>
                <c:pt idx="1">
                  <c:v>0.361290322580645</c:v>
                </c:pt>
                <c:pt idx="2">
                  <c:v>0.404580152671756</c:v>
                </c:pt>
                <c:pt idx="3">
                  <c:v>0.352941176470588</c:v>
                </c:pt>
                <c:pt idx="4">
                  <c:v>0.416666666666667</c:v>
                </c:pt>
                <c:pt idx="5">
                  <c:v>0.5</c:v>
                </c:pt>
              </c:numCache>
            </c:numRef>
          </c:val>
        </c:ser>
        <c:ser>
          <c:idx val="1"/>
          <c:order val="1"/>
          <c:tx>
            <c:strRef>
              <c:f>"FPY"</c:f>
              <c:strCache>
                <c:ptCount val="1"/>
                <c:pt idx="0">
                  <c:v>FPY</c:v>
                </c:pt>
              </c:strCache>
            </c:strRef>
          </c:tx>
          <c:spPr>
            <a:solidFill>
              <a:srgbClr val="2f559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By_Category!$C$18:$C$23</c:f>
              <c:strCache>
                <c:ptCount val="6"/>
                <c:pt idx="0">
                  <c:v>Text-Text Inference</c:v>
                </c:pt>
                <c:pt idx="1">
                  <c:v>Chart-Information Extraction</c:v>
                </c:pt>
                <c:pt idx="2">
                  <c:v>Chart-Numerical Calculation</c:v>
                </c:pt>
                <c:pt idx="3">
                  <c:v>Chart-Time-Sensitive</c:v>
                </c:pt>
                <c:pt idx="4">
                  <c:v>Table-Numerical Calculation</c:v>
                </c:pt>
                <c:pt idx="5">
                  <c:v>Table-Comparison and Sorting</c:v>
                </c:pt>
              </c:strCache>
            </c:strRef>
          </c:cat>
          <c:val>
            <c:numRef>
              <c:f>By_Category!$L$18:$L$23</c:f>
              <c:numCache>
                <c:formatCode>0.0%</c:formatCode>
                <c:ptCount val="6"/>
                <c:pt idx="0">
                  <c:v>0.54601226993865</c:v>
                </c:pt>
                <c:pt idx="1">
                  <c:v>0.0709677419354839</c:v>
                </c:pt>
                <c:pt idx="2">
                  <c:v>0.00763358778625954</c:v>
                </c:pt>
                <c:pt idx="3">
                  <c:v>0.117647058823529</c:v>
                </c:pt>
                <c:pt idx="4">
                  <c:v>0.0416666666666667</c:v>
                </c:pt>
                <c:pt idx="5">
                  <c:v>0</c:v>
                </c:pt>
              </c:numCache>
            </c:numRef>
          </c:val>
        </c:ser>
        <c:ser>
          <c:idx val="2"/>
          <c:order val="2"/>
          <c:tx>
            <c:strRef>
              <c:f>"Discard Rate"</c:f>
              <c:strCache>
                <c:ptCount val="1"/>
                <c:pt idx="0">
                  <c:v>Discard Rate</c:v>
                </c:pt>
              </c:strCache>
            </c:strRef>
          </c:tx>
          <c:spPr>
            <a:solidFill>
              <a:srgbClr val="c0000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By_Category!$C$18:$C$23</c:f>
              <c:strCache>
                <c:ptCount val="6"/>
                <c:pt idx="0">
                  <c:v>Text-Text Inference</c:v>
                </c:pt>
                <c:pt idx="1">
                  <c:v>Chart-Information Extraction</c:v>
                </c:pt>
                <c:pt idx="2">
                  <c:v>Chart-Numerical Calculation</c:v>
                </c:pt>
                <c:pt idx="3">
                  <c:v>Chart-Time-Sensitive</c:v>
                </c:pt>
                <c:pt idx="4">
                  <c:v>Table-Numerical Calculation</c:v>
                </c:pt>
                <c:pt idx="5">
                  <c:v>Table-Comparison and Sorting</c:v>
                </c:pt>
              </c:strCache>
            </c:strRef>
          </c:cat>
          <c:val>
            <c:numRef>
              <c:f>By_Category!$K$18:$K$23</c:f>
              <c:numCache>
                <c:formatCode>0.0%</c:formatCode>
                <c:ptCount val="6"/>
                <c:pt idx="0">
                  <c:v>0.0368098159509203</c:v>
                </c:pt>
                <c:pt idx="1">
                  <c:v>0.0645161290322581</c:v>
                </c:pt>
                <c:pt idx="2">
                  <c:v>0.0229007633587786</c:v>
                </c:pt>
                <c:pt idx="3">
                  <c:v>0.176470588235294</c:v>
                </c:pt>
                <c:pt idx="4">
                  <c:v>0.0416666666666667</c:v>
                </c:pt>
                <c:pt idx="5">
                  <c:v>0</c:v>
                </c:pt>
              </c:numCache>
            </c:numRef>
          </c:val>
        </c:ser>
        <c:gapWidth val="150"/>
        <c:overlap val="0"/>
        <c:axId val="1429290"/>
        <c:axId val="55300371"/>
      </c:barChart>
      <c:catAx>
        <c:axId val="14292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300371"/>
        <c:crosses val="autoZero"/>
        <c:auto val="1"/>
        <c:lblAlgn val="ctr"/>
        <c:lblOffset val="100"/>
        <c:noMultiLvlLbl val="0"/>
      </c:catAx>
      <c:valAx>
        <c:axId val="55300371"/>
        <c:scaling>
          <c:orientation val="minMax"/>
          <c:max val="1"/>
          <c:min val="0"/>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2929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Discard reasons</a:t>
            </a:r>
          </a:p>
        </c:rich>
      </c:tx>
      <c:overlay val="0"/>
      <c:spPr>
        <a:noFill/>
        <a:ln w="0">
          <a:noFill/>
        </a:ln>
      </c:spPr>
    </c:title>
    <c:autoTitleDeleted val="0"/>
    <c:plotArea>
      <c:barChart>
        <c:barDir val="bar"/>
        <c:grouping val="clustered"/>
        <c:varyColors val="0"/>
        <c:ser>
          <c:idx val="0"/>
          <c:order val="0"/>
          <c:tx>
            <c:strRef>
              <c:f>Discard_Analysis!B4</c:f>
              <c:strCache>
                <c:ptCount val="1"/>
                <c:pt idx="0">
                  <c:v>InternVL</c:v>
                </c:pt>
              </c:strCache>
            </c:strRef>
          </c:tx>
          <c:spPr>
            <a:solidFill>
              <a:srgbClr val="2f559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Discard_Analysis!$A$5:$A$9</c:f>
              <c:strCache>
                <c:ptCount val="5"/>
                <c:pt idx="0">
                  <c:v>Metric/topic not on page</c:v>
                </c:pt>
                <c:pt idx="1">
                  <c:v>Entity/region not on page</c:v>
                </c:pt>
                <c:pt idx="2">
                  <c:v>Period/time comparison not on page</c:v>
                </c:pt>
                <c:pt idx="3">
                  <c:v>Garbled/unintelligible question</c:v>
                </c:pt>
                <c:pt idx="4">
                  <c:v>False premise / speculation</c:v>
                </c:pt>
              </c:strCache>
            </c:strRef>
          </c:cat>
          <c:val>
            <c:numRef>
              <c:f>Discard_Analysis!$B$5:$B$9</c:f>
              <c:numCache>
                <c:formatCode>General</c:formatCode>
                <c:ptCount val="5"/>
                <c:pt idx="0">
                  <c:v>19</c:v>
                </c:pt>
                <c:pt idx="1">
                  <c:v>6</c:v>
                </c:pt>
                <c:pt idx="2">
                  <c:v>10</c:v>
                </c:pt>
                <c:pt idx="3">
                  <c:v>13</c:v>
                </c:pt>
                <c:pt idx="4">
                  <c:v>6</c:v>
                </c:pt>
              </c:numCache>
            </c:numRef>
          </c:val>
        </c:ser>
        <c:ser>
          <c:idx val="1"/>
          <c:order val="1"/>
          <c:tx>
            <c:strRef>
              <c:f>Discard_Analysis!C4</c:f>
              <c:strCache>
                <c:ptCount val="1"/>
                <c:pt idx="0">
                  <c:v>Qwen2.5-VL</c:v>
                </c:pt>
              </c:strCache>
            </c:strRef>
          </c:tx>
          <c:spPr>
            <a:solidFill>
              <a:srgbClr val="ed7d3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Discard_Analysis!$A$5:$A$9</c:f>
              <c:strCache>
                <c:ptCount val="5"/>
                <c:pt idx="0">
                  <c:v>Metric/topic not on page</c:v>
                </c:pt>
                <c:pt idx="1">
                  <c:v>Entity/region not on page</c:v>
                </c:pt>
                <c:pt idx="2">
                  <c:v>Period/time comparison not on page</c:v>
                </c:pt>
                <c:pt idx="3">
                  <c:v>Garbled/unintelligible question</c:v>
                </c:pt>
                <c:pt idx="4">
                  <c:v>False premise / speculation</c:v>
                </c:pt>
              </c:strCache>
            </c:strRef>
          </c:cat>
          <c:val>
            <c:numRef>
              <c:f>Discard_Analysis!$C$5:$C$9</c:f>
              <c:numCache>
                <c:formatCode>General</c:formatCode>
                <c:ptCount val="5"/>
                <c:pt idx="0">
                  <c:v>19</c:v>
                </c:pt>
                <c:pt idx="1">
                  <c:v>1</c:v>
                </c:pt>
                <c:pt idx="2">
                  <c:v>2</c:v>
                </c:pt>
                <c:pt idx="3">
                  <c:v>0</c:v>
                </c:pt>
                <c:pt idx="4">
                  <c:v>1</c:v>
                </c:pt>
              </c:numCache>
            </c:numRef>
          </c:val>
        </c:ser>
        <c:gapWidth val="150"/>
        <c:overlap val="0"/>
        <c:axId val="37720053"/>
        <c:axId val="93090531"/>
      </c:barChart>
      <c:catAx>
        <c:axId val="3772005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090531"/>
        <c:crosses val="autoZero"/>
        <c:auto val="1"/>
        <c:lblAlgn val="ctr"/>
        <c:lblOffset val="100"/>
        <c:noMultiLvlLbl val="0"/>
      </c:catAx>
      <c:valAx>
        <c:axId val="93090531"/>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72005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_rels/drawing3.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
</Relationships>
</file>

<file path=xl/drawings/_rels/drawing4.xml.rels><?xml version="1.0" encoding="UTF-8"?>
<Relationships xmlns="http://schemas.openxmlformats.org/package/2006/relationships"><Relationship Id="rId1"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2</xdr:row>
      <xdr:rowOff>160920</xdr:rowOff>
    </xdr:from>
    <xdr:to>
      <xdr:col>19</xdr:col>
      <xdr:colOff>364680</xdr:colOff>
      <xdr:row>17</xdr:row>
      <xdr:rowOff>182880</xdr:rowOff>
    </xdr:to>
    <xdr:graphicFrame>
      <xdr:nvGraphicFramePr>
        <xdr:cNvPr id="0" name="Chart 1"/>
        <xdr:cNvGraphicFramePr/>
      </xdr:nvGraphicFramePr>
      <xdr:xfrm>
        <a:off x="11113920" y="571680"/>
        <a:ext cx="64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20</xdr:row>
      <xdr:rowOff>160920</xdr:rowOff>
    </xdr:from>
    <xdr:to>
      <xdr:col>19</xdr:col>
      <xdr:colOff>364680</xdr:colOff>
      <xdr:row>37</xdr:row>
      <xdr:rowOff>11520</xdr:rowOff>
    </xdr:to>
    <xdr:graphicFrame>
      <xdr:nvGraphicFramePr>
        <xdr:cNvPr id="1" name="Chart 2"/>
        <xdr:cNvGraphicFramePr/>
      </xdr:nvGraphicFramePr>
      <xdr:xfrm>
        <a:off x="11113920" y="4000680"/>
        <a:ext cx="64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39</xdr:row>
      <xdr:rowOff>10440</xdr:rowOff>
    </xdr:from>
    <xdr:to>
      <xdr:col>16</xdr:col>
      <xdr:colOff>39240</xdr:colOff>
      <xdr:row>54</xdr:row>
      <xdr:rowOff>32400</xdr:rowOff>
    </xdr:to>
    <xdr:graphicFrame>
      <xdr:nvGraphicFramePr>
        <xdr:cNvPr id="2" name="Chart 3"/>
        <xdr:cNvGraphicFramePr/>
      </xdr:nvGraphicFramePr>
      <xdr:xfrm>
        <a:off x="11113920" y="7620120"/>
        <a:ext cx="431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35</xdr:row>
      <xdr:rowOff>160560</xdr:rowOff>
    </xdr:from>
    <xdr:to>
      <xdr:col>6</xdr:col>
      <xdr:colOff>551160</xdr:colOff>
      <xdr:row>52</xdr:row>
      <xdr:rowOff>161640</xdr:rowOff>
    </xdr:to>
    <xdr:graphicFrame>
      <xdr:nvGraphicFramePr>
        <xdr:cNvPr id="3" name="Chart 1"/>
        <xdr:cNvGraphicFramePr/>
      </xdr:nvGraphicFramePr>
      <xdr:xfrm>
        <a:off x="0" y="7238880"/>
        <a:ext cx="61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35</xdr:row>
      <xdr:rowOff>160560</xdr:rowOff>
    </xdr:from>
    <xdr:to>
      <xdr:col>17</xdr:col>
      <xdr:colOff>410400</xdr:colOff>
      <xdr:row>52</xdr:row>
      <xdr:rowOff>161640</xdr:rowOff>
    </xdr:to>
    <xdr:graphicFrame>
      <xdr:nvGraphicFramePr>
        <xdr:cNvPr id="4" name="Chart 2"/>
        <xdr:cNvGraphicFramePr/>
      </xdr:nvGraphicFramePr>
      <xdr:xfrm>
        <a:off x="6837120" y="7238880"/>
        <a:ext cx="611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1</xdr:row>
      <xdr:rowOff>160560</xdr:rowOff>
    </xdr:from>
    <xdr:to>
      <xdr:col>8</xdr:col>
      <xdr:colOff>614160</xdr:colOff>
      <xdr:row>15</xdr:row>
      <xdr:rowOff>13320</xdr:rowOff>
    </xdr:to>
    <xdr:graphicFrame>
      <xdr:nvGraphicFramePr>
        <xdr:cNvPr id="5" name="Chart 1"/>
        <xdr:cNvGraphicFramePr/>
      </xdr:nvGraphicFramePr>
      <xdr:xfrm>
        <a:off x="10008720" y="380880"/>
        <a:ext cx="575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0"/>
  </cols>
  <sheetData>
    <row r="1" customFormat="false" ht="17.35" hidden="false" customHeight="false" outlineLevel="0" collapsed="false">
      <c r="A1" s="1" t="s">
        <v>0</v>
      </c>
    </row>
    <row r="3" customFormat="false" ht="23.85" hidden="false" customHeight="false" outlineLevel="0" collapsed="false">
      <c r="A3" s="2" t="s">
        <v>1</v>
      </c>
      <c r="B3" s="3" t="s">
        <v>2</v>
      </c>
    </row>
    <row r="4" customFormat="false" ht="23.85" hidden="false" customHeight="false" outlineLevel="0" collapsed="false">
      <c r="A4" s="2" t="s">
        <v>3</v>
      </c>
      <c r="B4" s="3" t="s">
        <v>4</v>
      </c>
    </row>
    <row r="5" customFormat="false" ht="15" hidden="false" customHeight="false" outlineLevel="0" collapsed="false">
      <c r="A5" s="2" t="s">
        <v>5</v>
      </c>
      <c r="B5" s="3" t="s">
        <v>6</v>
      </c>
    </row>
    <row r="6" customFormat="false" ht="23.85" hidden="false" customHeight="false" outlineLevel="0" collapsed="false">
      <c r="A6" s="2" t="s">
        <v>7</v>
      </c>
      <c r="B6" s="3" t="s">
        <v>8</v>
      </c>
    </row>
    <row r="7" customFormat="false" ht="23.85" hidden="false" customHeight="false" outlineLevel="0" collapsed="false">
      <c r="A7" s="2" t="s">
        <v>9</v>
      </c>
      <c r="B7" s="3" t="s">
        <v>10</v>
      </c>
    </row>
    <row r="8" customFormat="false" ht="15" hidden="false" customHeight="false" outlineLevel="0" collapsed="false">
      <c r="A8" s="2" t="s">
        <v>11</v>
      </c>
      <c r="B8" s="3" t="s">
        <v>12</v>
      </c>
    </row>
    <row r="9" customFormat="false" ht="15" hidden="false" customHeight="false" outlineLevel="0" collapsed="false">
      <c r="A9" s="2" t="s">
        <v>13</v>
      </c>
      <c r="B9" s="3" t="s">
        <v>14</v>
      </c>
    </row>
    <row r="10" customFormat="false" ht="15" hidden="false" customHeight="false" outlineLevel="0" collapsed="false">
      <c r="A10" s="2" t="s">
        <v>15</v>
      </c>
      <c r="B10" s="3" t="s">
        <v>16</v>
      </c>
    </row>
    <row r="11" customFormat="false" ht="15" hidden="false" customHeight="false" outlineLevel="0" collapsed="false">
      <c r="A11" s="2" t="s">
        <v>17</v>
      </c>
      <c r="B11" s="3" t="s">
        <v>18</v>
      </c>
    </row>
    <row r="12" customFormat="false" ht="15" hidden="false" customHeight="false" outlineLevel="0" collapsed="false">
      <c r="A12" s="2" t="s">
        <v>19</v>
      </c>
      <c r="B12" s="3" t="s">
        <v>20</v>
      </c>
    </row>
    <row r="13" customFormat="false" ht="23.85" hidden="false" customHeight="false" outlineLevel="0" collapsed="false">
      <c r="A13" s="2" t="s">
        <v>21</v>
      </c>
      <c r="B13" s="3" t="s">
        <v>22</v>
      </c>
    </row>
    <row r="14" customFormat="false" ht="35.05" hidden="false" customHeight="false" outlineLevel="0" collapsed="false">
      <c r="A14" s="2" t="s">
        <v>23</v>
      </c>
      <c r="B14" s="3" t="s">
        <v>24</v>
      </c>
    </row>
    <row r="15" customFormat="false" ht="23.85" hidden="false" customHeight="false" outlineLevel="0" collapsed="false">
      <c r="A15" s="2" t="s">
        <v>25</v>
      </c>
      <c r="B15" s="3" t="s">
        <v>26</v>
      </c>
    </row>
    <row r="16" customFormat="false" ht="23.85" hidden="false" customHeight="false" outlineLevel="0" collapsed="false">
      <c r="A16" s="2" t="s">
        <v>27</v>
      </c>
      <c r="B16" s="3" t="s">
        <v>28</v>
      </c>
    </row>
    <row r="17" customFormat="false" ht="23.85" hidden="false" customHeight="false" outlineLevel="0" collapsed="false">
      <c r="A17" s="2" t="s">
        <v>29</v>
      </c>
      <c r="B17" s="3" t="s">
        <v>30</v>
      </c>
    </row>
    <row r="18" customFormat="false" ht="35.05" hidden="false" customHeight="false" outlineLevel="0" collapsed="false">
      <c r="A18" s="2" t="s">
        <v>31</v>
      </c>
      <c r="B18" s="3"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15"/>
    <col collapsed="false" customWidth="true" hidden="false" outlineLevel="0" max="5" min="5" style="0" width="22"/>
    <col collapsed="false" customWidth="true" hidden="false" outlineLevel="0" max="7" min="6" style="0" width="15"/>
    <col collapsed="false" customWidth="true" hidden="false" outlineLevel="0" max="8" min="8" style="0" width="22"/>
  </cols>
  <sheetData>
    <row r="1" customFormat="false" ht="17.35" hidden="false" customHeight="false" outlineLevel="0" collapsed="false">
      <c r="A1" s="1" t="s">
        <v>33</v>
      </c>
    </row>
    <row r="2" customFormat="false" ht="15" hidden="false" customHeight="false" outlineLevel="0" collapsed="false">
      <c r="A2" s="4" t="s">
        <v>34</v>
      </c>
    </row>
    <row r="4" customFormat="false" ht="15" hidden="false" customHeight="false" outlineLevel="0" collapsed="false">
      <c r="A4" s="5" t="s">
        <v>35</v>
      </c>
    </row>
    <row r="5" customFormat="false" ht="15" hidden="false" customHeight="false" outlineLevel="0" collapsed="false">
      <c r="A5" s="6" t="s">
        <v>36</v>
      </c>
      <c r="B5" s="6" t="s">
        <v>37</v>
      </c>
      <c r="C5" s="6" t="s">
        <v>38</v>
      </c>
      <c r="D5" s="6" t="s">
        <v>39</v>
      </c>
      <c r="E5" s="6" t="s">
        <v>40</v>
      </c>
    </row>
    <row r="6" customFormat="false" ht="15" hidden="false" customHeight="false" outlineLevel="0" collapsed="false">
      <c r="A6" s="5" t="s">
        <v>41</v>
      </c>
      <c r="B6" s="7" t="n">
        <f aca="false">COUNTIFS(QA_Detail!$B$2:$B$988,"InternVL")</f>
        <v>495</v>
      </c>
      <c r="C6" s="7" t="n">
        <f aca="false">COUNTIFS(QA_Detail!$B$2:$B$988,"Qwen2.5-VL")</f>
        <v>492</v>
      </c>
      <c r="D6" s="7" t="n">
        <f aca="false">COUNTIFS(QA_Detail!$B$2:$B$988,"*")</f>
        <v>987</v>
      </c>
      <c r="E6" s="8" t="s">
        <v>42</v>
      </c>
    </row>
    <row r="7" customFormat="false" ht="15" hidden="false" customHeight="false" outlineLevel="0" collapsed="false">
      <c r="A7" s="5" t="s">
        <v>43</v>
      </c>
      <c r="B7" s="7" t="n">
        <f aca="false">COUNTIFS(QA_Detail!$B$2:$B$988,"InternVL",QA_Detail!$L$2:$L$988,"PASS")</f>
        <v>18</v>
      </c>
      <c r="C7" s="7" t="n">
        <f aca="false">COUNTIFS(QA_Detail!$B$2:$B$988,"Qwen2.5-VL",QA_Detail!$L$2:$L$988,"PASS")</f>
        <v>104</v>
      </c>
      <c r="D7" s="7" t="n">
        <f aca="false">COUNTIFS(QA_Detail!$B$2:$B$988,"*",QA_Detail!$L$2:$L$988,"PASS")</f>
        <v>122</v>
      </c>
      <c r="E7" s="8" t="s">
        <v>44</v>
      </c>
    </row>
    <row r="8" customFormat="false" ht="15" hidden="false" customHeight="false" outlineLevel="0" collapsed="false">
      <c r="A8" s="5" t="s">
        <v>7</v>
      </c>
      <c r="B8" s="7" t="n">
        <f aca="false">COUNTIFS(QA_Detail!$B$2:$B$988,"InternVL",QA_Detail!$L$2:$L$988,"REVISE")</f>
        <v>423</v>
      </c>
      <c r="C8" s="7" t="n">
        <f aca="false">COUNTIFS(QA_Detail!$B$2:$B$988,"Qwen2.5-VL",QA_Detail!$L$2:$L$988,"REVISE")</f>
        <v>365</v>
      </c>
      <c r="D8" s="7" t="n">
        <f aca="false">COUNTIFS(QA_Detail!$B$2:$B$988,"*",QA_Detail!$L$2:$L$988,"REVISE")</f>
        <v>788</v>
      </c>
      <c r="E8" s="8" t="s">
        <v>45</v>
      </c>
    </row>
    <row r="9" customFormat="false" ht="15" hidden="false" customHeight="false" outlineLevel="0" collapsed="false">
      <c r="A9" s="5" t="s">
        <v>9</v>
      </c>
      <c r="B9" s="7" t="n">
        <f aca="false">COUNTIFS(QA_Detail!$B$2:$B$988,"InternVL",QA_Detail!$L$2:$L$988,"DISCARD")</f>
        <v>54</v>
      </c>
      <c r="C9" s="7" t="n">
        <f aca="false">COUNTIFS(QA_Detail!$B$2:$B$988,"Qwen2.5-VL",QA_Detail!$L$2:$L$988,"DISCARD")</f>
        <v>23</v>
      </c>
      <c r="D9" s="7" t="n">
        <f aca="false">COUNTIFS(QA_Detail!$B$2:$B$988,"*",QA_Detail!$L$2:$L$988,"DISCARD")</f>
        <v>77</v>
      </c>
      <c r="E9" s="8" t="s">
        <v>46</v>
      </c>
    </row>
    <row r="10" customFormat="false" ht="15" hidden="false" customHeight="false" outlineLevel="0" collapsed="false">
      <c r="A10" s="5" t="s">
        <v>47</v>
      </c>
      <c r="B10" s="7" t="n">
        <f aca="false">COUNTIFS(QA_Detail!$B$2:$B$988,"InternVL",QA_Detail!$R$2:$R$988,"Y")</f>
        <v>64</v>
      </c>
      <c r="C10" s="7" t="n">
        <f aca="false">COUNTIFS(QA_Detail!$B$2:$B$988,"Qwen2.5-VL",QA_Detail!$R$2:$R$988,"Y")</f>
        <v>232</v>
      </c>
      <c r="D10" s="7" t="n">
        <f aca="false">COUNTIFS(QA_Detail!$B$2:$B$988,"*",QA_Detail!$R$2:$R$988,"Y")</f>
        <v>296</v>
      </c>
      <c r="E10" s="8" t="s">
        <v>48</v>
      </c>
    </row>
    <row r="11" customFormat="false" ht="15" hidden="false" customHeight="false" outlineLevel="0" collapsed="false">
      <c r="A11" s="9" t="s">
        <v>13</v>
      </c>
      <c r="B11" s="10" t="n">
        <f aca="false">IFERROR(B10/B6,0)</f>
        <v>0.129292929292929</v>
      </c>
      <c r="C11" s="10" t="n">
        <f aca="false">IFERROR(C10/C6,0)</f>
        <v>0.471544715447155</v>
      </c>
      <c r="D11" s="10" t="n">
        <f aca="false">IFERROR(D10/D6,0)</f>
        <v>0.299898682877406</v>
      </c>
      <c r="E11" s="8" t="s">
        <v>49</v>
      </c>
    </row>
    <row r="12" customFormat="false" ht="15" hidden="false" customHeight="false" outlineLevel="0" collapsed="false">
      <c r="A12" s="9" t="s">
        <v>50</v>
      </c>
      <c r="B12" s="10" t="n">
        <f aca="false">IFERROR(B8/B6,0)</f>
        <v>0.854545454545455</v>
      </c>
      <c r="C12" s="10" t="n">
        <f aca="false">IFERROR(C8/C6,0)</f>
        <v>0.741869918699187</v>
      </c>
      <c r="D12" s="10" t="n">
        <f aca="false">IFERROR(D8/D6,0)</f>
        <v>0.798378926038501</v>
      </c>
      <c r="E12" s="8" t="s">
        <v>51</v>
      </c>
    </row>
    <row r="13" customFormat="false" ht="15" hidden="false" customHeight="false" outlineLevel="0" collapsed="false">
      <c r="A13" s="9" t="s">
        <v>52</v>
      </c>
      <c r="B13" s="10" t="n">
        <f aca="false">IFERROR(B9/B6,0)</f>
        <v>0.109090909090909</v>
      </c>
      <c r="C13" s="10" t="n">
        <f aca="false">IFERROR(C9/C6,0)</f>
        <v>0.0467479674796748</v>
      </c>
      <c r="D13" s="10" t="n">
        <f aca="false">IFERROR(D9/D6,0)</f>
        <v>0.0780141843971631</v>
      </c>
      <c r="E13" s="8" t="s">
        <v>53</v>
      </c>
    </row>
    <row r="14" customFormat="false" ht="15" hidden="false" customHeight="false" outlineLevel="0" collapsed="false">
      <c r="A14" s="9" t="s">
        <v>54</v>
      </c>
      <c r="B14" s="10" t="n">
        <f aca="false">IFERROR(B7/B6,0)</f>
        <v>0.0363636363636364</v>
      </c>
      <c r="C14" s="10" t="n">
        <f aca="false">IFERROR(C7/C6,0)</f>
        <v>0.211382113821138</v>
      </c>
      <c r="D14" s="10" t="n">
        <f aca="false">IFERROR(D7/D6,0)</f>
        <v>0.123606889564336</v>
      </c>
      <c r="E14" s="8" t="s">
        <v>55</v>
      </c>
    </row>
    <row r="15" customFormat="false" ht="15" hidden="false" customHeight="false" outlineLevel="0" collapsed="false">
      <c r="A15" s="9" t="s">
        <v>19</v>
      </c>
      <c r="B15" s="10" t="n">
        <f aca="false">IFERROR((B8+B9)/B6,0)</f>
        <v>0.963636363636364</v>
      </c>
      <c r="C15" s="10" t="n">
        <f aca="false">IFERROR((C8+C9)/C6,0)</f>
        <v>0.788617886178862</v>
      </c>
      <c r="D15" s="10" t="n">
        <f aca="false">IFERROR((D8+D9)/D6,0)</f>
        <v>0.876393110435664</v>
      </c>
      <c r="E15" s="8" t="s">
        <v>56</v>
      </c>
    </row>
    <row r="16" customFormat="false" ht="15" hidden="false" customHeight="false" outlineLevel="0" collapsed="false">
      <c r="A16" s="5" t="s">
        <v>57</v>
      </c>
      <c r="B16" s="11" t="n">
        <f aca="false">1-B11</f>
        <v>0.870707070707071</v>
      </c>
      <c r="C16" s="11" t="n">
        <f aca="false">1-C11</f>
        <v>0.528455284552846</v>
      </c>
      <c r="D16" s="11" t="n">
        <f aca="false">1-D11</f>
        <v>0.700101317122594</v>
      </c>
      <c r="E16" s="8" t="s">
        <v>58</v>
      </c>
    </row>
    <row r="17" customFormat="false" ht="15" hidden="false" customHeight="false" outlineLevel="0" collapsed="false">
      <c r="A17" s="5" t="s">
        <v>59</v>
      </c>
      <c r="B17" s="11" t="n">
        <f aca="false">IFERROR(COUNTIFS(QA_Detail!$B$2:$B$988,"InternVL",QA_Detail!$P$2:$P$988,"Y")/B6,0)</f>
        <v>0.343434343434343</v>
      </c>
      <c r="C17" s="11" t="n">
        <f aca="false">IFERROR(COUNTIFS(QA_Detail!$B$2:$B$988,"Qwen2.5-VL",QA_Detail!$P$2:$P$988,"Y")/C6,0)</f>
        <v>0.369918699186992</v>
      </c>
      <c r="D17" s="11" t="n">
        <f aca="false">IFERROR(COUNTIFS(QA_Detail!$B$2:$B$988,"*",QA_Detail!$P$2:$P$988,"Y")/D6,0)</f>
        <v>0.356636271529889</v>
      </c>
      <c r="E17" s="8" t="s">
        <v>60</v>
      </c>
    </row>
    <row r="19" customFormat="false" ht="15" hidden="false" customHeight="false" outlineLevel="0" collapsed="false">
      <c r="A19" s="12" t="s">
        <v>61</v>
      </c>
    </row>
    <row r="20" customFormat="false" ht="15" hidden="false" customHeight="false" outlineLevel="0" collapsed="false">
      <c r="A20" s="6" t="s">
        <v>11</v>
      </c>
      <c r="B20" s="6" t="s">
        <v>37</v>
      </c>
      <c r="C20" s="6" t="s">
        <v>38</v>
      </c>
      <c r="D20" s="6" t="s">
        <v>39</v>
      </c>
      <c r="E20" s="6" t="s">
        <v>62</v>
      </c>
      <c r="F20" s="6" t="s">
        <v>63</v>
      </c>
      <c r="G20" s="6" t="s">
        <v>64</v>
      </c>
      <c r="H20" s="6" t="s">
        <v>65</v>
      </c>
    </row>
    <row r="21" customFormat="false" ht="15" hidden="false" customHeight="false" outlineLevel="0" collapsed="false">
      <c r="A21" s="5" t="s">
        <v>66</v>
      </c>
      <c r="B21" s="7" t="n">
        <f aca="false">COUNTIFS(QA_Detail!$B$2:$B$988,"InternVL",QA_Detail!$M$2:$M$988,"Minor")</f>
        <v>108</v>
      </c>
      <c r="C21" s="7" t="n">
        <f aca="false">COUNTIFS(QA_Detail!$B$2:$B$988,"Qwen2.5-VL",QA_Detail!$M$2:$M$988,"Minor")</f>
        <v>208</v>
      </c>
      <c r="D21" s="7" t="n">
        <f aca="false">COUNTIFS(QA_Detail!$B$2:$B$988,"*",QA_Detail!$M$2:$M$988,"Minor")</f>
        <v>316</v>
      </c>
      <c r="E21" s="11" t="n">
        <f aca="false">IFERROR(D21/$D$6,0)</f>
        <v>0.32016210739615</v>
      </c>
      <c r="F21" s="11" t="n">
        <f aca="false">IFERROR(B21/$B$6,0)</f>
        <v>0.218181818181818</v>
      </c>
      <c r="G21" s="11" t="n">
        <f aca="false">IFERROR(C21/$C$6,0)</f>
        <v>0.422764227642276</v>
      </c>
      <c r="H21" s="13" t="s">
        <v>67</v>
      </c>
    </row>
    <row r="22" customFormat="false" ht="15" hidden="false" customHeight="false" outlineLevel="0" collapsed="false">
      <c r="A22" s="5" t="s">
        <v>68</v>
      </c>
      <c r="B22" s="7" t="n">
        <f aca="false">COUNTIFS(QA_Detail!$B$2:$B$988,"InternVL",QA_Detail!$M$2:$M$988,"Major")</f>
        <v>315</v>
      </c>
      <c r="C22" s="7" t="n">
        <f aca="false">COUNTIFS(QA_Detail!$B$2:$B$988,"Qwen2.5-VL",QA_Detail!$M$2:$M$988,"Major")</f>
        <v>157</v>
      </c>
      <c r="D22" s="7" t="n">
        <f aca="false">COUNTIFS(QA_Detail!$B$2:$B$988,"*",QA_Detail!$M$2:$M$988,"Major")</f>
        <v>472</v>
      </c>
      <c r="E22" s="11" t="n">
        <f aca="false">IFERROR(D22/$D$6,0)</f>
        <v>0.478216818642351</v>
      </c>
      <c r="F22" s="11" t="n">
        <f aca="false">IFERROR(B22/$B$6,0)</f>
        <v>0.636363636363636</v>
      </c>
      <c r="G22" s="11" t="n">
        <f aca="false">IFERROR(C22/$C$6,0)</f>
        <v>0.319105691056911</v>
      </c>
      <c r="H22" s="13" t="s">
        <v>69</v>
      </c>
    </row>
    <row r="23" customFormat="false" ht="15" hidden="false" customHeight="false" outlineLevel="0" collapsed="false">
      <c r="A23" s="5" t="s">
        <v>70</v>
      </c>
      <c r="B23" s="7" t="n">
        <f aca="false">COUNTIFS(QA_Detail!$B$2:$B$988,"InternVL",QA_Detail!$M$2:$M$988,"Critical")</f>
        <v>54</v>
      </c>
      <c r="C23" s="7" t="n">
        <f aca="false">COUNTIFS(QA_Detail!$B$2:$B$988,"Qwen2.5-VL",QA_Detail!$M$2:$M$988,"Critical")</f>
        <v>23</v>
      </c>
      <c r="D23" s="7" t="n">
        <f aca="false">COUNTIFS(QA_Detail!$B$2:$B$988,"*",QA_Detail!$M$2:$M$988,"Critical")</f>
        <v>77</v>
      </c>
      <c r="E23" s="11" t="n">
        <f aca="false">IFERROR(D23/$D$6,0)</f>
        <v>0.0780141843971631</v>
      </c>
      <c r="F23" s="11" t="n">
        <f aca="false">IFERROR(B23/$B$6,0)</f>
        <v>0.109090909090909</v>
      </c>
      <c r="G23" s="11" t="n">
        <f aca="false">IFERROR(C23/$C$6,0)</f>
        <v>0.0467479674796748</v>
      </c>
      <c r="H23" s="13" t="s">
        <v>71</v>
      </c>
    </row>
    <row r="26" customFormat="false" ht="15" hidden="false" customHeight="false" outlineLevel="0" collapsed="false">
      <c r="A26" s="12" t="s">
        <v>72</v>
      </c>
    </row>
    <row r="27" customFormat="false" ht="26.85" hidden="false" customHeight="false" outlineLevel="0" collapsed="false">
      <c r="A27" s="6" t="s">
        <v>73</v>
      </c>
      <c r="B27" s="6" t="s">
        <v>74</v>
      </c>
      <c r="C27" s="6" t="s">
        <v>75</v>
      </c>
      <c r="D27" s="6" t="s">
        <v>76</v>
      </c>
      <c r="E27" s="6" t="s">
        <v>77</v>
      </c>
      <c r="F27" s="6" t="s">
        <v>78</v>
      </c>
      <c r="G27" s="6" t="s">
        <v>79</v>
      </c>
      <c r="H27" s="6" t="s">
        <v>80</v>
      </c>
    </row>
    <row r="28" customFormat="false" ht="15" hidden="false" customHeight="false" outlineLevel="0" collapsed="false">
      <c r="A28" s="5" t="s">
        <v>81</v>
      </c>
      <c r="B28" s="7" t="n">
        <f aca="false">COUNTIFS(QA_Detail!$B$2:$B$988,"InternVL",QA_Detail!$N$2:$N$988,"Hallucination")</f>
        <v>54</v>
      </c>
      <c r="C28" s="7" t="n">
        <f aca="false">COUNTIFS(QA_Detail!$B$2:$B$988,"Qwen2.5-VL",QA_Detail!$N$2:$N$988,"Hallucination")</f>
        <v>23</v>
      </c>
      <c r="D28" s="7" t="n">
        <f aca="false">COUNTIFS(QA_Detail!$B$2:$B$988,"*",QA_Detail!$N$2:$N$988,"Hallucination")</f>
        <v>77</v>
      </c>
      <c r="E28" s="7" t="n">
        <f aca="false">COUNTIFS(QA_Detail!$B$2:$B$988,"InternVL",QA_Detail!$Y$2:$Y$988,1)</f>
        <v>55</v>
      </c>
      <c r="F28" s="7" t="n">
        <f aca="false">COUNTIFS(QA_Detail!$B$2:$B$988,"Qwen2.5-VL",QA_Detail!$Y$2:$Y$988,1)</f>
        <v>23</v>
      </c>
      <c r="G28" s="7" t="n">
        <f aca="false">COUNTIFS(QA_Detail!$B$2:$B$988,"*",QA_Detail!$Y$2:$Y$988,1)</f>
        <v>78</v>
      </c>
      <c r="H28" s="11" t="n">
        <f aca="false">IFERROR(G28/$D$6,0)</f>
        <v>0.0790273556231003</v>
      </c>
    </row>
    <row r="29" customFormat="false" ht="15" hidden="false" customHeight="false" outlineLevel="0" collapsed="false">
      <c r="A29" s="5" t="s">
        <v>82</v>
      </c>
      <c r="B29" s="7" t="n">
        <f aca="false">COUNTIFS(QA_Detail!$B$2:$B$988,"InternVL",QA_Detail!$N$2:$N$988,"Factual/Numerical")</f>
        <v>234</v>
      </c>
      <c r="C29" s="7" t="n">
        <f aca="false">COUNTIFS(QA_Detail!$B$2:$B$988,"Qwen2.5-VL",QA_Detail!$N$2:$N$988,"Factual/Numerical")</f>
        <v>84</v>
      </c>
      <c r="D29" s="7" t="n">
        <f aca="false">COUNTIFS(QA_Detail!$B$2:$B$988,"*",QA_Detail!$N$2:$N$988,"Factual/Numerical")</f>
        <v>318</v>
      </c>
      <c r="E29" s="7" t="n">
        <f aca="false">COUNTIFS(QA_Detail!$B$2:$B$988,"InternVL",QA_Detail!$Z$2:$Z$988,1)</f>
        <v>273</v>
      </c>
      <c r="F29" s="7" t="n">
        <f aca="false">COUNTIFS(QA_Detail!$B$2:$B$988,"Qwen2.5-VL",QA_Detail!$Z$2:$Z$988,1)</f>
        <v>110</v>
      </c>
      <c r="G29" s="7" t="n">
        <f aca="false">COUNTIFS(QA_Detail!$B$2:$B$988,"*",QA_Detail!$Z$2:$Z$988,1)</f>
        <v>383</v>
      </c>
      <c r="H29" s="11" t="n">
        <f aca="false">IFERROR(G29/$D$6,0)</f>
        <v>0.388044579533941</v>
      </c>
    </row>
    <row r="30" customFormat="false" ht="15" hidden="false" customHeight="false" outlineLevel="0" collapsed="false">
      <c r="A30" s="5" t="s">
        <v>83</v>
      </c>
      <c r="B30" s="7" t="n">
        <f aca="false">COUNTIFS(QA_Detail!$B$2:$B$988,"InternVL",QA_Detail!$N$2:$N$988,"Calculation")</f>
        <v>8</v>
      </c>
      <c r="C30" s="7" t="n">
        <f aca="false">COUNTIFS(QA_Detail!$B$2:$B$988,"Qwen2.5-VL",QA_Detail!$N$2:$N$988,"Calculation")</f>
        <v>10</v>
      </c>
      <c r="D30" s="7" t="n">
        <f aca="false">COUNTIFS(QA_Detail!$B$2:$B$988,"*",QA_Detail!$N$2:$N$988,"Calculation")</f>
        <v>18</v>
      </c>
      <c r="E30" s="7" t="n">
        <f aca="false">COUNTIFS(QA_Detail!$B$2:$B$988,"InternVL",QA_Detail!$AA$2:$AA$988,1)</f>
        <v>30</v>
      </c>
      <c r="F30" s="7" t="n">
        <f aca="false">COUNTIFS(QA_Detail!$B$2:$B$988,"Qwen2.5-VL",QA_Detail!$AA$2:$AA$988,1)</f>
        <v>16</v>
      </c>
      <c r="G30" s="7" t="n">
        <f aca="false">COUNTIFS(QA_Detail!$B$2:$B$988,"*",QA_Detail!$AA$2:$AA$988,1)</f>
        <v>46</v>
      </c>
      <c r="H30" s="11" t="n">
        <f aca="false">IFERROR(G30/$D$6,0)</f>
        <v>0.0466058763931104</v>
      </c>
    </row>
    <row r="31" customFormat="false" ht="15" hidden="false" customHeight="false" outlineLevel="0" collapsed="false">
      <c r="A31" s="5" t="s">
        <v>84</v>
      </c>
      <c r="B31" s="7" t="n">
        <f aca="false">COUNTIFS(QA_Detail!$B$2:$B$988,"InternVL",QA_Detail!$N$2:$N$988,"Reasoning")</f>
        <v>46</v>
      </c>
      <c r="C31" s="7" t="n">
        <f aca="false">COUNTIFS(QA_Detail!$B$2:$B$988,"Qwen2.5-VL",QA_Detail!$N$2:$N$988,"Reasoning")</f>
        <v>34</v>
      </c>
      <c r="D31" s="7" t="n">
        <f aca="false">COUNTIFS(QA_Detail!$B$2:$B$988,"*",QA_Detail!$N$2:$N$988,"Reasoning")</f>
        <v>80</v>
      </c>
      <c r="E31" s="7" t="n">
        <f aca="false">COUNTIFS(QA_Detail!$B$2:$B$988,"InternVL",QA_Detail!$AB$2:$AB$988,1)</f>
        <v>107</v>
      </c>
      <c r="F31" s="7" t="n">
        <f aca="false">COUNTIFS(QA_Detail!$B$2:$B$988,"Qwen2.5-VL",QA_Detail!$AB$2:$AB$988,1)</f>
        <v>52</v>
      </c>
      <c r="G31" s="7" t="n">
        <f aca="false">COUNTIFS(QA_Detail!$B$2:$B$988,"*",QA_Detail!$AB$2:$AB$988,1)</f>
        <v>159</v>
      </c>
      <c r="H31" s="11" t="n">
        <f aca="false">IFERROR(G31/$D$6,0)</f>
        <v>0.161094224924012</v>
      </c>
    </row>
    <row r="32" customFormat="false" ht="15" hidden="false" customHeight="false" outlineLevel="0" collapsed="false">
      <c r="A32" s="5" t="s">
        <v>85</v>
      </c>
      <c r="B32" s="7" t="n">
        <f aca="false">COUNTIFS(QA_Detail!$B$2:$B$988,"InternVL",QA_Detail!$N$2:$N$988,"Temporal")</f>
        <v>37</v>
      </c>
      <c r="C32" s="7" t="n">
        <f aca="false">COUNTIFS(QA_Detail!$B$2:$B$988,"Qwen2.5-VL",QA_Detail!$N$2:$N$988,"Temporal")</f>
        <v>17</v>
      </c>
      <c r="D32" s="7" t="n">
        <f aca="false">COUNTIFS(QA_Detail!$B$2:$B$988,"*",QA_Detail!$N$2:$N$988,"Temporal")</f>
        <v>54</v>
      </c>
      <c r="E32" s="7" t="n">
        <f aca="false">COUNTIFS(QA_Detail!$B$2:$B$988,"InternVL",QA_Detail!$AC$2:$AC$988,1)</f>
        <v>123</v>
      </c>
      <c r="F32" s="7" t="n">
        <f aca="false">COUNTIFS(QA_Detail!$B$2:$B$988,"Qwen2.5-VL",QA_Detail!$AC$2:$AC$988,1)</f>
        <v>35</v>
      </c>
      <c r="G32" s="7" t="n">
        <f aca="false">COUNTIFS(QA_Detail!$B$2:$B$988,"*",QA_Detail!$AC$2:$AC$988,1)</f>
        <v>158</v>
      </c>
      <c r="H32" s="11" t="n">
        <f aca="false">IFERROR(G32/$D$6,0)</f>
        <v>0.160081053698075</v>
      </c>
    </row>
    <row r="33" customFormat="false" ht="15" hidden="false" customHeight="false" outlineLevel="0" collapsed="false">
      <c r="A33" s="5" t="s">
        <v>86</v>
      </c>
      <c r="B33" s="7" t="n">
        <f aca="false">COUNTIFS(QA_Detail!$B$2:$B$988,"InternVL",QA_Detail!$N$2:$N$988,"Unit")</f>
        <v>4</v>
      </c>
      <c r="C33" s="7" t="n">
        <f aca="false">COUNTIFS(QA_Detail!$B$2:$B$988,"Qwen2.5-VL",QA_Detail!$N$2:$N$988,"Unit")</f>
        <v>5</v>
      </c>
      <c r="D33" s="7" t="n">
        <f aca="false">COUNTIFS(QA_Detail!$B$2:$B$988,"*",QA_Detail!$N$2:$N$988,"Unit")</f>
        <v>9</v>
      </c>
      <c r="E33" s="7" t="n">
        <f aca="false">COUNTIFS(QA_Detail!$B$2:$B$988,"InternVL",QA_Detail!$AD$2:$AD$988,1)</f>
        <v>61</v>
      </c>
      <c r="F33" s="7" t="n">
        <f aca="false">COUNTIFS(QA_Detail!$B$2:$B$988,"Qwen2.5-VL",QA_Detail!$AD$2:$AD$988,1)</f>
        <v>43</v>
      </c>
      <c r="G33" s="7" t="n">
        <f aca="false">COUNTIFS(QA_Detail!$B$2:$B$988,"*",QA_Detail!$AD$2:$AD$988,1)</f>
        <v>104</v>
      </c>
      <c r="H33" s="11" t="n">
        <f aca="false">IFERROR(G33/$D$6,0)</f>
        <v>0.105369807497467</v>
      </c>
    </row>
    <row r="34" customFormat="false" ht="15" hidden="false" customHeight="false" outlineLevel="0" collapsed="false">
      <c r="A34" s="5" t="s">
        <v>87</v>
      </c>
      <c r="B34" s="7" t="n">
        <f aca="false">COUNTIFS(QA_Detail!$B$2:$B$988,"InternVL",QA_Detail!$N$2:$N$988,"Incomplete")</f>
        <v>11</v>
      </c>
      <c r="C34" s="7" t="n">
        <f aca="false">COUNTIFS(QA_Detail!$B$2:$B$988,"Qwen2.5-VL",QA_Detail!$N$2:$N$988,"Incomplete")</f>
        <v>28</v>
      </c>
      <c r="D34" s="7" t="n">
        <f aca="false">COUNTIFS(QA_Detail!$B$2:$B$988,"*",QA_Detail!$N$2:$N$988,"Incomplete")</f>
        <v>39</v>
      </c>
      <c r="E34" s="7" t="n">
        <f aca="false">COUNTIFS(QA_Detail!$B$2:$B$988,"InternVL",QA_Detail!$AE$2:$AE$988,1)</f>
        <v>54</v>
      </c>
      <c r="F34" s="7" t="n">
        <f aca="false">COUNTIFS(QA_Detail!$B$2:$B$988,"Qwen2.5-VL",QA_Detail!$AE$2:$AE$988,1)</f>
        <v>62</v>
      </c>
      <c r="G34" s="7" t="n">
        <f aca="false">COUNTIFS(QA_Detail!$B$2:$B$988,"*",QA_Detail!$AE$2:$AE$988,1)</f>
        <v>116</v>
      </c>
      <c r="H34" s="11" t="n">
        <f aca="false">IFERROR(G34/$D$6,0)</f>
        <v>0.117527862208713</v>
      </c>
    </row>
    <row r="35" customFormat="false" ht="15" hidden="false" customHeight="false" outlineLevel="0" collapsed="false">
      <c r="A35" s="5" t="s">
        <v>88</v>
      </c>
      <c r="B35" s="7" t="n">
        <f aca="false">COUNTIFS(QA_Detail!$B$2:$B$988,"InternVL",QA_Detail!$N$2:$N$988,"Instruction-following")</f>
        <v>41</v>
      </c>
      <c r="C35" s="7" t="n">
        <f aca="false">COUNTIFS(QA_Detail!$B$2:$B$988,"Qwen2.5-VL",QA_Detail!$N$2:$N$988,"Instruction-following")</f>
        <v>157</v>
      </c>
      <c r="D35" s="7" t="n">
        <f aca="false">COUNTIFS(QA_Detail!$B$2:$B$988,"*",QA_Detail!$N$2:$N$988,"Instruction-following")</f>
        <v>198</v>
      </c>
      <c r="E35" s="7" t="n">
        <f aca="false">COUNTIFS(QA_Detail!$B$2:$B$988,"InternVL",QA_Detail!$AF$2:$AF$988,1)</f>
        <v>279</v>
      </c>
      <c r="F35" s="7" t="n">
        <f aca="false">COUNTIFS(QA_Detail!$B$2:$B$988,"Qwen2.5-VL",QA_Detail!$AF$2:$AF$988,1)</f>
        <v>296</v>
      </c>
      <c r="G35" s="7" t="n">
        <f aca="false">COUNTIFS(QA_Detail!$B$2:$B$988,"*",QA_Detail!$AF$2:$AF$988,1)</f>
        <v>575</v>
      </c>
      <c r="H35" s="11" t="n">
        <f aca="false">IFERROR(G35/$D$6,0)</f>
        <v>0.582573454913881</v>
      </c>
    </row>
    <row r="36" customFormat="false" ht="15" hidden="false" customHeight="false" outlineLevel="0" collapsed="false">
      <c r="A36" s="5" t="s">
        <v>89</v>
      </c>
      <c r="B36" s="7" t="n">
        <f aca="false">COUNTIFS(QA_Detail!$B$2:$B$988,"InternVL",QA_Detail!$N$2:$N$988,"Format")</f>
        <v>6</v>
      </c>
      <c r="C36" s="7" t="n">
        <f aca="false">COUNTIFS(QA_Detail!$B$2:$B$988,"Qwen2.5-VL",QA_Detail!$N$2:$N$988,"Format")</f>
        <v>5</v>
      </c>
      <c r="D36" s="7" t="n">
        <f aca="false">COUNTIFS(QA_Detail!$B$2:$B$988,"*",QA_Detail!$N$2:$N$988,"Format")</f>
        <v>11</v>
      </c>
      <c r="E36" s="7" t="n">
        <f aca="false">COUNTIFS(QA_Detail!$B$2:$B$988,"InternVL",QA_Detail!$AG$2:$AG$988,1)</f>
        <v>35</v>
      </c>
      <c r="F36" s="7" t="n">
        <f aca="false">COUNTIFS(QA_Detail!$B$2:$B$988,"Qwen2.5-VL",QA_Detail!$AG$2:$AG$988,1)</f>
        <v>34</v>
      </c>
      <c r="G36" s="7" t="n">
        <f aca="false">COUNTIFS(QA_Detail!$B$2:$B$988,"*",QA_Detail!$AG$2:$AG$988,1)</f>
        <v>69</v>
      </c>
      <c r="H36" s="11" t="n">
        <f aca="false">IFERROR(G36/$D$6,0)</f>
        <v>0.0699088145896657</v>
      </c>
    </row>
    <row r="37" customFormat="false" ht="15" hidden="false" customHeight="false" outlineLevel="0" collapsed="false">
      <c r="A37" s="5" t="s">
        <v>90</v>
      </c>
      <c r="B37" s="7" t="n">
        <f aca="false">COUNTIFS(QA_Detail!$B$2:$B$988,"InternVL",QA_Detail!$N$2:$N$988,"Typo/Grammar")</f>
        <v>36</v>
      </c>
      <c r="C37" s="7" t="n">
        <f aca="false">COUNTIFS(QA_Detail!$B$2:$B$988,"Qwen2.5-VL",QA_Detail!$N$2:$N$988,"Typo/Grammar")</f>
        <v>25</v>
      </c>
      <c r="D37" s="7" t="n">
        <f aca="false">COUNTIFS(QA_Detail!$B$2:$B$988,"*",QA_Detail!$N$2:$N$988,"Typo/Grammar")</f>
        <v>61</v>
      </c>
      <c r="E37" s="7" t="n">
        <f aca="false">COUNTIFS(QA_Detail!$B$2:$B$988,"InternVL",QA_Detail!$AH$2:$AH$988,1)</f>
        <v>198</v>
      </c>
      <c r="F37" s="7" t="n">
        <f aca="false">COUNTIFS(QA_Detail!$B$2:$B$988,"Qwen2.5-VL",QA_Detail!$AH$2:$AH$988,1)</f>
        <v>100</v>
      </c>
      <c r="G37" s="7" t="n">
        <f aca="false">COUNTIFS(QA_Detail!$B$2:$B$988,"*",QA_Detail!$AH$2:$AH$988,1)</f>
        <v>298</v>
      </c>
      <c r="H37" s="11" t="n">
        <f aca="false">IFERROR(G37/$D$6,0)</f>
        <v>0.301925025329281</v>
      </c>
    </row>
    <row r="38" customFormat="false" ht="15" hidden="false" customHeight="false" outlineLevel="0" collapsed="false">
      <c r="A38" s="5" t="s">
        <v>91</v>
      </c>
      <c r="B38" s="5" t="n">
        <f aca="false">SUM(B28:B37)</f>
        <v>477</v>
      </c>
      <c r="C38" s="5" t="n">
        <f aca="false">SUM(C28:C37)</f>
        <v>388</v>
      </c>
      <c r="D38" s="5" t="n">
        <f aca="false">SUM(D28:D37)</f>
        <v>865</v>
      </c>
    </row>
    <row r="39" customFormat="false" ht="15" hidden="false" customHeight="false" outlineLevel="0" collapsed="false">
      <c r="A39" s="14" t="s">
        <v>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9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34"/>
    <col collapsed="false" customWidth="true" hidden="false" outlineLevel="0" max="4" min="4" style="0" width="6"/>
    <col collapsed="false" customWidth="true" hidden="false" outlineLevel="0" max="5" min="5" style="0" width="30"/>
    <col collapsed="false" customWidth="true" hidden="false" outlineLevel="0" max="6" min="6" style="0" width="6"/>
    <col collapsed="false" customWidth="true" hidden="false" outlineLevel="0" max="7" min="7" style="0" width="24"/>
    <col collapsed="false" customWidth="true" hidden="false" outlineLevel="0" max="8" min="8" style="0" width="8"/>
    <col collapsed="false" customWidth="true" hidden="false" outlineLevel="0" max="10" min="9" style="0" width="45"/>
    <col collapsed="false" customWidth="true" hidden="false" outlineLevel="0" max="13" min="11" style="0" width="9"/>
    <col collapsed="false" customWidth="true" hidden="false" outlineLevel="0" max="14" min="14" style="0" width="18"/>
    <col collapsed="false" customWidth="true" hidden="false" outlineLevel="0" max="15" min="15" style="0" width="26"/>
    <col collapsed="false" customWidth="true" hidden="false" outlineLevel="0" max="16" min="16" style="0" width="9"/>
    <col collapsed="false" customWidth="true" hidden="false" outlineLevel="0" max="17" min="17" style="0" width="24"/>
    <col collapsed="false" customWidth="true" hidden="false" outlineLevel="0" max="18" min="18" style="0" width="9"/>
    <col collapsed="false" customWidth="true" hidden="false" outlineLevel="0" max="20" min="19" style="0" width="26"/>
    <col collapsed="false" customWidth="true" hidden="false" outlineLevel="0" max="21" min="21" style="0" width="40"/>
    <col collapsed="false" customWidth="true" hidden="false" outlineLevel="0" max="22" min="22" style="0" width="45"/>
    <col collapsed="false" customWidth="true" hidden="false" outlineLevel="0" max="23" min="23" style="0" width="35"/>
    <col collapsed="false" customWidth="true" hidden="false" outlineLevel="0" max="24" min="24" style="0" width="45"/>
    <col collapsed="false" customWidth="true" hidden="false" outlineLevel="0" max="34" min="25" style="0" width="9"/>
  </cols>
  <sheetData>
    <row r="1" customFormat="false" ht="31.5" hidden="false" customHeight="true" outlineLevel="0" collapsed="false">
      <c r="A1" s="6" t="s">
        <v>93</v>
      </c>
      <c r="B1" s="6" t="s">
        <v>94</v>
      </c>
      <c r="C1" s="6" t="s">
        <v>95</v>
      </c>
      <c r="D1" s="6" t="s">
        <v>96</v>
      </c>
      <c r="E1" s="6" t="s">
        <v>97</v>
      </c>
      <c r="F1" s="6" t="s">
        <v>98</v>
      </c>
      <c r="G1" s="6" t="s">
        <v>99</v>
      </c>
      <c r="H1" s="6" t="s">
        <v>100</v>
      </c>
      <c r="I1" s="6" t="s">
        <v>101</v>
      </c>
      <c r="J1" s="6" t="s">
        <v>102</v>
      </c>
      <c r="K1" s="6" t="s">
        <v>103</v>
      </c>
      <c r="L1" s="6" t="s">
        <v>104</v>
      </c>
      <c r="M1" s="6" t="s">
        <v>11</v>
      </c>
      <c r="N1" s="6" t="s">
        <v>105</v>
      </c>
      <c r="O1" s="6" t="s">
        <v>106</v>
      </c>
      <c r="P1" s="6" t="s">
        <v>107</v>
      </c>
      <c r="Q1" s="6" t="s">
        <v>108</v>
      </c>
      <c r="R1" s="6" t="s">
        <v>109</v>
      </c>
      <c r="S1" s="6" t="s">
        <v>110</v>
      </c>
      <c r="T1" s="6" t="s">
        <v>111</v>
      </c>
      <c r="U1" s="6" t="s">
        <v>112</v>
      </c>
      <c r="V1" s="6" t="s">
        <v>113</v>
      </c>
      <c r="W1" s="6" t="s">
        <v>114</v>
      </c>
      <c r="X1" s="6" t="s">
        <v>115</v>
      </c>
      <c r="Y1" s="6" t="s">
        <v>116</v>
      </c>
      <c r="Z1" s="6" t="s">
        <v>117</v>
      </c>
      <c r="AA1" s="6" t="s">
        <v>118</v>
      </c>
      <c r="AB1" s="6" t="s">
        <v>119</v>
      </c>
      <c r="AC1" s="6" t="s">
        <v>120</v>
      </c>
      <c r="AD1" s="6" t="s">
        <v>121</v>
      </c>
      <c r="AE1" s="6" t="s">
        <v>122</v>
      </c>
      <c r="AF1" s="6" t="s">
        <v>123</v>
      </c>
      <c r="AG1" s="6" t="s">
        <v>124</v>
      </c>
      <c r="AH1" s="6" t="s">
        <v>125</v>
      </c>
    </row>
    <row r="2" customFormat="false" ht="46.25" hidden="false" customHeight="false" outlineLevel="0" collapsed="false">
      <c r="A2" s="15" t="s">
        <v>126</v>
      </c>
      <c r="B2" s="15" t="s">
        <v>37</v>
      </c>
      <c r="C2" s="15" t="s">
        <v>127</v>
      </c>
      <c r="D2" s="15" t="n">
        <v>13</v>
      </c>
      <c r="E2" s="15" t="s">
        <v>128</v>
      </c>
      <c r="F2" s="15" t="n">
        <v>0</v>
      </c>
      <c r="G2" s="15" t="s">
        <v>129</v>
      </c>
      <c r="H2" s="15" t="s">
        <v>130</v>
      </c>
      <c r="I2" s="3" t="s">
        <v>131</v>
      </c>
      <c r="J2" s="3" t="s">
        <v>132</v>
      </c>
      <c r="K2" s="15" t="s">
        <v>133</v>
      </c>
      <c r="L2" s="16" t="s">
        <v>7</v>
      </c>
      <c r="M2" s="15" t="s">
        <v>68</v>
      </c>
      <c r="N2" s="15" t="s">
        <v>82</v>
      </c>
      <c r="O2" s="15" t="s">
        <v>134</v>
      </c>
      <c r="P2" s="15" t="s">
        <v>135</v>
      </c>
      <c r="Q2" s="15" t="s">
        <v>136</v>
      </c>
      <c r="R2" s="15" t="s">
        <v>135</v>
      </c>
      <c r="S2" s="15"/>
      <c r="T2" s="15"/>
      <c r="U2" s="3" t="s">
        <v>137</v>
      </c>
      <c r="V2" s="3" t="s">
        <v>138</v>
      </c>
      <c r="W2" s="3"/>
      <c r="X2" s="3" t="s">
        <v>139</v>
      </c>
      <c r="Y2" s="15" t="n">
        <v>0</v>
      </c>
      <c r="Z2" s="15" t="n">
        <v>1</v>
      </c>
      <c r="AA2" s="15" t="n">
        <v>0</v>
      </c>
      <c r="AB2" s="15" t="n">
        <v>0</v>
      </c>
      <c r="AC2" s="15" t="n">
        <v>0</v>
      </c>
      <c r="AD2" s="15" t="n">
        <v>1</v>
      </c>
      <c r="AE2" s="15" t="n">
        <v>0</v>
      </c>
      <c r="AF2" s="15" t="n">
        <v>1</v>
      </c>
      <c r="AG2" s="15" t="n">
        <v>0</v>
      </c>
      <c r="AH2" s="15" t="n">
        <v>0</v>
      </c>
    </row>
    <row r="3" customFormat="false" ht="35.05" hidden="false" customHeight="false" outlineLevel="0" collapsed="false">
      <c r="A3" s="15" t="s">
        <v>140</v>
      </c>
      <c r="B3" s="15" t="s">
        <v>37</v>
      </c>
      <c r="C3" s="15" t="s">
        <v>127</v>
      </c>
      <c r="D3" s="15" t="n">
        <v>13</v>
      </c>
      <c r="E3" s="15" t="s">
        <v>128</v>
      </c>
      <c r="F3" s="15" t="n">
        <v>1</v>
      </c>
      <c r="G3" s="15" t="s">
        <v>141</v>
      </c>
      <c r="H3" s="15" t="s">
        <v>142</v>
      </c>
      <c r="I3" s="3" t="s">
        <v>143</v>
      </c>
      <c r="J3" s="3" t="s">
        <v>144</v>
      </c>
      <c r="K3" s="15" t="s">
        <v>145</v>
      </c>
      <c r="L3" s="16" t="s">
        <v>7</v>
      </c>
      <c r="M3" s="15" t="s">
        <v>66</v>
      </c>
      <c r="N3" s="15" t="s">
        <v>85</v>
      </c>
      <c r="O3" s="15" t="s">
        <v>146</v>
      </c>
      <c r="P3" s="15" t="s">
        <v>135</v>
      </c>
      <c r="Q3" s="15" t="s">
        <v>129</v>
      </c>
      <c r="R3" s="15" t="s">
        <v>135</v>
      </c>
      <c r="S3" s="15"/>
      <c r="T3" s="15"/>
      <c r="U3" s="3" t="s">
        <v>147</v>
      </c>
      <c r="V3" s="3" t="s">
        <v>148</v>
      </c>
      <c r="W3" s="3" t="s">
        <v>149</v>
      </c>
      <c r="X3" s="3" t="s">
        <v>150</v>
      </c>
      <c r="Y3" s="15" t="n">
        <v>0</v>
      </c>
      <c r="Z3" s="15" t="n">
        <v>0</v>
      </c>
      <c r="AA3" s="15" t="n">
        <v>0</v>
      </c>
      <c r="AB3" s="15" t="n">
        <v>0</v>
      </c>
      <c r="AC3" s="15" t="n">
        <v>1</v>
      </c>
      <c r="AD3" s="15" t="n">
        <v>0</v>
      </c>
      <c r="AE3" s="15" t="n">
        <v>0</v>
      </c>
      <c r="AF3" s="15" t="n">
        <v>1</v>
      </c>
      <c r="AG3" s="15" t="n">
        <v>0</v>
      </c>
      <c r="AH3" s="15" t="n">
        <v>0</v>
      </c>
    </row>
    <row r="4" customFormat="false" ht="35.05" hidden="false" customHeight="false" outlineLevel="0" collapsed="false">
      <c r="A4" s="15" t="s">
        <v>151</v>
      </c>
      <c r="B4" s="15" t="s">
        <v>37</v>
      </c>
      <c r="C4" s="15" t="s">
        <v>127</v>
      </c>
      <c r="D4" s="15" t="n">
        <v>13</v>
      </c>
      <c r="E4" s="15" t="s">
        <v>128</v>
      </c>
      <c r="F4" s="15" t="n">
        <v>2</v>
      </c>
      <c r="G4" s="15" t="s">
        <v>152</v>
      </c>
      <c r="H4" s="15" t="s">
        <v>142</v>
      </c>
      <c r="I4" s="3" t="s">
        <v>153</v>
      </c>
      <c r="J4" s="3" t="s">
        <v>154</v>
      </c>
      <c r="K4" s="15" t="s">
        <v>133</v>
      </c>
      <c r="L4" s="16" t="s">
        <v>7</v>
      </c>
      <c r="M4" s="15" t="s">
        <v>68</v>
      </c>
      <c r="N4" s="15" t="s">
        <v>82</v>
      </c>
      <c r="O4" s="15" t="s">
        <v>134</v>
      </c>
      <c r="P4" s="15" t="s">
        <v>135</v>
      </c>
      <c r="Q4" s="15" t="s">
        <v>136</v>
      </c>
      <c r="R4" s="15" t="s">
        <v>135</v>
      </c>
      <c r="S4" s="15"/>
      <c r="T4" s="15"/>
      <c r="U4" s="3" t="s">
        <v>155</v>
      </c>
      <c r="V4" s="3" t="s">
        <v>156</v>
      </c>
      <c r="W4" s="3"/>
      <c r="X4" s="3" t="s">
        <v>157</v>
      </c>
      <c r="Y4" s="15" t="n">
        <v>0</v>
      </c>
      <c r="Z4" s="15" t="n">
        <v>1</v>
      </c>
      <c r="AA4" s="15" t="n">
        <v>0</v>
      </c>
      <c r="AB4" s="15" t="n">
        <v>0</v>
      </c>
      <c r="AC4" s="15" t="n">
        <v>0</v>
      </c>
      <c r="AD4" s="15" t="n">
        <v>1</v>
      </c>
      <c r="AE4" s="15" t="n">
        <v>0</v>
      </c>
      <c r="AF4" s="15" t="n">
        <v>1</v>
      </c>
      <c r="AG4" s="15" t="n">
        <v>0</v>
      </c>
      <c r="AH4" s="15" t="n">
        <v>0</v>
      </c>
    </row>
    <row r="5" customFormat="false" ht="46.25" hidden="false" customHeight="false" outlineLevel="0" collapsed="false">
      <c r="A5" s="15" t="s">
        <v>158</v>
      </c>
      <c r="B5" s="15" t="s">
        <v>37</v>
      </c>
      <c r="C5" s="15" t="s">
        <v>127</v>
      </c>
      <c r="D5" s="15" t="n">
        <v>16</v>
      </c>
      <c r="E5" s="15" t="s">
        <v>159</v>
      </c>
      <c r="F5" s="15" t="n">
        <v>0</v>
      </c>
      <c r="G5" s="15" t="s">
        <v>129</v>
      </c>
      <c r="H5" s="15" t="s">
        <v>130</v>
      </c>
      <c r="I5" s="3" t="s">
        <v>160</v>
      </c>
      <c r="J5" s="3" t="s">
        <v>161</v>
      </c>
      <c r="K5" s="15" t="s">
        <v>133</v>
      </c>
      <c r="L5" s="16" t="s">
        <v>7</v>
      </c>
      <c r="M5" s="15" t="s">
        <v>68</v>
      </c>
      <c r="N5" s="15" t="s">
        <v>82</v>
      </c>
      <c r="O5" s="15" t="s">
        <v>162</v>
      </c>
      <c r="P5" s="15" t="s">
        <v>135</v>
      </c>
      <c r="Q5" s="15" t="s">
        <v>152</v>
      </c>
      <c r="R5" s="15" t="s">
        <v>135</v>
      </c>
      <c r="S5" s="15"/>
      <c r="T5" s="15"/>
      <c r="U5" s="3" t="s">
        <v>163</v>
      </c>
      <c r="V5" s="3" t="s">
        <v>164</v>
      </c>
      <c r="W5" s="3"/>
      <c r="X5" s="3" t="s">
        <v>165</v>
      </c>
      <c r="Y5" s="15" t="n">
        <v>0</v>
      </c>
      <c r="Z5" s="15" t="n">
        <v>1</v>
      </c>
      <c r="AA5" s="15" t="n">
        <v>0</v>
      </c>
      <c r="AB5" s="15" t="n">
        <v>1</v>
      </c>
      <c r="AC5" s="15" t="n">
        <v>0</v>
      </c>
      <c r="AD5" s="15" t="n">
        <v>1</v>
      </c>
      <c r="AE5" s="15" t="n">
        <v>0</v>
      </c>
      <c r="AF5" s="15" t="n">
        <v>1</v>
      </c>
      <c r="AG5" s="15" t="n">
        <v>0</v>
      </c>
      <c r="AH5" s="15" t="n">
        <v>0</v>
      </c>
    </row>
    <row r="6" customFormat="false" ht="46.25" hidden="false" customHeight="false" outlineLevel="0" collapsed="false">
      <c r="A6" s="15" t="s">
        <v>166</v>
      </c>
      <c r="B6" s="15" t="s">
        <v>37</v>
      </c>
      <c r="C6" s="15" t="s">
        <v>127</v>
      </c>
      <c r="D6" s="15" t="n">
        <v>16</v>
      </c>
      <c r="E6" s="15" t="s">
        <v>159</v>
      </c>
      <c r="F6" s="15" t="n">
        <v>1</v>
      </c>
      <c r="G6" s="15" t="s">
        <v>141</v>
      </c>
      <c r="H6" s="15" t="s">
        <v>142</v>
      </c>
      <c r="I6" s="3" t="s">
        <v>167</v>
      </c>
      <c r="J6" s="3" t="s">
        <v>168</v>
      </c>
      <c r="K6" s="15" t="s">
        <v>145</v>
      </c>
      <c r="L6" s="16" t="s">
        <v>7</v>
      </c>
      <c r="M6" s="15" t="s">
        <v>66</v>
      </c>
      <c r="N6" s="15" t="s">
        <v>85</v>
      </c>
      <c r="O6" s="15" t="s">
        <v>146</v>
      </c>
      <c r="P6" s="15" t="s">
        <v>135</v>
      </c>
      <c r="Q6" s="15" t="s">
        <v>129</v>
      </c>
      <c r="R6" s="15" t="s">
        <v>135</v>
      </c>
      <c r="S6" s="15"/>
      <c r="T6" s="15"/>
      <c r="U6" s="3" t="s">
        <v>169</v>
      </c>
      <c r="V6" s="3" t="s">
        <v>170</v>
      </c>
      <c r="W6" s="3" t="s">
        <v>171</v>
      </c>
      <c r="X6" s="3" t="s">
        <v>172</v>
      </c>
      <c r="Y6" s="15" t="n">
        <v>0</v>
      </c>
      <c r="Z6" s="15" t="n">
        <v>0</v>
      </c>
      <c r="AA6" s="15" t="n">
        <v>0</v>
      </c>
      <c r="AB6" s="15" t="n">
        <v>0</v>
      </c>
      <c r="AC6" s="15" t="n">
        <v>1</v>
      </c>
      <c r="AD6" s="15" t="n">
        <v>0</v>
      </c>
      <c r="AE6" s="15" t="n">
        <v>0</v>
      </c>
      <c r="AF6" s="15" t="n">
        <v>1</v>
      </c>
      <c r="AG6" s="15" t="n">
        <v>0</v>
      </c>
      <c r="AH6" s="15" t="n">
        <v>0</v>
      </c>
    </row>
    <row r="7" customFormat="false" ht="46.25" hidden="false" customHeight="false" outlineLevel="0" collapsed="false">
      <c r="A7" s="15" t="s">
        <v>173</v>
      </c>
      <c r="B7" s="15" t="s">
        <v>37</v>
      </c>
      <c r="C7" s="15" t="s">
        <v>127</v>
      </c>
      <c r="D7" s="15" t="n">
        <v>16</v>
      </c>
      <c r="E7" s="15" t="s">
        <v>159</v>
      </c>
      <c r="F7" s="15" t="n">
        <v>2</v>
      </c>
      <c r="G7" s="15" t="s">
        <v>152</v>
      </c>
      <c r="H7" s="15" t="s">
        <v>142</v>
      </c>
      <c r="I7" s="3" t="s">
        <v>174</v>
      </c>
      <c r="J7" s="3" t="s">
        <v>175</v>
      </c>
      <c r="K7" s="15" t="s">
        <v>133</v>
      </c>
      <c r="L7" s="16" t="s">
        <v>7</v>
      </c>
      <c r="M7" s="15" t="s">
        <v>68</v>
      </c>
      <c r="N7" s="15" t="s">
        <v>82</v>
      </c>
      <c r="O7" s="15" t="s">
        <v>176</v>
      </c>
      <c r="P7" s="15" t="s">
        <v>135</v>
      </c>
      <c r="Q7" s="15" t="s">
        <v>129</v>
      </c>
      <c r="R7" s="15" t="s">
        <v>135</v>
      </c>
      <c r="S7" s="15"/>
      <c r="T7" s="15"/>
      <c r="U7" s="3" t="s">
        <v>177</v>
      </c>
      <c r="V7" s="3" t="s">
        <v>178</v>
      </c>
      <c r="W7" s="3" t="s">
        <v>179</v>
      </c>
      <c r="X7" s="3" t="s">
        <v>180</v>
      </c>
      <c r="Y7" s="15" t="n">
        <v>0</v>
      </c>
      <c r="Z7" s="15" t="n">
        <v>1</v>
      </c>
      <c r="AA7" s="15" t="n">
        <v>0</v>
      </c>
      <c r="AB7" s="15" t="n">
        <v>0</v>
      </c>
      <c r="AC7" s="15" t="n">
        <v>1</v>
      </c>
      <c r="AD7" s="15" t="n">
        <v>0</v>
      </c>
      <c r="AE7" s="15" t="n">
        <v>0</v>
      </c>
      <c r="AF7" s="15" t="n">
        <v>1</v>
      </c>
      <c r="AG7" s="15" t="n">
        <v>0</v>
      </c>
      <c r="AH7" s="15" t="n">
        <v>0</v>
      </c>
    </row>
    <row r="8" customFormat="false" ht="35.05" hidden="false" customHeight="false" outlineLevel="0" collapsed="false">
      <c r="A8" s="15" t="s">
        <v>181</v>
      </c>
      <c r="B8" s="15" t="s">
        <v>37</v>
      </c>
      <c r="C8" s="15" t="s">
        <v>127</v>
      </c>
      <c r="D8" s="15" t="n">
        <v>17</v>
      </c>
      <c r="E8" s="15" t="s">
        <v>182</v>
      </c>
      <c r="F8" s="15" t="n">
        <v>0</v>
      </c>
      <c r="G8" s="15" t="s">
        <v>129</v>
      </c>
      <c r="H8" s="15" t="s">
        <v>130</v>
      </c>
      <c r="I8" s="3" t="s">
        <v>183</v>
      </c>
      <c r="J8" s="3" t="s">
        <v>184</v>
      </c>
      <c r="K8" s="15" t="s">
        <v>133</v>
      </c>
      <c r="L8" s="16" t="s">
        <v>7</v>
      </c>
      <c r="M8" s="15" t="s">
        <v>68</v>
      </c>
      <c r="N8" s="15" t="s">
        <v>84</v>
      </c>
      <c r="O8" s="15" t="s">
        <v>84</v>
      </c>
      <c r="P8" s="15" t="s">
        <v>185</v>
      </c>
      <c r="Q8" s="15" t="s">
        <v>129</v>
      </c>
      <c r="R8" s="15" t="s">
        <v>135</v>
      </c>
      <c r="S8" s="15"/>
      <c r="T8" s="15"/>
      <c r="U8" s="3" t="s">
        <v>186</v>
      </c>
      <c r="V8" s="3" t="s">
        <v>187</v>
      </c>
      <c r="W8" s="3"/>
      <c r="X8" s="3" t="s">
        <v>188</v>
      </c>
      <c r="Y8" s="15" t="n">
        <v>0</v>
      </c>
      <c r="Z8" s="15" t="n">
        <v>0</v>
      </c>
      <c r="AA8" s="15" t="n">
        <v>0</v>
      </c>
      <c r="AB8" s="15" t="n">
        <v>1</v>
      </c>
      <c r="AC8" s="15" t="n">
        <v>0</v>
      </c>
      <c r="AD8" s="15" t="n">
        <v>0</v>
      </c>
      <c r="AE8" s="15" t="n">
        <v>0</v>
      </c>
      <c r="AF8" s="15" t="n">
        <v>0</v>
      </c>
      <c r="AG8" s="15" t="n">
        <v>0</v>
      </c>
      <c r="AH8" s="15" t="n">
        <v>0</v>
      </c>
    </row>
    <row r="9" customFormat="false" ht="46.25" hidden="false" customHeight="false" outlineLevel="0" collapsed="false">
      <c r="A9" s="15" t="s">
        <v>189</v>
      </c>
      <c r="B9" s="15" t="s">
        <v>37</v>
      </c>
      <c r="C9" s="15" t="s">
        <v>127</v>
      </c>
      <c r="D9" s="15" t="n">
        <v>17</v>
      </c>
      <c r="E9" s="15" t="s">
        <v>182</v>
      </c>
      <c r="F9" s="15" t="n">
        <v>1</v>
      </c>
      <c r="G9" s="15" t="s">
        <v>141</v>
      </c>
      <c r="H9" s="15" t="s">
        <v>142</v>
      </c>
      <c r="I9" s="3" t="s">
        <v>190</v>
      </c>
      <c r="J9" s="3" t="s">
        <v>191</v>
      </c>
      <c r="K9" s="15" t="s">
        <v>133</v>
      </c>
      <c r="L9" s="16" t="s">
        <v>7</v>
      </c>
      <c r="M9" s="15" t="s">
        <v>68</v>
      </c>
      <c r="N9" s="15" t="s">
        <v>82</v>
      </c>
      <c r="O9" s="15" t="s">
        <v>192</v>
      </c>
      <c r="P9" s="15" t="s">
        <v>135</v>
      </c>
      <c r="Q9" s="15" t="s">
        <v>129</v>
      </c>
      <c r="R9" s="15" t="s">
        <v>135</v>
      </c>
      <c r="S9" s="15"/>
      <c r="T9" s="15"/>
      <c r="U9" s="3" t="s">
        <v>193</v>
      </c>
      <c r="V9" s="3" t="s">
        <v>194</v>
      </c>
      <c r="W9" s="3"/>
      <c r="X9" s="3" t="s">
        <v>195</v>
      </c>
      <c r="Y9" s="15" t="n">
        <v>0</v>
      </c>
      <c r="Z9" s="15" t="n">
        <v>1</v>
      </c>
      <c r="AA9" s="15" t="n">
        <v>0</v>
      </c>
      <c r="AB9" s="15" t="n">
        <v>1</v>
      </c>
      <c r="AC9" s="15" t="n">
        <v>0</v>
      </c>
      <c r="AD9" s="15" t="n">
        <v>0</v>
      </c>
      <c r="AE9" s="15" t="n">
        <v>0</v>
      </c>
      <c r="AF9" s="15" t="n">
        <v>1</v>
      </c>
      <c r="AG9" s="15" t="n">
        <v>0</v>
      </c>
      <c r="AH9" s="15" t="n">
        <v>0</v>
      </c>
    </row>
    <row r="10" customFormat="false" ht="46.25" hidden="false" customHeight="false" outlineLevel="0" collapsed="false">
      <c r="A10" s="15" t="s">
        <v>196</v>
      </c>
      <c r="B10" s="15" t="s">
        <v>37</v>
      </c>
      <c r="C10" s="15" t="s">
        <v>127</v>
      </c>
      <c r="D10" s="15" t="n">
        <v>17</v>
      </c>
      <c r="E10" s="15" t="s">
        <v>182</v>
      </c>
      <c r="F10" s="15" t="n">
        <v>2</v>
      </c>
      <c r="G10" s="15" t="s">
        <v>197</v>
      </c>
      <c r="H10" s="15" t="s">
        <v>142</v>
      </c>
      <c r="I10" s="3" t="s">
        <v>198</v>
      </c>
      <c r="J10" s="3" t="s">
        <v>199</v>
      </c>
      <c r="K10" s="15" t="s">
        <v>145</v>
      </c>
      <c r="L10" s="16" t="s">
        <v>7</v>
      </c>
      <c r="M10" s="15" t="s">
        <v>68</v>
      </c>
      <c r="N10" s="15" t="s">
        <v>82</v>
      </c>
      <c r="O10" s="15" t="s">
        <v>82</v>
      </c>
      <c r="P10" s="15" t="s">
        <v>185</v>
      </c>
      <c r="Q10" s="15" t="s">
        <v>197</v>
      </c>
      <c r="R10" s="15" t="s">
        <v>135</v>
      </c>
      <c r="S10" s="15"/>
      <c r="T10" s="15"/>
      <c r="U10" s="3" t="s">
        <v>200</v>
      </c>
      <c r="V10" s="3" t="s">
        <v>201</v>
      </c>
      <c r="W10" s="3"/>
      <c r="X10" s="3" t="s">
        <v>202</v>
      </c>
      <c r="Y10" s="15" t="n">
        <v>0</v>
      </c>
      <c r="Z10" s="15" t="n">
        <v>1</v>
      </c>
      <c r="AA10" s="15" t="n">
        <v>0</v>
      </c>
      <c r="AB10" s="15" t="n">
        <v>0</v>
      </c>
      <c r="AC10" s="15" t="n">
        <v>0</v>
      </c>
      <c r="AD10" s="15" t="n">
        <v>0</v>
      </c>
      <c r="AE10" s="15" t="n">
        <v>0</v>
      </c>
      <c r="AF10" s="15" t="n">
        <v>0</v>
      </c>
      <c r="AG10" s="15" t="n">
        <v>0</v>
      </c>
      <c r="AH10" s="15" t="n">
        <v>0</v>
      </c>
    </row>
    <row r="11" customFormat="false" ht="57.45" hidden="false" customHeight="false" outlineLevel="0" collapsed="false">
      <c r="A11" s="15" t="s">
        <v>203</v>
      </c>
      <c r="B11" s="15" t="s">
        <v>37</v>
      </c>
      <c r="C11" s="15" t="s">
        <v>127</v>
      </c>
      <c r="D11" s="15" t="n">
        <v>19</v>
      </c>
      <c r="E11" s="15" t="s">
        <v>204</v>
      </c>
      <c r="F11" s="15" t="n">
        <v>0</v>
      </c>
      <c r="G11" s="15" t="s">
        <v>152</v>
      </c>
      <c r="H11" s="15" t="s">
        <v>142</v>
      </c>
      <c r="I11" s="3" t="s">
        <v>205</v>
      </c>
      <c r="J11" s="3" t="s">
        <v>206</v>
      </c>
      <c r="K11" s="15" t="s">
        <v>133</v>
      </c>
      <c r="L11" s="16" t="s">
        <v>7</v>
      </c>
      <c r="M11" s="15" t="s">
        <v>66</v>
      </c>
      <c r="N11" s="15" t="s">
        <v>88</v>
      </c>
      <c r="O11" s="15" t="s">
        <v>207</v>
      </c>
      <c r="P11" s="15" t="s">
        <v>135</v>
      </c>
      <c r="Q11" s="15" t="s">
        <v>129</v>
      </c>
      <c r="R11" s="15" t="s">
        <v>135</v>
      </c>
      <c r="S11" s="15"/>
      <c r="T11" s="15"/>
      <c r="U11" s="3" t="s">
        <v>208</v>
      </c>
      <c r="V11" s="3" t="s">
        <v>209</v>
      </c>
      <c r="W11" s="3" t="s">
        <v>210</v>
      </c>
      <c r="X11" s="3" t="s">
        <v>211</v>
      </c>
      <c r="Y11" s="15" t="n">
        <v>0</v>
      </c>
      <c r="Z11" s="15" t="n">
        <v>0</v>
      </c>
      <c r="AA11" s="15" t="n">
        <v>0</v>
      </c>
      <c r="AB11" s="15" t="n">
        <v>0</v>
      </c>
      <c r="AC11" s="15" t="n">
        <v>0</v>
      </c>
      <c r="AD11" s="15" t="n">
        <v>1</v>
      </c>
      <c r="AE11" s="15" t="n">
        <v>1</v>
      </c>
      <c r="AF11" s="15" t="n">
        <v>1</v>
      </c>
      <c r="AG11" s="15" t="n">
        <v>0</v>
      </c>
      <c r="AH11" s="15" t="n">
        <v>0</v>
      </c>
    </row>
    <row r="12" customFormat="false" ht="46.25" hidden="false" customHeight="false" outlineLevel="0" collapsed="false">
      <c r="A12" s="15" t="s">
        <v>212</v>
      </c>
      <c r="B12" s="15" t="s">
        <v>37</v>
      </c>
      <c r="C12" s="15" t="s">
        <v>127</v>
      </c>
      <c r="D12" s="15" t="n">
        <v>19</v>
      </c>
      <c r="E12" s="15" t="s">
        <v>204</v>
      </c>
      <c r="F12" s="15" t="n">
        <v>1</v>
      </c>
      <c r="G12" s="15" t="s">
        <v>141</v>
      </c>
      <c r="H12" s="15" t="s">
        <v>142</v>
      </c>
      <c r="I12" s="3" t="s">
        <v>213</v>
      </c>
      <c r="J12" s="3" t="s">
        <v>214</v>
      </c>
      <c r="K12" s="15" t="s">
        <v>145</v>
      </c>
      <c r="L12" s="16" t="s">
        <v>7</v>
      </c>
      <c r="M12" s="15" t="s">
        <v>68</v>
      </c>
      <c r="N12" s="15" t="s">
        <v>82</v>
      </c>
      <c r="O12" s="15" t="s">
        <v>215</v>
      </c>
      <c r="P12" s="15" t="s">
        <v>135</v>
      </c>
      <c r="Q12" s="15" t="s">
        <v>129</v>
      </c>
      <c r="R12" s="15" t="s">
        <v>135</v>
      </c>
      <c r="S12" s="15"/>
      <c r="T12" s="15"/>
      <c r="U12" s="3" t="s">
        <v>216</v>
      </c>
      <c r="V12" s="3" t="s">
        <v>217</v>
      </c>
      <c r="W12" s="3"/>
      <c r="X12" s="3" t="s">
        <v>218</v>
      </c>
      <c r="Y12" s="15" t="n">
        <v>0</v>
      </c>
      <c r="Z12" s="15" t="n">
        <v>1</v>
      </c>
      <c r="AA12" s="15" t="n">
        <v>0</v>
      </c>
      <c r="AB12" s="15" t="n">
        <v>0</v>
      </c>
      <c r="AC12" s="15" t="n">
        <v>0</v>
      </c>
      <c r="AD12" s="15" t="n">
        <v>0</v>
      </c>
      <c r="AE12" s="15" t="n">
        <v>0</v>
      </c>
      <c r="AF12" s="15" t="n">
        <v>1</v>
      </c>
      <c r="AG12" s="15" t="n">
        <v>0</v>
      </c>
      <c r="AH12" s="15" t="n">
        <v>0</v>
      </c>
    </row>
    <row r="13" customFormat="false" ht="46.25" hidden="false" customHeight="false" outlineLevel="0" collapsed="false">
      <c r="A13" s="15" t="s">
        <v>219</v>
      </c>
      <c r="B13" s="15" t="s">
        <v>37</v>
      </c>
      <c r="C13" s="15" t="s">
        <v>127</v>
      </c>
      <c r="D13" s="15" t="n">
        <v>19</v>
      </c>
      <c r="E13" s="15" t="s">
        <v>204</v>
      </c>
      <c r="F13" s="15" t="n">
        <v>2</v>
      </c>
      <c r="G13" s="15" t="s">
        <v>197</v>
      </c>
      <c r="H13" s="15" t="s">
        <v>142</v>
      </c>
      <c r="I13" s="3" t="s">
        <v>220</v>
      </c>
      <c r="J13" s="3" t="s">
        <v>221</v>
      </c>
      <c r="K13" s="15" t="s">
        <v>133</v>
      </c>
      <c r="L13" s="16" t="s">
        <v>7</v>
      </c>
      <c r="M13" s="15" t="s">
        <v>68</v>
      </c>
      <c r="N13" s="15" t="s">
        <v>82</v>
      </c>
      <c r="O13" s="15" t="s">
        <v>222</v>
      </c>
      <c r="P13" s="15" t="s">
        <v>135</v>
      </c>
      <c r="Q13" s="15" t="s">
        <v>129</v>
      </c>
      <c r="R13" s="15" t="s">
        <v>135</v>
      </c>
      <c r="S13" s="15"/>
      <c r="T13" s="15"/>
      <c r="U13" s="3" t="s">
        <v>223</v>
      </c>
      <c r="V13" s="3" t="s">
        <v>224</v>
      </c>
      <c r="W13" s="3" t="s">
        <v>225</v>
      </c>
      <c r="X13" s="3" t="s">
        <v>226</v>
      </c>
      <c r="Y13" s="15" t="n">
        <v>0</v>
      </c>
      <c r="Z13" s="15" t="n">
        <v>1</v>
      </c>
      <c r="AA13" s="15" t="n">
        <v>0</v>
      </c>
      <c r="AB13" s="15" t="n">
        <v>0</v>
      </c>
      <c r="AC13" s="15" t="n">
        <v>0</v>
      </c>
      <c r="AD13" s="15" t="n">
        <v>0</v>
      </c>
      <c r="AE13" s="15" t="n">
        <v>0</v>
      </c>
      <c r="AF13" s="15" t="n">
        <v>1</v>
      </c>
      <c r="AG13" s="15" t="n">
        <v>0</v>
      </c>
      <c r="AH13" s="15" t="n">
        <v>1</v>
      </c>
    </row>
    <row r="14" customFormat="false" ht="46.25" hidden="false" customHeight="false" outlineLevel="0" collapsed="false">
      <c r="A14" s="15" t="s">
        <v>227</v>
      </c>
      <c r="B14" s="15" t="s">
        <v>37</v>
      </c>
      <c r="C14" s="15" t="s">
        <v>127</v>
      </c>
      <c r="D14" s="15" t="n">
        <v>21</v>
      </c>
      <c r="E14" s="15" t="s">
        <v>228</v>
      </c>
      <c r="F14" s="15" t="n">
        <v>0</v>
      </c>
      <c r="G14" s="15" t="s">
        <v>141</v>
      </c>
      <c r="H14" s="15" t="s">
        <v>142</v>
      </c>
      <c r="I14" s="3" t="s">
        <v>229</v>
      </c>
      <c r="J14" s="3" t="s">
        <v>230</v>
      </c>
      <c r="K14" s="15" t="s">
        <v>133</v>
      </c>
      <c r="L14" s="16" t="s">
        <v>7</v>
      </c>
      <c r="M14" s="15" t="s">
        <v>66</v>
      </c>
      <c r="N14" s="15" t="s">
        <v>88</v>
      </c>
      <c r="O14" s="15" t="s">
        <v>231</v>
      </c>
      <c r="P14" s="15" t="s">
        <v>135</v>
      </c>
      <c r="Q14" s="15" t="s">
        <v>129</v>
      </c>
      <c r="R14" s="15" t="s">
        <v>185</v>
      </c>
      <c r="S14" s="15"/>
      <c r="T14" s="15"/>
      <c r="U14" s="3" t="s">
        <v>232</v>
      </c>
      <c r="V14" s="3" t="s">
        <v>233</v>
      </c>
      <c r="W14" s="3" t="s">
        <v>234</v>
      </c>
      <c r="X14" s="3" t="s">
        <v>235</v>
      </c>
      <c r="Y14" s="15" t="n">
        <v>0</v>
      </c>
      <c r="Z14" s="15" t="n">
        <v>0</v>
      </c>
      <c r="AA14" s="15" t="n">
        <v>0</v>
      </c>
      <c r="AB14" s="15" t="n">
        <v>0</v>
      </c>
      <c r="AC14" s="15" t="n">
        <v>0</v>
      </c>
      <c r="AD14" s="15" t="n">
        <v>0</v>
      </c>
      <c r="AE14" s="15" t="n">
        <v>0</v>
      </c>
      <c r="AF14" s="15" t="n">
        <v>1</v>
      </c>
      <c r="AG14" s="15" t="n">
        <v>0</v>
      </c>
      <c r="AH14" s="15" t="n">
        <v>1</v>
      </c>
    </row>
    <row r="15" customFormat="false" ht="46.25" hidden="false" customHeight="false" outlineLevel="0" collapsed="false">
      <c r="A15" s="15" t="s">
        <v>236</v>
      </c>
      <c r="B15" s="15" t="s">
        <v>37</v>
      </c>
      <c r="C15" s="15" t="s">
        <v>127</v>
      </c>
      <c r="D15" s="15" t="n">
        <v>21</v>
      </c>
      <c r="E15" s="15" t="s">
        <v>228</v>
      </c>
      <c r="F15" s="15" t="n">
        <v>1</v>
      </c>
      <c r="G15" s="15" t="s">
        <v>197</v>
      </c>
      <c r="H15" s="15" t="s">
        <v>142</v>
      </c>
      <c r="I15" s="3" t="s">
        <v>237</v>
      </c>
      <c r="J15" s="3" t="s">
        <v>238</v>
      </c>
      <c r="K15" s="15" t="s">
        <v>145</v>
      </c>
      <c r="L15" s="16" t="s">
        <v>7</v>
      </c>
      <c r="M15" s="15" t="s">
        <v>68</v>
      </c>
      <c r="N15" s="15" t="s">
        <v>82</v>
      </c>
      <c r="O15" s="15" t="s">
        <v>239</v>
      </c>
      <c r="P15" s="15" t="s">
        <v>135</v>
      </c>
      <c r="Q15" s="15" t="s">
        <v>136</v>
      </c>
      <c r="R15" s="15" t="s">
        <v>135</v>
      </c>
      <c r="S15" s="15"/>
      <c r="T15" s="15"/>
      <c r="U15" s="3" t="s">
        <v>240</v>
      </c>
      <c r="V15" s="3" t="s">
        <v>241</v>
      </c>
      <c r="W15" s="3" t="s">
        <v>242</v>
      </c>
      <c r="X15" s="3" t="s">
        <v>243</v>
      </c>
      <c r="Y15" s="15" t="n">
        <v>0</v>
      </c>
      <c r="Z15" s="15" t="n">
        <v>1</v>
      </c>
      <c r="AA15" s="15" t="n">
        <v>0</v>
      </c>
      <c r="AB15" s="15" t="n">
        <v>0</v>
      </c>
      <c r="AC15" s="15" t="n">
        <v>0</v>
      </c>
      <c r="AD15" s="15" t="n">
        <v>0</v>
      </c>
      <c r="AE15" s="15" t="n">
        <v>0</v>
      </c>
      <c r="AF15" s="15" t="n">
        <v>1</v>
      </c>
      <c r="AG15" s="15" t="n">
        <v>0</v>
      </c>
      <c r="AH15" s="15" t="n">
        <v>1</v>
      </c>
    </row>
    <row r="16" customFormat="false" ht="46.25" hidden="false" customHeight="false" outlineLevel="0" collapsed="false">
      <c r="A16" s="15" t="s">
        <v>244</v>
      </c>
      <c r="B16" s="15" t="s">
        <v>37</v>
      </c>
      <c r="C16" s="15" t="s">
        <v>127</v>
      </c>
      <c r="D16" s="15" t="n">
        <v>21</v>
      </c>
      <c r="E16" s="15" t="s">
        <v>228</v>
      </c>
      <c r="F16" s="15" t="n">
        <v>2</v>
      </c>
      <c r="G16" s="15" t="s">
        <v>129</v>
      </c>
      <c r="H16" s="15" t="s">
        <v>130</v>
      </c>
      <c r="I16" s="3" t="s">
        <v>245</v>
      </c>
      <c r="J16" s="3" t="s">
        <v>246</v>
      </c>
      <c r="K16" s="15" t="s">
        <v>133</v>
      </c>
      <c r="L16" s="16" t="s">
        <v>7</v>
      </c>
      <c r="M16" s="15" t="s">
        <v>66</v>
      </c>
      <c r="N16" s="15" t="s">
        <v>84</v>
      </c>
      <c r="O16" s="15" t="s">
        <v>247</v>
      </c>
      <c r="P16" s="15" t="s">
        <v>135</v>
      </c>
      <c r="Q16" s="15" t="s">
        <v>136</v>
      </c>
      <c r="R16" s="15" t="s">
        <v>135</v>
      </c>
      <c r="S16" s="15"/>
      <c r="T16" s="15"/>
      <c r="U16" s="3" t="s">
        <v>248</v>
      </c>
      <c r="V16" s="3" t="s">
        <v>249</v>
      </c>
      <c r="W16" s="3" t="s">
        <v>250</v>
      </c>
      <c r="X16" s="3" t="s">
        <v>251</v>
      </c>
      <c r="Y16" s="15" t="n">
        <v>0</v>
      </c>
      <c r="Z16" s="15" t="n">
        <v>0</v>
      </c>
      <c r="AA16" s="15" t="n">
        <v>0</v>
      </c>
      <c r="AB16" s="15" t="n">
        <v>1</v>
      </c>
      <c r="AC16" s="15" t="n">
        <v>0</v>
      </c>
      <c r="AD16" s="15" t="n">
        <v>0</v>
      </c>
      <c r="AE16" s="15" t="n">
        <v>0</v>
      </c>
      <c r="AF16" s="15" t="n">
        <v>1</v>
      </c>
      <c r="AG16" s="15" t="n">
        <v>0</v>
      </c>
      <c r="AH16" s="15" t="n">
        <v>1</v>
      </c>
    </row>
    <row r="17" customFormat="false" ht="46.25" hidden="false" customHeight="false" outlineLevel="0" collapsed="false">
      <c r="A17" s="15" t="s">
        <v>252</v>
      </c>
      <c r="B17" s="15" t="s">
        <v>37</v>
      </c>
      <c r="C17" s="15" t="s">
        <v>127</v>
      </c>
      <c r="D17" s="15" t="n">
        <v>38</v>
      </c>
      <c r="E17" s="15" t="s">
        <v>253</v>
      </c>
      <c r="F17" s="15" t="n">
        <v>0</v>
      </c>
      <c r="G17" s="15" t="s">
        <v>141</v>
      </c>
      <c r="H17" s="15" t="s">
        <v>142</v>
      </c>
      <c r="I17" s="3" t="s">
        <v>254</v>
      </c>
      <c r="J17" s="3" t="s">
        <v>255</v>
      </c>
      <c r="K17" s="15" t="s">
        <v>133</v>
      </c>
      <c r="L17" s="16" t="s">
        <v>7</v>
      </c>
      <c r="M17" s="15" t="s">
        <v>68</v>
      </c>
      <c r="N17" s="15" t="s">
        <v>84</v>
      </c>
      <c r="O17" s="15" t="s">
        <v>256</v>
      </c>
      <c r="P17" s="15" t="s">
        <v>135</v>
      </c>
      <c r="Q17" s="15" t="s">
        <v>129</v>
      </c>
      <c r="R17" s="15" t="s">
        <v>135</v>
      </c>
      <c r="S17" s="15"/>
      <c r="T17" s="15"/>
      <c r="U17" s="3" t="s">
        <v>257</v>
      </c>
      <c r="V17" s="3" t="s">
        <v>258</v>
      </c>
      <c r="W17" s="3" t="s">
        <v>259</v>
      </c>
      <c r="X17" s="3" t="s">
        <v>260</v>
      </c>
      <c r="Y17" s="15" t="n">
        <v>0</v>
      </c>
      <c r="Z17" s="15" t="n">
        <v>1</v>
      </c>
      <c r="AA17" s="15" t="n">
        <v>0</v>
      </c>
      <c r="AB17" s="15" t="n">
        <v>1</v>
      </c>
      <c r="AC17" s="15" t="n">
        <v>0</v>
      </c>
      <c r="AD17" s="15" t="n">
        <v>0</v>
      </c>
      <c r="AE17" s="15" t="n">
        <v>0</v>
      </c>
      <c r="AF17" s="15" t="n">
        <v>1</v>
      </c>
      <c r="AG17" s="15" t="n">
        <v>0</v>
      </c>
      <c r="AH17" s="15" t="n">
        <v>0</v>
      </c>
    </row>
    <row r="18" customFormat="false" ht="46.25" hidden="false" customHeight="false" outlineLevel="0" collapsed="false">
      <c r="A18" s="15" t="s">
        <v>261</v>
      </c>
      <c r="B18" s="15" t="s">
        <v>37</v>
      </c>
      <c r="C18" s="15" t="s">
        <v>127</v>
      </c>
      <c r="D18" s="15" t="n">
        <v>38</v>
      </c>
      <c r="E18" s="15" t="s">
        <v>253</v>
      </c>
      <c r="F18" s="15" t="n">
        <v>1</v>
      </c>
      <c r="G18" s="15" t="s">
        <v>152</v>
      </c>
      <c r="H18" s="15" t="s">
        <v>142</v>
      </c>
      <c r="I18" s="3" t="s">
        <v>262</v>
      </c>
      <c r="J18" s="3" t="s">
        <v>263</v>
      </c>
      <c r="K18" s="15" t="s">
        <v>145</v>
      </c>
      <c r="L18" s="16" t="s">
        <v>7</v>
      </c>
      <c r="M18" s="15" t="s">
        <v>68</v>
      </c>
      <c r="N18" s="15" t="s">
        <v>82</v>
      </c>
      <c r="O18" s="15" t="s">
        <v>192</v>
      </c>
      <c r="P18" s="15" t="s">
        <v>135</v>
      </c>
      <c r="Q18" s="15" t="s">
        <v>129</v>
      </c>
      <c r="R18" s="15" t="s">
        <v>135</v>
      </c>
      <c r="S18" s="15"/>
      <c r="T18" s="15"/>
      <c r="U18" s="3" t="s">
        <v>264</v>
      </c>
      <c r="V18" s="3" t="s">
        <v>265</v>
      </c>
      <c r="W18" s="3" t="s">
        <v>266</v>
      </c>
      <c r="X18" s="3" t="s">
        <v>267</v>
      </c>
      <c r="Y18" s="15" t="n">
        <v>0</v>
      </c>
      <c r="Z18" s="15" t="n">
        <v>1</v>
      </c>
      <c r="AA18" s="15" t="n">
        <v>0</v>
      </c>
      <c r="AB18" s="15" t="n">
        <v>1</v>
      </c>
      <c r="AC18" s="15" t="n">
        <v>0</v>
      </c>
      <c r="AD18" s="15" t="n">
        <v>0</v>
      </c>
      <c r="AE18" s="15" t="n">
        <v>0</v>
      </c>
      <c r="AF18" s="15" t="n">
        <v>1</v>
      </c>
      <c r="AG18" s="15" t="n">
        <v>0</v>
      </c>
      <c r="AH18" s="15" t="n">
        <v>0</v>
      </c>
    </row>
    <row r="19" customFormat="false" ht="46.25" hidden="false" customHeight="false" outlineLevel="0" collapsed="false">
      <c r="A19" s="15" t="s">
        <v>268</v>
      </c>
      <c r="B19" s="15" t="s">
        <v>37</v>
      </c>
      <c r="C19" s="15" t="s">
        <v>127</v>
      </c>
      <c r="D19" s="15" t="n">
        <v>38</v>
      </c>
      <c r="E19" s="15" t="s">
        <v>253</v>
      </c>
      <c r="F19" s="15" t="n">
        <v>2</v>
      </c>
      <c r="G19" s="15" t="s">
        <v>129</v>
      </c>
      <c r="H19" s="15" t="s">
        <v>130</v>
      </c>
      <c r="I19" s="3" t="s">
        <v>269</v>
      </c>
      <c r="J19" s="3" t="s">
        <v>270</v>
      </c>
      <c r="K19" s="15" t="s">
        <v>133</v>
      </c>
      <c r="L19" s="16" t="s">
        <v>7</v>
      </c>
      <c r="M19" s="15" t="s">
        <v>68</v>
      </c>
      <c r="N19" s="15" t="s">
        <v>82</v>
      </c>
      <c r="O19" s="15" t="s">
        <v>271</v>
      </c>
      <c r="P19" s="15" t="s">
        <v>185</v>
      </c>
      <c r="Q19" s="15" t="s">
        <v>129</v>
      </c>
      <c r="R19" s="15" t="s">
        <v>135</v>
      </c>
      <c r="S19" s="15"/>
      <c r="T19" s="15"/>
      <c r="U19" s="3" t="s">
        <v>272</v>
      </c>
      <c r="V19" s="3" t="s">
        <v>273</v>
      </c>
      <c r="W19" s="3" t="s">
        <v>274</v>
      </c>
      <c r="X19" s="3" t="s">
        <v>275</v>
      </c>
      <c r="Y19" s="15" t="n">
        <v>0</v>
      </c>
      <c r="Z19" s="15" t="n">
        <v>1</v>
      </c>
      <c r="AA19" s="15" t="n">
        <v>0</v>
      </c>
      <c r="AB19" s="15" t="n">
        <v>1</v>
      </c>
      <c r="AC19" s="15" t="n">
        <v>0</v>
      </c>
      <c r="AD19" s="15" t="n">
        <v>0</v>
      </c>
      <c r="AE19" s="15" t="n">
        <v>0</v>
      </c>
      <c r="AF19" s="15" t="n">
        <v>0</v>
      </c>
      <c r="AG19" s="15" t="n">
        <v>0</v>
      </c>
      <c r="AH19" s="15" t="n">
        <v>0</v>
      </c>
    </row>
    <row r="20" customFormat="false" ht="46.25" hidden="false" customHeight="false" outlineLevel="0" collapsed="false">
      <c r="A20" s="15" t="s">
        <v>276</v>
      </c>
      <c r="B20" s="15" t="s">
        <v>37</v>
      </c>
      <c r="C20" s="15" t="s">
        <v>127</v>
      </c>
      <c r="D20" s="15" t="n">
        <v>40</v>
      </c>
      <c r="E20" s="15" t="s">
        <v>277</v>
      </c>
      <c r="F20" s="15" t="n">
        <v>0</v>
      </c>
      <c r="G20" s="15" t="s">
        <v>152</v>
      </c>
      <c r="H20" s="15" t="s">
        <v>142</v>
      </c>
      <c r="I20" s="3" t="s">
        <v>278</v>
      </c>
      <c r="J20" s="3" t="s">
        <v>279</v>
      </c>
      <c r="K20" s="15" t="s">
        <v>133</v>
      </c>
      <c r="L20" s="16" t="s">
        <v>7</v>
      </c>
      <c r="M20" s="15" t="s">
        <v>68</v>
      </c>
      <c r="N20" s="15" t="s">
        <v>82</v>
      </c>
      <c r="O20" s="15" t="s">
        <v>222</v>
      </c>
      <c r="P20" s="15" t="s">
        <v>135</v>
      </c>
      <c r="Q20" s="15" t="s">
        <v>129</v>
      </c>
      <c r="R20" s="15" t="s">
        <v>135</v>
      </c>
      <c r="S20" s="15"/>
      <c r="T20" s="15"/>
      <c r="U20" s="3" t="s">
        <v>280</v>
      </c>
      <c r="V20" s="3" t="s">
        <v>281</v>
      </c>
      <c r="W20" s="3" t="s">
        <v>282</v>
      </c>
      <c r="X20" s="3" t="s">
        <v>283</v>
      </c>
      <c r="Y20" s="15" t="n">
        <v>0</v>
      </c>
      <c r="Z20" s="15" t="n">
        <v>1</v>
      </c>
      <c r="AA20" s="15" t="n">
        <v>0</v>
      </c>
      <c r="AB20" s="15" t="n">
        <v>0</v>
      </c>
      <c r="AC20" s="15" t="n">
        <v>0</v>
      </c>
      <c r="AD20" s="15" t="n">
        <v>0</v>
      </c>
      <c r="AE20" s="15" t="n">
        <v>0</v>
      </c>
      <c r="AF20" s="15" t="n">
        <v>1</v>
      </c>
      <c r="AG20" s="15" t="n">
        <v>0</v>
      </c>
      <c r="AH20" s="15" t="n">
        <v>1</v>
      </c>
    </row>
    <row r="21" customFormat="false" ht="46.25" hidden="false" customHeight="false" outlineLevel="0" collapsed="false">
      <c r="A21" s="15" t="s">
        <v>284</v>
      </c>
      <c r="B21" s="15" t="s">
        <v>37</v>
      </c>
      <c r="C21" s="15" t="s">
        <v>127</v>
      </c>
      <c r="D21" s="15" t="n">
        <v>40</v>
      </c>
      <c r="E21" s="15" t="s">
        <v>277</v>
      </c>
      <c r="F21" s="15" t="n">
        <v>1</v>
      </c>
      <c r="G21" s="15" t="s">
        <v>141</v>
      </c>
      <c r="H21" s="15" t="s">
        <v>142</v>
      </c>
      <c r="I21" s="3" t="s">
        <v>285</v>
      </c>
      <c r="J21" s="3" t="s">
        <v>286</v>
      </c>
      <c r="K21" s="15" t="s">
        <v>145</v>
      </c>
      <c r="L21" s="16" t="s">
        <v>7</v>
      </c>
      <c r="M21" s="15" t="s">
        <v>68</v>
      </c>
      <c r="N21" s="15" t="s">
        <v>82</v>
      </c>
      <c r="O21" s="15" t="s">
        <v>215</v>
      </c>
      <c r="P21" s="15" t="s">
        <v>135</v>
      </c>
      <c r="Q21" s="15" t="s">
        <v>152</v>
      </c>
      <c r="R21" s="15" t="s">
        <v>135</v>
      </c>
      <c r="S21" s="15"/>
      <c r="T21" s="15"/>
      <c r="U21" s="3" t="s">
        <v>287</v>
      </c>
      <c r="V21" s="3" t="s">
        <v>288</v>
      </c>
      <c r="W21" s="3"/>
      <c r="X21" s="3" t="s">
        <v>289</v>
      </c>
      <c r="Y21" s="15" t="n">
        <v>0</v>
      </c>
      <c r="Z21" s="15" t="n">
        <v>1</v>
      </c>
      <c r="AA21" s="15" t="n">
        <v>0</v>
      </c>
      <c r="AB21" s="15" t="n">
        <v>0</v>
      </c>
      <c r="AC21" s="15" t="n">
        <v>0</v>
      </c>
      <c r="AD21" s="15" t="n">
        <v>0</v>
      </c>
      <c r="AE21" s="15" t="n">
        <v>0</v>
      </c>
      <c r="AF21" s="15" t="n">
        <v>1</v>
      </c>
      <c r="AG21" s="15" t="n">
        <v>0</v>
      </c>
      <c r="AH21" s="15" t="n">
        <v>0</v>
      </c>
    </row>
    <row r="22" customFormat="false" ht="46.25" hidden="false" customHeight="false" outlineLevel="0" collapsed="false">
      <c r="A22" s="15" t="s">
        <v>290</v>
      </c>
      <c r="B22" s="15" t="s">
        <v>37</v>
      </c>
      <c r="C22" s="15" t="s">
        <v>127</v>
      </c>
      <c r="D22" s="15" t="n">
        <v>40</v>
      </c>
      <c r="E22" s="15" t="s">
        <v>277</v>
      </c>
      <c r="F22" s="15" t="n">
        <v>2</v>
      </c>
      <c r="G22" s="15" t="s">
        <v>129</v>
      </c>
      <c r="H22" s="15" t="s">
        <v>130</v>
      </c>
      <c r="I22" s="3" t="s">
        <v>291</v>
      </c>
      <c r="J22" s="3" t="s">
        <v>292</v>
      </c>
      <c r="K22" s="15" t="s">
        <v>133</v>
      </c>
      <c r="L22" s="16" t="s">
        <v>7</v>
      </c>
      <c r="M22" s="15" t="s">
        <v>66</v>
      </c>
      <c r="N22" s="15" t="s">
        <v>90</v>
      </c>
      <c r="O22" s="15" t="s">
        <v>293</v>
      </c>
      <c r="P22" s="15" t="s">
        <v>185</v>
      </c>
      <c r="Q22" s="15" t="s">
        <v>129</v>
      </c>
      <c r="R22" s="15" t="s">
        <v>135</v>
      </c>
      <c r="S22" s="15"/>
      <c r="T22" s="15"/>
      <c r="U22" s="3" t="s">
        <v>294</v>
      </c>
      <c r="V22" s="3" t="s">
        <v>295</v>
      </c>
      <c r="W22" s="3" t="s">
        <v>296</v>
      </c>
      <c r="X22" s="3" t="s">
        <v>297</v>
      </c>
      <c r="Y22" s="15" t="n">
        <v>0</v>
      </c>
      <c r="Z22" s="15" t="n">
        <v>0</v>
      </c>
      <c r="AA22" s="15" t="n">
        <v>0</v>
      </c>
      <c r="AB22" s="15" t="n">
        <v>0</v>
      </c>
      <c r="AC22" s="15" t="n">
        <v>0</v>
      </c>
      <c r="AD22" s="15" t="n">
        <v>0</v>
      </c>
      <c r="AE22" s="15" t="n">
        <v>1</v>
      </c>
      <c r="AF22" s="15" t="n">
        <v>0</v>
      </c>
      <c r="AG22" s="15" t="n">
        <v>0</v>
      </c>
      <c r="AH22" s="15" t="n">
        <v>1</v>
      </c>
    </row>
    <row r="23" customFormat="false" ht="35.05" hidden="false" customHeight="false" outlineLevel="0" collapsed="false">
      <c r="A23" s="15" t="s">
        <v>298</v>
      </c>
      <c r="B23" s="15" t="s">
        <v>37</v>
      </c>
      <c r="C23" s="15" t="s">
        <v>127</v>
      </c>
      <c r="D23" s="15" t="n">
        <v>42</v>
      </c>
      <c r="E23" s="15" t="s">
        <v>299</v>
      </c>
      <c r="F23" s="15" t="n">
        <v>0</v>
      </c>
      <c r="G23" s="15" t="s">
        <v>129</v>
      </c>
      <c r="H23" s="15" t="s">
        <v>130</v>
      </c>
      <c r="I23" s="3" t="s">
        <v>300</v>
      </c>
      <c r="J23" s="3" t="s">
        <v>301</v>
      </c>
      <c r="K23" s="15" t="s">
        <v>133</v>
      </c>
      <c r="L23" s="16" t="s">
        <v>7</v>
      </c>
      <c r="M23" s="15" t="s">
        <v>66</v>
      </c>
      <c r="N23" s="15" t="s">
        <v>90</v>
      </c>
      <c r="O23" s="15" t="s">
        <v>90</v>
      </c>
      <c r="P23" s="15" t="s">
        <v>185</v>
      </c>
      <c r="Q23" s="15" t="s">
        <v>129</v>
      </c>
      <c r="R23" s="15" t="s">
        <v>185</v>
      </c>
      <c r="S23" s="15"/>
      <c r="T23" s="15"/>
      <c r="U23" s="3" t="s">
        <v>302</v>
      </c>
      <c r="V23" s="3" t="s">
        <v>303</v>
      </c>
      <c r="W23" s="3" t="s">
        <v>304</v>
      </c>
      <c r="X23" s="3" t="s">
        <v>305</v>
      </c>
      <c r="Y23" s="15" t="n">
        <v>0</v>
      </c>
      <c r="Z23" s="15" t="n">
        <v>0</v>
      </c>
      <c r="AA23" s="15" t="n">
        <v>0</v>
      </c>
      <c r="AB23" s="15" t="n">
        <v>0</v>
      </c>
      <c r="AC23" s="15" t="n">
        <v>0</v>
      </c>
      <c r="AD23" s="15" t="n">
        <v>0</v>
      </c>
      <c r="AE23" s="15" t="n">
        <v>0</v>
      </c>
      <c r="AF23" s="15" t="n">
        <v>0</v>
      </c>
      <c r="AG23" s="15" t="n">
        <v>0</v>
      </c>
      <c r="AH23" s="15" t="n">
        <v>1</v>
      </c>
    </row>
    <row r="24" customFormat="false" ht="35.05" hidden="false" customHeight="false" outlineLevel="0" collapsed="false">
      <c r="A24" s="15" t="s">
        <v>306</v>
      </c>
      <c r="B24" s="15" t="s">
        <v>37</v>
      </c>
      <c r="C24" s="15" t="s">
        <v>127</v>
      </c>
      <c r="D24" s="15" t="n">
        <v>42</v>
      </c>
      <c r="E24" s="15" t="s">
        <v>299</v>
      </c>
      <c r="F24" s="15" t="n">
        <v>1</v>
      </c>
      <c r="G24" s="15" t="s">
        <v>307</v>
      </c>
      <c r="H24" s="15" t="s">
        <v>308</v>
      </c>
      <c r="I24" s="3" t="s">
        <v>309</v>
      </c>
      <c r="J24" s="3" t="s">
        <v>310</v>
      </c>
      <c r="K24" s="15" t="s">
        <v>145</v>
      </c>
      <c r="L24" s="16" t="s">
        <v>7</v>
      </c>
      <c r="M24" s="15" t="s">
        <v>66</v>
      </c>
      <c r="N24" s="15" t="s">
        <v>90</v>
      </c>
      <c r="O24" s="15" t="s">
        <v>293</v>
      </c>
      <c r="P24" s="15" t="s">
        <v>185</v>
      </c>
      <c r="Q24" s="15" t="s">
        <v>307</v>
      </c>
      <c r="R24" s="15" t="s">
        <v>135</v>
      </c>
      <c r="S24" s="15"/>
      <c r="T24" s="15"/>
      <c r="U24" s="3" t="s">
        <v>311</v>
      </c>
      <c r="V24" s="3" t="s">
        <v>312</v>
      </c>
      <c r="W24" s="3" t="s">
        <v>313</v>
      </c>
      <c r="X24" s="3" t="s">
        <v>314</v>
      </c>
      <c r="Y24" s="15" t="n">
        <v>0</v>
      </c>
      <c r="Z24" s="15" t="n">
        <v>0</v>
      </c>
      <c r="AA24" s="15" t="n">
        <v>0</v>
      </c>
      <c r="AB24" s="15" t="n">
        <v>0</v>
      </c>
      <c r="AC24" s="15" t="n">
        <v>0</v>
      </c>
      <c r="AD24" s="15" t="n">
        <v>0</v>
      </c>
      <c r="AE24" s="15" t="n">
        <v>1</v>
      </c>
      <c r="AF24" s="15" t="n">
        <v>0</v>
      </c>
      <c r="AG24" s="15" t="n">
        <v>0</v>
      </c>
      <c r="AH24" s="15" t="n">
        <v>1</v>
      </c>
    </row>
    <row r="25" customFormat="false" ht="35.05" hidden="false" customHeight="false" outlineLevel="0" collapsed="false">
      <c r="A25" s="15" t="s">
        <v>315</v>
      </c>
      <c r="B25" s="15" t="s">
        <v>37</v>
      </c>
      <c r="C25" s="15" t="s">
        <v>127</v>
      </c>
      <c r="D25" s="15" t="n">
        <v>42</v>
      </c>
      <c r="E25" s="15" t="s">
        <v>299</v>
      </c>
      <c r="F25" s="15" t="n">
        <v>2</v>
      </c>
      <c r="G25" s="15" t="s">
        <v>197</v>
      </c>
      <c r="H25" s="15" t="s">
        <v>142</v>
      </c>
      <c r="I25" s="3" t="s">
        <v>316</v>
      </c>
      <c r="J25" s="3" t="s">
        <v>317</v>
      </c>
      <c r="K25" s="15" t="s">
        <v>133</v>
      </c>
      <c r="L25" s="16" t="s">
        <v>7</v>
      </c>
      <c r="M25" s="15" t="s">
        <v>68</v>
      </c>
      <c r="N25" s="15" t="s">
        <v>82</v>
      </c>
      <c r="O25" s="15" t="s">
        <v>239</v>
      </c>
      <c r="P25" s="15" t="s">
        <v>135</v>
      </c>
      <c r="Q25" s="15" t="s">
        <v>129</v>
      </c>
      <c r="R25" s="15" t="s">
        <v>135</v>
      </c>
      <c r="S25" s="15"/>
      <c r="T25" s="15"/>
      <c r="U25" s="3" t="s">
        <v>318</v>
      </c>
      <c r="V25" s="3" t="s">
        <v>319</v>
      </c>
      <c r="W25" s="3" t="s">
        <v>320</v>
      </c>
      <c r="X25" s="3" t="s">
        <v>321</v>
      </c>
      <c r="Y25" s="15" t="n">
        <v>0</v>
      </c>
      <c r="Z25" s="15" t="n">
        <v>1</v>
      </c>
      <c r="AA25" s="15" t="n">
        <v>0</v>
      </c>
      <c r="AB25" s="15" t="n">
        <v>0</v>
      </c>
      <c r="AC25" s="15" t="n">
        <v>0</v>
      </c>
      <c r="AD25" s="15" t="n">
        <v>0</v>
      </c>
      <c r="AE25" s="15" t="n">
        <v>0</v>
      </c>
      <c r="AF25" s="15" t="n">
        <v>1</v>
      </c>
      <c r="AG25" s="15" t="n">
        <v>0</v>
      </c>
      <c r="AH25" s="15" t="n">
        <v>1</v>
      </c>
    </row>
    <row r="26" customFormat="false" ht="35.05" hidden="false" customHeight="false" outlineLevel="0" collapsed="false">
      <c r="A26" s="15" t="s">
        <v>322</v>
      </c>
      <c r="B26" s="15" t="s">
        <v>37</v>
      </c>
      <c r="C26" s="15" t="s">
        <v>127</v>
      </c>
      <c r="D26" s="15" t="n">
        <v>44</v>
      </c>
      <c r="E26" s="15" t="s">
        <v>323</v>
      </c>
      <c r="F26" s="15" t="n">
        <v>0</v>
      </c>
      <c r="G26" s="15" t="s">
        <v>152</v>
      </c>
      <c r="H26" s="15" t="s">
        <v>142</v>
      </c>
      <c r="I26" s="3" t="s">
        <v>324</v>
      </c>
      <c r="J26" s="3" t="s">
        <v>325</v>
      </c>
      <c r="K26" s="15" t="s">
        <v>133</v>
      </c>
      <c r="L26" s="17" t="s">
        <v>9</v>
      </c>
      <c r="M26" s="15" t="s">
        <v>70</v>
      </c>
      <c r="N26" s="15" t="s">
        <v>81</v>
      </c>
      <c r="O26" s="15" t="s">
        <v>81</v>
      </c>
      <c r="P26" s="15" t="s">
        <v>135</v>
      </c>
      <c r="Q26" s="15" t="s">
        <v>152</v>
      </c>
      <c r="R26" s="15" t="s">
        <v>135</v>
      </c>
      <c r="S26" s="15" t="s">
        <v>326</v>
      </c>
      <c r="T26" s="15" t="s">
        <v>327</v>
      </c>
      <c r="U26" s="3" t="s">
        <v>328</v>
      </c>
      <c r="V26" s="3" t="s">
        <v>329</v>
      </c>
      <c r="W26" s="3"/>
      <c r="X26" s="3"/>
      <c r="Y26" s="15" t="n">
        <v>1</v>
      </c>
      <c r="Z26" s="15" t="n">
        <v>0</v>
      </c>
      <c r="AA26" s="15" t="n">
        <v>0</v>
      </c>
      <c r="AB26" s="15" t="n">
        <v>0</v>
      </c>
      <c r="AC26" s="15" t="n">
        <v>0</v>
      </c>
      <c r="AD26" s="15" t="n">
        <v>0</v>
      </c>
      <c r="AE26" s="15" t="n">
        <v>0</v>
      </c>
      <c r="AF26" s="15" t="n">
        <v>0</v>
      </c>
      <c r="AG26" s="15" t="n">
        <v>0</v>
      </c>
      <c r="AH26" s="15" t="n">
        <v>0</v>
      </c>
    </row>
    <row r="27" customFormat="false" ht="57.45" hidden="false" customHeight="false" outlineLevel="0" collapsed="false">
      <c r="A27" s="15" t="s">
        <v>330</v>
      </c>
      <c r="B27" s="15" t="s">
        <v>37</v>
      </c>
      <c r="C27" s="15" t="s">
        <v>127</v>
      </c>
      <c r="D27" s="15" t="n">
        <v>44</v>
      </c>
      <c r="E27" s="15" t="s">
        <v>323</v>
      </c>
      <c r="F27" s="15" t="n">
        <v>1</v>
      </c>
      <c r="G27" s="15" t="s">
        <v>141</v>
      </c>
      <c r="H27" s="15" t="s">
        <v>142</v>
      </c>
      <c r="I27" s="3" t="s">
        <v>331</v>
      </c>
      <c r="J27" s="3" t="s">
        <v>332</v>
      </c>
      <c r="K27" s="15" t="s">
        <v>145</v>
      </c>
      <c r="L27" s="16" t="s">
        <v>7</v>
      </c>
      <c r="M27" s="15" t="s">
        <v>68</v>
      </c>
      <c r="N27" s="15" t="s">
        <v>84</v>
      </c>
      <c r="O27" s="15" t="s">
        <v>247</v>
      </c>
      <c r="P27" s="15" t="s">
        <v>135</v>
      </c>
      <c r="Q27" s="15" t="s">
        <v>152</v>
      </c>
      <c r="R27" s="15" t="s">
        <v>135</v>
      </c>
      <c r="S27" s="15"/>
      <c r="T27" s="15"/>
      <c r="U27" s="3" t="s">
        <v>333</v>
      </c>
      <c r="V27" s="3" t="s">
        <v>334</v>
      </c>
      <c r="W27" s="3" t="s">
        <v>335</v>
      </c>
      <c r="X27" s="3" t="s">
        <v>336</v>
      </c>
      <c r="Y27" s="15" t="n">
        <v>0</v>
      </c>
      <c r="Z27" s="15" t="n">
        <v>0</v>
      </c>
      <c r="AA27" s="15" t="n">
        <v>0</v>
      </c>
      <c r="AB27" s="15" t="n">
        <v>1</v>
      </c>
      <c r="AC27" s="15" t="n">
        <v>0</v>
      </c>
      <c r="AD27" s="15" t="n">
        <v>0</v>
      </c>
      <c r="AE27" s="15" t="n">
        <v>0</v>
      </c>
      <c r="AF27" s="15" t="n">
        <v>1</v>
      </c>
      <c r="AG27" s="15" t="n">
        <v>0</v>
      </c>
      <c r="AH27" s="15" t="n">
        <v>1</v>
      </c>
    </row>
    <row r="28" customFormat="false" ht="35.05" hidden="false" customHeight="false" outlineLevel="0" collapsed="false">
      <c r="A28" s="15" t="s">
        <v>337</v>
      </c>
      <c r="B28" s="15" t="s">
        <v>37</v>
      </c>
      <c r="C28" s="15" t="s">
        <v>127</v>
      </c>
      <c r="D28" s="15" t="n">
        <v>44</v>
      </c>
      <c r="E28" s="15" t="s">
        <v>323</v>
      </c>
      <c r="F28" s="15" t="n">
        <v>2</v>
      </c>
      <c r="G28" s="15" t="s">
        <v>197</v>
      </c>
      <c r="H28" s="15" t="s">
        <v>142</v>
      </c>
      <c r="I28" s="3" t="s">
        <v>338</v>
      </c>
      <c r="J28" s="3" t="s">
        <v>339</v>
      </c>
      <c r="K28" s="15" t="s">
        <v>133</v>
      </c>
      <c r="L28" s="17" t="s">
        <v>9</v>
      </c>
      <c r="M28" s="15" t="s">
        <v>70</v>
      </c>
      <c r="N28" s="15" t="s">
        <v>81</v>
      </c>
      <c r="O28" s="15" t="s">
        <v>340</v>
      </c>
      <c r="P28" s="15" t="s">
        <v>135</v>
      </c>
      <c r="Q28" s="15" t="s">
        <v>197</v>
      </c>
      <c r="R28" s="15" t="s">
        <v>135</v>
      </c>
      <c r="S28" s="15" t="s">
        <v>341</v>
      </c>
      <c r="T28" s="15" t="s">
        <v>342</v>
      </c>
      <c r="U28" s="3" t="s">
        <v>343</v>
      </c>
      <c r="V28" s="3" t="s">
        <v>344</v>
      </c>
      <c r="W28" s="3"/>
      <c r="X28" s="3"/>
      <c r="Y28" s="15" t="n">
        <v>1</v>
      </c>
      <c r="Z28" s="15" t="n">
        <v>0</v>
      </c>
      <c r="AA28" s="15" t="n">
        <v>0</v>
      </c>
      <c r="AB28" s="15" t="n">
        <v>0</v>
      </c>
      <c r="AC28" s="15" t="n">
        <v>0</v>
      </c>
      <c r="AD28" s="15" t="n">
        <v>0</v>
      </c>
      <c r="AE28" s="15" t="n">
        <v>0</v>
      </c>
      <c r="AF28" s="15" t="n">
        <v>0</v>
      </c>
      <c r="AG28" s="15" t="n">
        <v>0</v>
      </c>
      <c r="AH28" s="15" t="n">
        <v>1</v>
      </c>
    </row>
    <row r="29" customFormat="false" ht="46.25" hidden="false" customHeight="false" outlineLevel="0" collapsed="false">
      <c r="A29" s="15" t="s">
        <v>345</v>
      </c>
      <c r="B29" s="15" t="s">
        <v>37</v>
      </c>
      <c r="C29" s="15" t="s">
        <v>127</v>
      </c>
      <c r="D29" s="15" t="n">
        <v>47</v>
      </c>
      <c r="E29" s="15" t="s">
        <v>346</v>
      </c>
      <c r="F29" s="15" t="n">
        <v>0</v>
      </c>
      <c r="G29" s="15" t="s">
        <v>129</v>
      </c>
      <c r="H29" s="15" t="s">
        <v>130</v>
      </c>
      <c r="I29" s="3" t="s">
        <v>347</v>
      </c>
      <c r="J29" s="3" t="s">
        <v>348</v>
      </c>
      <c r="K29" s="15" t="s">
        <v>133</v>
      </c>
      <c r="L29" s="16" t="s">
        <v>7</v>
      </c>
      <c r="M29" s="15" t="s">
        <v>68</v>
      </c>
      <c r="N29" s="15" t="s">
        <v>82</v>
      </c>
      <c r="O29" s="15" t="s">
        <v>349</v>
      </c>
      <c r="P29" s="15" t="s">
        <v>135</v>
      </c>
      <c r="Q29" s="15" t="s">
        <v>136</v>
      </c>
      <c r="R29" s="15" t="s">
        <v>135</v>
      </c>
      <c r="S29" s="15"/>
      <c r="T29" s="15"/>
      <c r="U29" s="3" t="s">
        <v>350</v>
      </c>
      <c r="V29" s="3" t="s">
        <v>351</v>
      </c>
      <c r="W29" s="3" t="s">
        <v>352</v>
      </c>
      <c r="X29" s="3" t="s">
        <v>353</v>
      </c>
      <c r="Y29" s="15" t="n">
        <v>0</v>
      </c>
      <c r="Z29" s="15" t="n">
        <v>1</v>
      </c>
      <c r="AA29" s="15" t="n">
        <v>0</v>
      </c>
      <c r="AB29" s="15" t="n">
        <v>0</v>
      </c>
      <c r="AC29" s="15" t="n">
        <v>1</v>
      </c>
      <c r="AD29" s="15" t="n">
        <v>0</v>
      </c>
      <c r="AE29" s="15" t="n">
        <v>0</v>
      </c>
      <c r="AF29" s="15" t="n">
        <v>1</v>
      </c>
      <c r="AG29" s="15" t="n">
        <v>0</v>
      </c>
      <c r="AH29" s="15" t="n">
        <v>1</v>
      </c>
    </row>
    <row r="30" customFormat="false" ht="35.05" hidden="false" customHeight="false" outlineLevel="0" collapsed="false">
      <c r="A30" s="15" t="s">
        <v>354</v>
      </c>
      <c r="B30" s="15" t="s">
        <v>37</v>
      </c>
      <c r="C30" s="15" t="s">
        <v>127</v>
      </c>
      <c r="D30" s="15" t="n">
        <v>47</v>
      </c>
      <c r="E30" s="15" t="s">
        <v>346</v>
      </c>
      <c r="F30" s="15" t="n">
        <v>1</v>
      </c>
      <c r="G30" s="15" t="s">
        <v>141</v>
      </c>
      <c r="H30" s="15" t="s">
        <v>142</v>
      </c>
      <c r="I30" s="3" t="s">
        <v>355</v>
      </c>
      <c r="J30" s="3" t="s">
        <v>356</v>
      </c>
      <c r="K30" s="15" t="s">
        <v>145</v>
      </c>
      <c r="L30" s="16" t="s">
        <v>7</v>
      </c>
      <c r="M30" s="15" t="s">
        <v>68</v>
      </c>
      <c r="N30" s="15" t="s">
        <v>82</v>
      </c>
      <c r="O30" s="15" t="s">
        <v>349</v>
      </c>
      <c r="P30" s="15" t="s">
        <v>135</v>
      </c>
      <c r="Q30" s="15" t="s">
        <v>136</v>
      </c>
      <c r="R30" s="15" t="s">
        <v>135</v>
      </c>
      <c r="S30" s="15"/>
      <c r="T30" s="15"/>
      <c r="U30" s="3" t="s">
        <v>357</v>
      </c>
      <c r="V30" s="3" t="s">
        <v>358</v>
      </c>
      <c r="W30" s="3" t="s">
        <v>359</v>
      </c>
      <c r="X30" s="3" t="s">
        <v>360</v>
      </c>
      <c r="Y30" s="15" t="n">
        <v>0</v>
      </c>
      <c r="Z30" s="15" t="n">
        <v>1</v>
      </c>
      <c r="AA30" s="15" t="n">
        <v>0</v>
      </c>
      <c r="AB30" s="15" t="n">
        <v>0</v>
      </c>
      <c r="AC30" s="15" t="n">
        <v>1</v>
      </c>
      <c r="AD30" s="15" t="n">
        <v>0</v>
      </c>
      <c r="AE30" s="15" t="n">
        <v>0</v>
      </c>
      <c r="AF30" s="15" t="n">
        <v>1</v>
      </c>
      <c r="AG30" s="15" t="n">
        <v>0</v>
      </c>
      <c r="AH30" s="15" t="n">
        <v>1</v>
      </c>
    </row>
    <row r="31" customFormat="false" ht="35.05" hidden="false" customHeight="false" outlineLevel="0" collapsed="false">
      <c r="A31" s="15" t="s">
        <v>361</v>
      </c>
      <c r="B31" s="15" t="s">
        <v>37</v>
      </c>
      <c r="C31" s="15" t="s">
        <v>127</v>
      </c>
      <c r="D31" s="15" t="n">
        <v>47</v>
      </c>
      <c r="E31" s="15" t="s">
        <v>346</v>
      </c>
      <c r="F31" s="15" t="n">
        <v>2</v>
      </c>
      <c r="G31" s="15" t="s">
        <v>197</v>
      </c>
      <c r="H31" s="15" t="s">
        <v>142</v>
      </c>
      <c r="I31" s="3" t="s">
        <v>362</v>
      </c>
      <c r="J31" s="3" t="s">
        <v>363</v>
      </c>
      <c r="K31" s="15" t="s">
        <v>133</v>
      </c>
      <c r="L31" s="16" t="s">
        <v>7</v>
      </c>
      <c r="M31" s="15" t="s">
        <v>68</v>
      </c>
      <c r="N31" s="15" t="s">
        <v>82</v>
      </c>
      <c r="O31" s="15" t="s">
        <v>364</v>
      </c>
      <c r="P31" s="15" t="s">
        <v>135</v>
      </c>
      <c r="Q31" s="15" t="s">
        <v>136</v>
      </c>
      <c r="R31" s="15" t="s">
        <v>135</v>
      </c>
      <c r="S31" s="15"/>
      <c r="T31" s="15"/>
      <c r="U31" s="3" t="s">
        <v>365</v>
      </c>
      <c r="V31" s="3" t="s">
        <v>366</v>
      </c>
      <c r="W31" s="3" t="s">
        <v>367</v>
      </c>
      <c r="X31" s="3" t="s">
        <v>368</v>
      </c>
      <c r="Y31" s="15" t="n">
        <v>0</v>
      </c>
      <c r="Z31" s="15" t="n">
        <v>1</v>
      </c>
      <c r="AA31" s="15" t="n">
        <v>0</v>
      </c>
      <c r="AB31" s="15" t="n">
        <v>0</v>
      </c>
      <c r="AC31" s="15" t="n">
        <v>1</v>
      </c>
      <c r="AD31" s="15" t="n">
        <v>0</v>
      </c>
      <c r="AE31" s="15" t="n">
        <v>0</v>
      </c>
      <c r="AF31" s="15" t="n">
        <v>1</v>
      </c>
      <c r="AG31" s="15" t="n">
        <v>0</v>
      </c>
      <c r="AH31" s="15" t="n">
        <v>1</v>
      </c>
    </row>
    <row r="32" customFormat="false" ht="46.25" hidden="false" customHeight="false" outlineLevel="0" collapsed="false">
      <c r="A32" s="15" t="s">
        <v>369</v>
      </c>
      <c r="B32" s="15" t="s">
        <v>37</v>
      </c>
      <c r="C32" s="15" t="s">
        <v>127</v>
      </c>
      <c r="D32" s="15" t="n">
        <v>53</v>
      </c>
      <c r="E32" s="15" t="s">
        <v>370</v>
      </c>
      <c r="F32" s="15" t="n">
        <v>0</v>
      </c>
      <c r="G32" s="15" t="s">
        <v>129</v>
      </c>
      <c r="H32" s="15" t="s">
        <v>130</v>
      </c>
      <c r="I32" s="3" t="s">
        <v>371</v>
      </c>
      <c r="J32" s="3" t="s">
        <v>372</v>
      </c>
      <c r="K32" s="15" t="s">
        <v>133</v>
      </c>
      <c r="L32" s="16" t="s">
        <v>7</v>
      </c>
      <c r="M32" s="15" t="s">
        <v>68</v>
      </c>
      <c r="N32" s="15" t="s">
        <v>84</v>
      </c>
      <c r="O32" s="15" t="s">
        <v>373</v>
      </c>
      <c r="P32" s="15" t="s">
        <v>185</v>
      </c>
      <c r="Q32" s="15" t="s">
        <v>129</v>
      </c>
      <c r="R32" s="15" t="s">
        <v>135</v>
      </c>
      <c r="S32" s="15"/>
      <c r="T32" s="15"/>
      <c r="U32" s="3" t="s">
        <v>374</v>
      </c>
      <c r="V32" s="3" t="s">
        <v>375</v>
      </c>
      <c r="W32" s="3" t="s">
        <v>376</v>
      </c>
      <c r="X32" s="3" t="s">
        <v>377</v>
      </c>
      <c r="Y32" s="15" t="n">
        <v>0</v>
      </c>
      <c r="Z32" s="15" t="n">
        <v>1</v>
      </c>
      <c r="AA32" s="15" t="n">
        <v>0</v>
      </c>
      <c r="AB32" s="15" t="n">
        <v>1</v>
      </c>
      <c r="AC32" s="15" t="n">
        <v>0</v>
      </c>
      <c r="AD32" s="15" t="n">
        <v>1</v>
      </c>
      <c r="AE32" s="15" t="n">
        <v>0</v>
      </c>
      <c r="AF32" s="15" t="n">
        <v>0</v>
      </c>
      <c r="AG32" s="15" t="n">
        <v>0</v>
      </c>
      <c r="AH32" s="15" t="n">
        <v>1</v>
      </c>
    </row>
    <row r="33" customFormat="false" ht="57.45" hidden="false" customHeight="false" outlineLevel="0" collapsed="false">
      <c r="A33" s="15" t="s">
        <v>378</v>
      </c>
      <c r="B33" s="15" t="s">
        <v>37</v>
      </c>
      <c r="C33" s="15" t="s">
        <v>127</v>
      </c>
      <c r="D33" s="15" t="n">
        <v>53</v>
      </c>
      <c r="E33" s="15" t="s">
        <v>370</v>
      </c>
      <c r="F33" s="15" t="n">
        <v>1</v>
      </c>
      <c r="G33" s="15" t="s">
        <v>152</v>
      </c>
      <c r="H33" s="15" t="s">
        <v>142</v>
      </c>
      <c r="I33" s="3" t="s">
        <v>379</v>
      </c>
      <c r="J33" s="3" t="s">
        <v>380</v>
      </c>
      <c r="K33" s="15" t="s">
        <v>145</v>
      </c>
      <c r="L33" s="16" t="s">
        <v>7</v>
      </c>
      <c r="M33" s="15" t="s">
        <v>68</v>
      </c>
      <c r="N33" s="15" t="s">
        <v>82</v>
      </c>
      <c r="O33" s="15" t="s">
        <v>381</v>
      </c>
      <c r="P33" s="15" t="s">
        <v>135</v>
      </c>
      <c r="Q33" s="15" t="s">
        <v>129</v>
      </c>
      <c r="R33" s="15" t="s">
        <v>135</v>
      </c>
      <c r="S33" s="15"/>
      <c r="T33" s="15"/>
      <c r="U33" s="3" t="s">
        <v>382</v>
      </c>
      <c r="V33" s="3" t="s">
        <v>383</v>
      </c>
      <c r="W33" s="3" t="s">
        <v>384</v>
      </c>
      <c r="X33" s="3" t="s">
        <v>385</v>
      </c>
      <c r="Y33" s="15" t="n">
        <v>0</v>
      </c>
      <c r="Z33" s="15" t="n">
        <v>1</v>
      </c>
      <c r="AA33" s="15" t="n">
        <v>0</v>
      </c>
      <c r="AB33" s="15" t="n">
        <v>0</v>
      </c>
      <c r="AC33" s="15" t="n">
        <v>1</v>
      </c>
      <c r="AD33" s="15" t="n">
        <v>0</v>
      </c>
      <c r="AE33" s="15" t="n">
        <v>0</v>
      </c>
      <c r="AF33" s="15" t="n">
        <v>1</v>
      </c>
      <c r="AG33" s="15" t="n">
        <v>0</v>
      </c>
      <c r="AH33" s="15" t="n">
        <v>1</v>
      </c>
    </row>
    <row r="34" customFormat="false" ht="35.05" hidden="false" customHeight="false" outlineLevel="0" collapsed="false">
      <c r="A34" s="15" t="s">
        <v>386</v>
      </c>
      <c r="B34" s="15" t="s">
        <v>37</v>
      </c>
      <c r="C34" s="15" t="s">
        <v>127</v>
      </c>
      <c r="D34" s="15" t="n">
        <v>53</v>
      </c>
      <c r="E34" s="15" t="s">
        <v>370</v>
      </c>
      <c r="F34" s="15" t="n">
        <v>2</v>
      </c>
      <c r="G34" s="15" t="s">
        <v>307</v>
      </c>
      <c r="H34" s="15" t="s">
        <v>308</v>
      </c>
      <c r="I34" s="3" t="s">
        <v>387</v>
      </c>
      <c r="J34" s="3" t="s">
        <v>388</v>
      </c>
      <c r="K34" s="15" t="s">
        <v>133</v>
      </c>
      <c r="L34" s="17" t="s">
        <v>9</v>
      </c>
      <c r="M34" s="15" t="s">
        <v>70</v>
      </c>
      <c r="N34" s="15" t="s">
        <v>81</v>
      </c>
      <c r="O34" s="15" t="s">
        <v>389</v>
      </c>
      <c r="P34" s="15" t="s">
        <v>135</v>
      </c>
      <c r="Q34" s="15" t="s">
        <v>136</v>
      </c>
      <c r="R34" s="15" t="s">
        <v>135</v>
      </c>
      <c r="S34" s="15" t="s">
        <v>326</v>
      </c>
      <c r="T34" s="15" t="s">
        <v>390</v>
      </c>
      <c r="U34" s="3" t="s">
        <v>391</v>
      </c>
      <c r="V34" s="3" t="s">
        <v>392</v>
      </c>
      <c r="W34" s="3"/>
      <c r="X34" s="3"/>
      <c r="Y34" s="15" t="n">
        <v>1</v>
      </c>
      <c r="Z34" s="15" t="n">
        <v>0</v>
      </c>
      <c r="AA34" s="15" t="n">
        <v>0</v>
      </c>
      <c r="AB34" s="15" t="n">
        <v>0</v>
      </c>
      <c r="AC34" s="15" t="n">
        <v>1</v>
      </c>
      <c r="AD34" s="15" t="n">
        <v>0</v>
      </c>
      <c r="AE34" s="15" t="n">
        <v>0</v>
      </c>
      <c r="AF34" s="15" t="n">
        <v>0</v>
      </c>
      <c r="AG34" s="15" t="n">
        <v>0</v>
      </c>
      <c r="AH34" s="15" t="n">
        <v>0</v>
      </c>
    </row>
    <row r="35" customFormat="false" ht="35.05" hidden="false" customHeight="false" outlineLevel="0" collapsed="false">
      <c r="A35" s="15" t="s">
        <v>393</v>
      </c>
      <c r="B35" s="15" t="s">
        <v>37</v>
      </c>
      <c r="C35" s="15" t="s">
        <v>394</v>
      </c>
      <c r="D35" s="15" t="n">
        <v>9</v>
      </c>
      <c r="E35" s="15" t="s">
        <v>395</v>
      </c>
      <c r="F35" s="15" t="n">
        <v>0</v>
      </c>
      <c r="G35" s="15" t="s">
        <v>129</v>
      </c>
      <c r="H35" s="15" t="s">
        <v>130</v>
      </c>
      <c r="I35" s="3" t="s">
        <v>396</v>
      </c>
      <c r="J35" s="3" t="s">
        <v>397</v>
      </c>
      <c r="K35" s="15" t="s">
        <v>133</v>
      </c>
      <c r="L35" s="17" t="s">
        <v>9</v>
      </c>
      <c r="M35" s="15" t="s">
        <v>70</v>
      </c>
      <c r="N35" s="15" t="s">
        <v>81</v>
      </c>
      <c r="O35" s="15" t="s">
        <v>81</v>
      </c>
      <c r="P35" s="15" t="s">
        <v>135</v>
      </c>
      <c r="Q35" s="15" t="s">
        <v>129</v>
      </c>
      <c r="R35" s="15" t="s">
        <v>135</v>
      </c>
      <c r="S35" s="15" t="s">
        <v>398</v>
      </c>
      <c r="T35" s="15" t="s">
        <v>327</v>
      </c>
      <c r="U35" s="3" t="s">
        <v>399</v>
      </c>
      <c r="V35" s="3" t="s">
        <v>400</v>
      </c>
      <c r="W35" s="3"/>
      <c r="X35" s="3"/>
      <c r="Y35" s="15" t="n">
        <v>1</v>
      </c>
      <c r="Z35" s="15" t="n">
        <v>0</v>
      </c>
      <c r="AA35" s="15" t="n">
        <v>0</v>
      </c>
      <c r="AB35" s="15" t="n">
        <v>0</v>
      </c>
      <c r="AC35" s="15" t="n">
        <v>0</v>
      </c>
      <c r="AD35" s="15" t="n">
        <v>0</v>
      </c>
      <c r="AE35" s="15" t="n">
        <v>0</v>
      </c>
      <c r="AF35" s="15" t="n">
        <v>0</v>
      </c>
      <c r="AG35" s="15" t="n">
        <v>0</v>
      </c>
      <c r="AH35" s="15" t="n">
        <v>0</v>
      </c>
    </row>
    <row r="36" customFormat="false" ht="46.25" hidden="false" customHeight="false" outlineLevel="0" collapsed="false">
      <c r="A36" s="15" t="s">
        <v>401</v>
      </c>
      <c r="B36" s="15" t="s">
        <v>37</v>
      </c>
      <c r="C36" s="15" t="s">
        <v>394</v>
      </c>
      <c r="D36" s="15" t="n">
        <v>9</v>
      </c>
      <c r="E36" s="15" t="s">
        <v>395</v>
      </c>
      <c r="F36" s="15" t="n">
        <v>1</v>
      </c>
      <c r="G36" s="15" t="s">
        <v>197</v>
      </c>
      <c r="H36" s="15" t="s">
        <v>142</v>
      </c>
      <c r="I36" s="3" t="s">
        <v>402</v>
      </c>
      <c r="J36" s="3" t="s">
        <v>403</v>
      </c>
      <c r="K36" s="15" t="s">
        <v>145</v>
      </c>
      <c r="L36" s="17" t="s">
        <v>9</v>
      </c>
      <c r="M36" s="15" t="s">
        <v>70</v>
      </c>
      <c r="N36" s="15" t="s">
        <v>81</v>
      </c>
      <c r="O36" s="15" t="s">
        <v>404</v>
      </c>
      <c r="P36" s="15" t="s">
        <v>135</v>
      </c>
      <c r="Q36" s="15" t="s">
        <v>129</v>
      </c>
      <c r="R36" s="15" t="s">
        <v>135</v>
      </c>
      <c r="S36" s="15" t="s">
        <v>405</v>
      </c>
      <c r="T36" s="15" t="s">
        <v>327</v>
      </c>
      <c r="U36" s="3" t="s">
        <v>406</v>
      </c>
      <c r="V36" s="3" t="s">
        <v>407</v>
      </c>
      <c r="W36" s="3"/>
      <c r="X36" s="3"/>
      <c r="Y36" s="15" t="n">
        <v>1</v>
      </c>
      <c r="Z36" s="15" t="n">
        <v>0</v>
      </c>
      <c r="AA36" s="15" t="n">
        <v>0</v>
      </c>
      <c r="AB36" s="15" t="n">
        <v>0</v>
      </c>
      <c r="AC36" s="15" t="n">
        <v>0</v>
      </c>
      <c r="AD36" s="15" t="n">
        <v>0</v>
      </c>
      <c r="AE36" s="15" t="n">
        <v>0</v>
      </c>
      <c r="AF36" s="15" t="n">
        <v>1</v>
      </c>
      <c r="AG36" s="15" t="n">
        <v>0</v>
      </c>
      <c r="AH36" s="15" t="n">
        <v>0</v>
      </c>
    </row>
    <row r="37" customFormat="false" ht="23.85" hidden="false" customHeight="false" outlineLevel="0" collapsed="false">
      <c r="A37" s="15" t="s">
        <v>408</v>
      </c>
      <c r="B37" s="15" t="s">
        <v>37</v>
      </c>
      <c r="C37" s="15" t="s">
        <v>394</v>
      </c>
      <c r="D37" s="15" t="n">
        <v>9</v>
      </c>
      <c r="E37" s="15" t="s">
        <v>395</v>
      </c>
      <c r="F37" s="15" t="n">
        <v>2</v>
      </c>
      <c r="G37" s="15" t="s">
        <v>141</v>
      </c>
      <c r="H37" s="15" t="s">
        <v>142</v>
      </c>
      <c r="I37" s="3" t="s">
        <v>409</v>
      </c>
      <c r="J37" s="3" t="s">
        <v>410</v>
      </c>
      <c r="K37" s="15" t="s">
        <v>133</v>
      </c>
      <c r="L37" s="17" t="s">
        <v>9</v>
      </c>
      <c r="M37" s="15" t="s">
        <v>70</v>
      </c>
      <c r="N37" s="15" t="s">
        <v>81</v>
      </c>
      <c r="O37" s="15" t="s">
        <v>411</v>
      </c>
      <c r="P37" s="15" t="s">
        <v>135</v>
      </c>
      <c r="Q37" s="15" t="s">
        <v>129</v>
      </c>
      <c r="R37" s="15" t="s">
        <v>135</v>
      </c>
      <c r="S37" s="15" t="s">
        <v>341</v>
      </c>
      <c r="T37" s="15" t="s">
        <v>342</v>
      </c>
      <c r="U37" s="3" t="s">
        <v>412</v>
      </c>
      <c r="V37" s="3" t="s">
        <v>413</v>
      </c>
      <c r="W37" s="3"/>
      <c r="X37" s="3"/>
      <c r="Y37" s="15" t="n">
        <v>1</v>
      </c>
      <c r="Z37" s="15" t="n">
        <v>0</v>
      </c>
      <c r="AA37" s="15" t="n">
        <v>0</v>
      </c>
      <c r="AB37" s="15" t="n">
        <v>0</v>
      </c>
      <c r="AC37" s="15" t="n">
        <v>0</v>
      </c>
      <c r="AD37" s="15" t="n">
        <v>0</v>
      </c>
      <c r="AE37" s="15" t="n">
        <v>0</v>
      </c>
      <c r="AF37" s="15" t="n">
        <v>1</v>
      </c>
      <c r="AG37" s="15" t="n">
        <v>0</v>
      </c>
      <c r="AH37" s="15" t="n">
        <v>1</v>
      </c>
    </row>
    <row r="38" customFormat="false" ht="35.05" hidden="false" customHeight="false" outlineLevel="0" collapsed="false">
      <c r="A38" s="15" t="s">
        <v>414</v>
      </c>
      <c r="B38" s="15" t="s">
        <v>37</v>
      </c>
      <c r="C38" s="15" t="s">
        <v>394</v>
      </c>
      <c r="D38" s="15" t="n">
        <v>21</v>
      </c>
      <c r="E38" s="15" t="s">
        <v>415</v>
      </c>
      <c r="F38" s="15" t="n">
        <v>0</v>
      </c>
      <c r="G38" s="15" t="s">
        <v>197</v>
      </c>
      <c r="H38" s="15" t="s">
        <v>142</v>
      </c>
      <c r="I38" s="3" t="s">
        <v>416</v>
      </c>
      <c r="J38" s="3" t="s">
        <v>417</v>
      </c>
      <c r="K38" s="15" t="s">
        <v>133</v>
      </c>
      <c r="L38" s="16" t="s">
        <v>7</v>
      </c>
      <c r="M38" s="15" t="s">
        <v>66</v>
      </c>
      <c r="N38" s="15" t="s">
        <v>89</v>
      </c>
      <c r="O38" s="15" t="s">
        <v>418</v>
      </c>
      <c r="P38" s="15" t="s">
        <v>185</v>
      </c>
      <c r="Q38" s="15" t="s">
        <v>197</v>
      </c>
      <c r="R38" s="15" t="s">
        <v>185</v>
      </c>
      <c r="S38" s="15"/>
      <c r="T38" s="15"/>
      <c r="U38" s="3" t="s">
        <v>419</v>
      </c>
      <c r="V38" s="3" t="s">
        <v>420</v>
      </c>
      <c r="W38" s="3" t="s">
        <v>421</v>
      </c>
      <c r="X38" s="3" t="s">
        <v>422</v>
      </c>
      <c r="Y38" s="15" t="n">
        <v>0</v>
      </c>
      <c r="Z38" s="15" t="n">
        <v>0</v>
      </c>
      <c r="AA38" s="15" t="n">
        <v>0</v>
      </c>
      <c r="AB38" s="15" t="n">
        <v>0</v>
      </c>
      <c r="AC38" s="15" t="n">
        <v>0</v>
      </c>
      <c r="AD38" s="15" t="n">
        <v>0</v>
      </c>
      <c r="AE38" s="15" t="n">
        <v>0</v>
      </c>
      <c r="AF38" s="15" t="n">
        <v>0</v>
      </c>
      <c r="AG38" s="15" t="n">
        <v>1</v>
      </c>
      <c r="AH38" s="15" t="n">
        <v>1</v>
      </c>
    </row>
    <row r="39" customFormat="false" ht="35.05" hidden="false" customHeight="false" outlineLevel="0" collapsed="false">
      <c r="A39" s="15" t="s">
        <v>423</v>
      </c>
      <c r="B39" s="15" t="s">
        <v>37</v>
      </c>
      <c r="C39" s="15" t="s">
        <v>394</v>
      </c>
      <c r="D39" s="15" t="n">
        <v>21</v>
      </c>
      <c r="E39" s="15" t="s">
        <v>415</v>
      </c>
      <c r="F39" s="15" t="n">
        <v>1</v>
      </c>
      <c r="G39" s="15" t="s">
        <v>152</v>
      </c>
      <c r="H39" s="15" t="s">
        <v>142</v>
      </c>
      <c r="I39" s="3" t="s">
        <v>424</v>
      </c>
      <c r="J39" s="3" t="s">
        <v>425</v>
      </c>
      <c r="K39" s="15" t="s">
        <v>145</v>
      </c>
      <c r="L39" s="18" t="s">
        <v>5</v>
      </c>
      <c r="M39" s="15" t="s">
        <v>426</v>
      </c>
      <c r="N39" s="15" t="s">
        <v>426</v>
      </c>
      <c r="O39" s="15"/>
      <c r="P39" s="15" t="s">
        <v>185</v>
      </c>
      <c r="Q39" s="15" t="s">
        <v>152</v>
      </c>
      <c r="R39" s="15" t="s">
        <v>185</v>
      </c>
      <c r="S39" s="15"/>
      <c r="T39" s="15"/>
      <c r="U39" s="3" t="s">
        <v>427</v>
      </c>
      <c r="V39" s="3" t="s">
        <v>428</v>
      </c>
      <c r="W39" s="3"/>
      <c r="X39" s="3"/>
      <c r="Y39" s="15" t="n">
        <v>0</v>
      </c>
      <c r="Z39" s="15" t="n">
        <v>0</v>
      </c>
      <c r="AA39" s="15" t="n">
        <v>0</v>
      </c>
      <c r="AB39" s="15" t="n">
        <v>0</v>
      </c>
      <c r="AC39" s="15" t="n">
        <v>0</v>
      </c>
      <c r="AD39" s="15" t="n">
        <v>0</v>
      </c>
      <c r="AE39" s="15" t="n">
        <v>0</v>
      </c>
      <c r="AF39" s="15" t="n">
        <v>0</v>
      </c>
      <c r="AG39" s="15" t="n">
        <v>0</v>
      </c>
      <c r="AH39" s="15" t="n">
        <v>0</v>
      </c>
    </row>
    <row r="40" customFormat="false" ht="46.25" hidden="false" customHeight="false" outlineLevel="0" collapsed="false">
      <c r="A40" s="15" t="s">
        <v>429</v>
      </c>
      <c r="B40" s="15" t="s">
        <v>37</v>
      </c>
      <c r="C40" s="15" t="s">
        <v>394</v>
      </c>
      <c r="D40" s="15" t="n">
        <v>21</v>
      </c>
      <c r="E40" s="15" t="s">
        <v>415</v>
      </c>
      <c r="F40" s="15" t="n">
        <v>2</v>
      </c>
      <c r="G40" s="15" t="s">
        <v>141</v>
      </c>
      <c r="H40" s="15" t="s">
        <v>142</v>
      </c>
      <c r="I40" s="3" t="s">
        <v>430</v>
      </c>
      <c r="J40" s="3" t="s">
        <v>431</v>
      </c>
      <c r="K40" s="15" t="s">
        <v>133</v>
      </c>
      <c r="L40" s="16" t="s">
        <v>7</v>
      </c>
      <c r="M40" s="15" t="s">
        <v>68</v>
      </c>
      <c r="N40" s="15" t="s">
        <v>82</v>
      </c>
      <c r="O40" s="15" t="s">
        <v>134</v>
      </c>
      <c r="P40" s="15" t="s">
        <v>135</v>
      </c>
      <c r="Q40" s="15" t="s">
        <v>152</v>
      </c>
      <c r="R40" s="15" t="s">
        <v>135</v>
      </c>
      <c r="S40" s="15"/>
      <c r="T40" s="15"/>
      <c r="U40" s="3" t="s">
        <v>432</v>
      </c>
      <c r="V40" s="3" t="s">
        <v>433</v>
      </c>
      <c r="W40" s="3"/>
      <c r="X40" s="3" t="s">
        <v>434</v>
      </c>
      <c r="Y40" s="15" t="n">
        <v>0</v>
      </c>
      <c r="Z40" s="15" t="n">
        <v>1</v>
      </c>
      <c r="AA40" s="15" t="n">
        <v>0</v>
      </c>
      <c r="AB40" s="15" t="n">
        <v>0</v>
      </c>
      <c r="AC40" s="15" t="n">
        <v>0</v>
      </c>
      <c r="AD40" s="15" t="n">
        <v>1</v>
      </c>
      <c r="AE40" s="15" t="n">
        <v>0</v>
      </c>
      <c r="AF40" s="15" t="n">
        <v>1</v>
      </c>
      <c r="AG40" s="15" t="n">
        <v>0</v>
      </c>
      <c r="AH40" s="15" t="n">
        <v>0</v>
      </c>
    </row>
    <row r="41" customFormat="false" ht="35.05" hidden="false" customHeight="false" outlineLevel="0" collapsed="false">
      <c r="A41" s="15" t="s">
        <v>435</v>
      </c>
      <c r="B41" s="15" t="s">
        <v>37</v>
      </c>
      <c r="C41" s="15" t="s">
        <v>394</v>
      </c>
      <c r="D41" s="15" t="n">
        <v>23</v>
      </c>
      <c r="E41" s="15" t="s">
        <v>436</v>
      </c>
      <c r="F41" s="15" t="n">
        <v>0</v>
      </c>
      <c r="G41" s="15" t="s">
        <v>129</v>
      </c>
      <c r="H41" s="15" t="s">
        <v>130</v>
      </c>
      <c r="I41" s="3" t="s">
        <v>437</v>
      </c>
      <c r="J41" s="3" t="s">
        <v>438</v>
      </c>
      <c r="K41" s="15" t="s">
        <v>133</v>
      </c>
      <c r="L41" s="16" t="s">
        <v>7</v>
      </c>
      <c r="M41" s="15" t="s">
        <v>66</v>
      </c>
      <c r="N41" s="15" t="s">
        <v>89</v>
      </c>
      <c r="O41" s="15" t="s">
        <v>89</v>
      </c>
      <c r="P41" s="15" t="s">
        <v>185</v>
      </c>
      <c r="Q41" s="15" t="s">
        <v>129</v>
      </c>
      <c r="R41" s="15" t="s">
        <v>185</v>
      </c>
      <c r="S41" s="15"/>
      <c r="T41" s="15"/>
      <c r="U41" s="3" t="s">
        <v>439</v>
      </c>
      <c r="V41" s="3" t="s">
        <v>440</v>
      </c>
      <c r="W41" s="3" t="s">
        <v>441</v>
      </c>
      <c r="X41" s="3" t="s">
        <v>442</v>
      </c>
      <c r="Y41" s="15" t="n">
        <v>0</v>
      </c>
      <c r="Z41" s="15" t="n">
        <v>0</v>
      </c>
      <c r="AA41" s="15" t="n">
        <v>0</v>
      </c>
      <c r="AB41" s="15" t="n">
        <v>0</v>
      </c>
      <c r="AC41" s="15" t="n">
        <v>0</v>
      </c>
      <c r="AD41" s="15" t="n">
        <v>0</v>
      </c>
      <c r="AE41" s="15" t="n">
        <v>0</v>
      </c>
      <c r="AF41" s="15" t="n">
        <v>0</v>
      </c>
      <c r="AG41" s="15" t="n">
        <v>1</v>
      </c>
      <c r="AH41" s="15" t="n">
        <v>0</v>
      </c>
    </row>
    <row r="42" customFormat="false" ht="35.05" hidden="false" customHeight="false" outlineLevel="0" collapsed="false">
      <c r="A42" s="15" t="s">
        <v>443</v>
      </c>
      <c r="B42" s="15" t="s">
        <v>37</v>
      </c>
      <c r="C42" s="15" t="s">
        <v>394</v>
      </c>
      <c r="D42" s="15" t="n">
        <v>23</v>
      </c>
      <c r="E42" s="15" t="s">
        <v>436</v>
      </c>
      <c r="F42" s="15" t="n">
        <v>1</v>
      </c>
      <c r="G42" s="15" t="s">
        <v>141</v>
      </c>
      <c r="H42" s="15" t="s">
        <v>142</v>
      </c>
      <c r="I42" s="3" t="s">
        <v>444</v>
      </c>
      <c r="J42" s="3" t="s">
        <v>445</v>
      </c>
      <c r="K42" s="15" t="s">
        <v>145</v>
      </c>
      <c r="L42" s="16" t="s">
        <v>7</v>
      </c>
      <c r="M42" s="15" t="s">
        <v>66</v>
      </c>
      <c r="N42" s="15" t="s">
        <v>88</v>
      </c>
      <c r="O42" s="15" t="s">
        <v>231</v>
      </c>
      <c r="P42" s="15" t="s">
        <v>135</v>
      </c>
      <c r="Q42" s="15" t="s">
        <v>197</v>
      </c>
      <c r="R42" s="15" t="s">
        <v>185</v>
      </c>
      <c r="S42" s="15"/>
      <c r="T42" s="15"/>
      <c r="U42" s="3" t="s">
        <v>446</v>
      </c>
      <c r="V42" s="3" t="s">
        <v>447</v>
      </c>
      <c r="W42" s="3" t="s">
        <v>448</v>
      </c>
      <c r="X42" s="3" t="s">
        <v>449</v>
      </c>
      <c r="Y42" s="15" t="n">
        <v>0</v>
      </c>
      <c r="Z42" s="15" t="n">
        <v>0</v>
      </c>
      <c r="AA42" s="15" t="n">
        <v>0</v>
      </c>
      <c r="AB42" s="15" t="n">
        <v>0</v>
      </c>
      <c r="AC42" s="15" t="n">
        <v>0</v>
      </c>
      <c r="AD42" s="15" t="n">
        <v>0</v>
      </c>
      <c r="AE42" s="15" t="n">
        <v>0</v>
      </c>
      <c r="AF42" s="15" t="n">
        <v>1</v>
      </c>
      <c r="AG42" s="15" t="n">
        <v>0</v>
      </c>
      <c r="AH42" s="15" t="n">
        <v>1</v>
      </c>
    </row>
    <row r="43" customFormat="false" ht="35.05" hidden="false" customHeight="false" outlineLevel="0" collapsed="false">
      <c r="A43" s="15" t="s">
        <v>450</v>
      </c>
      <c r="B43" s="15" t="s">
        <v>37</v>
      </c>
      <c r="C43" s="15" t="s">
        <v>394</v>
      </c>
      <c r="D43" s="15" t="n">
        <v>23</v>
      </c>
      <c r="E43" s="15" t="s">
        <v>436</v>
      </c>
      <c r="F43" s="15" t="n">
        <v>2</v>
      </c>
      <c r="G43" s="15" t="s">
        <v>197</v>
      </c>
      <c r="H43" s="15" t="s">
        <v>142</v>
      </c>
      <c r="I43" s="3" t="s">
        <v>451</v>
      </c>
      <c r="J43" s="3" t="s">
        <v>452</v>
      </c>
      <c r="K43" s="15" t="s">
        <v>133</v>
      </c>
      <c r="L43" s="16" t="s">
        <v>7</v>
      </c>
      <c r="M43" s="15" t="s">
        <v>66</v>
      </c>
      <c r="N43" s="15" t="s">
        <v>89</v>
      </c>
      <c r="O43" s="15" t="s">
        <v>89</v>
      </c>
      <c r="P43" s="15" t="s">
        <v>185</v>
      </c>
      <c r="Q43" s="15" t="s">
        <v>197</v>
      </c>
      <c r="R43" s="15" t="s">
        <v>185</v>
      </c>
      <c r="S43" s="15"/>
      <c r="T43" s="15"/>
      <c r="U43" s="3" t="s">
        <v>453</v>
      </c>
      <c r="V43" s="3" t="s">
        <v>454</v>
      </c>
      <c r="W43" s="3" t="s">
        <v>455</v>
      </c>
      <c r="X43" s="3" t="s">
        <v>456</v>
      </c>
      <c r="Y43" s="15" t="n">
        <v>0</v>
      </c>
      <c r="Z43" s="15" t="n">
        <v>0</v>
      </c>
      <c r="AA43" s="15" t="n">
        <v>0</v>
      </c>
      <c r="AB43" s="15" t="n">
        <v>0</v>
      </c>
      <c r="AC43" s="15" t="n">
        <v>0</v>
      </c>
      <c r="AD43" s="15" t="n">
        <v>0</v>
      </c>
      <c r="AE43" s="15" t="n">
        <v>0</v>
      </c>
      <c r="AF43" s="15" t="n">
        <v>0</v>
      </c>
      <c r="AG43" s="15" t="n">
        <v>1</v>
      </c>
      <c r="AH43" s="15" t="n">
        <v>0</v>
      </c>
    </row>
    <row r="44" customFormat="false" ht="46.25" hidden="false" customHeight="false" outlineLevel="0" collapsed="false">
      <c r="A44" s="15" t="s">
        <v>457</v>
      </c>
      <c r="B44" s="15" t="s">
        <v>37</v>
      </c>
      <c r="C44" s="15" t="s">
        <v>394</v>
      </c>
      <c r="D44" s="15" t="n">
        <v>24</v>
      </c>
      <c r="E44" s="15" t="s">
        <v>458</v>
      </c>
      <c r="F44" s="15" t="n">
        <v>0</v>
      </c>
      <c r="G44" s="15" t="s">
        <v>141</v>
      </c>
      <c r="H44" s="15" t="s">
        <v>142</v>
      </c>
      <c r="I44" s="3" t="s">
        <v>459</v>
      </c>
      <c r="J44" s="3" t="s">
        <v>460</v>
      </c>
      <c r="K44" s="15" t="s">
        <v>133</v>
      </c>
      <c r="L44" s="16" t="s">
        <v>7</v>
      </c>
      <c r="M44" s="15" t="s">
        <v>66</v>
      </c>
      <c r="N44" s="15" t="s">
        <v>88</v>
      </c>
      <c r="O44" s="15" t="s">
        <v>231</v>
      </c>
      <c r="P44" s="15" t="s">
        <v>135</v>
      </c>
      <c r="Q44" s="15" t="s">
        <v>197</v>
      </c>
      <c r="R44" s="15" t="s">
        <v>185</v>
      </c>
      <c r="S44" s="15"/>
      <c r="T44" s="15"/>
      <c r="U44" s="3" t="s">
        <v>461</v>
      </c>
      <c r="V44" s="3" t="s">
        <v>462</v>
      </c>
      <c r="W44" s="3" t="s">
        <v>463</v>
      </c>
      <c r="X44" s="3" t="s">
        <v>464</v>
      </c>
      <c r="Y44" s="15" t="n">
        <v>0</v>
      </c>
      <c r="Z44" s="15" t="n">
        <v>0</v>
      </c>
      <c r="AA44" s="15" t="n">
        <v>0</v>
      </c>
      <c r="AB44" s="15" t="n">
        <v>0</v>
      </c>
      <c r="AC44" s="15" t="n">
        <v>0</v>
      </c>
      <c r="AD44" s="15" t="n">
        <v>0</v>
      </c>
      <c r="AE44" s="15" t="n">
        <v>0</v>
      </c>
      <c r="AF44" s="15" t="n">
        <v>1</v>
      </c>
      <c r="AG44" s="15" t="n">
        <v>0</v>
      </c>
      <c r="AH44" s="15" t="n">
        <v>1</v>
      </c>
    </row>
    <row r="45" customFormat="false" ht="46.25" hidden="false" customHeight="false" outlineLevel="0" collapsed="false">
      <c r="A45" s="15" t="s">
        <v>465</v>
      </c>
      <c r="B45" s="15" t="s">
        <v>37</v>
      </c>
      <c r="C45" s="15" t="s">
        <v>394</v>
      </c>
      <c r="D45" s="15" t="n">
        <v>24</v>
      </c>
      <c r="E45" s="15" t="s">
        <v>458</v>
      </c>
      <c r="F45" s="15" t="n">
        <v>1</v>
      </c>
      <c r="G45" s="15" t="s">
        <v>129</v>
      </c>
      <c r="H45" s="15" t="s">
        <v>130</v>
      </c>
      <c r="I45" s="3" t="s">
        <v>466</v>
      </c>
      <c r="J45" s="3" t="s">
        <v>467</v>
      </c>
      <c r="K45" s="15" t="s">
        <v>145</v>
      </c>
      <c r="L45" s="16" t="s">
        <v>7</v>
      </c>
      <c r="M45" s="15" t="s">
        <v>68</v>
      </c>
      <c r="N45" s="15" t="s">
        <v>82</v>
      </c>
      <c r="O45" s="15" t="s">
        <v>215</v>
      </c>
      <c r="P45" s="15" t="s">
        <v>135</v>
      </c>
      <c r="Q45" s="15" t="s">
        <v>307</v>
      </c>
      <c r="R45" s="15" t="s">
        <v>135</v>
      </c>
      <c r="S45" s="15"/>
      <c r="T45" s="15"/>
      <c r="U45" s="3" t="s">
        <v>468</v>
      </c>
      <c r="V45" s="3" t="s">
        <v>469</v>
      </c>
      <c r="W45" s="3" t="s">
        <v>470</v>
      </c>
      <c r="X45" s="3" t="s">
        <v>471</v>
      </c>
      <c r="Y45" s="15" t="n">
        <v>0</v>
      </c>
      <c r="Z45" s="15" t="n">
        <v>1</v>
      </c>
      <c r="AA45" s="15" t="n">
        <v>0</v>
      </c>
      <c r="AB45" s="15" t="n">
        <v>0</v>
      </c>
      <c r="AC45" s="15" t="n">
        <v>0</v>
      </c>
      <c r="AD45" s="15" t="n">
        <v>0</v>
      </c>
      <c r="AE45" s="15" t="n">
        <v>0</v>
      </c>
      <c r="AF45" s="15" t="n">
        <v>1</v>
      </c>
      <c r="AG45" s="15" t="n">
        <v>0</v>
      </c>
      <c r="AH45" s="15" t="n">
        <v>0</v>
      </c>
    </row>
    <row r="46" customFormat="false" ht="46.25" hidden="false" customHeight="false" outlineLevel="0" collapsed="false">
      <c r="A46" s="15" t="s">
        <v>472</v>
      </c>
      <c r="B46" s="15" t="s">
        <v>37</v>
      </c>
      <c r="C46" s="15" t="s">
        <v>394</v>
      </c>
      <c r="D46" s="15" t="n">
        <v>24</v>
      </c>
      <c r="E46" s="15" t="s">
        <v>458</v>
      </c>
      <c r="F46" s="15" t="n">
        <v>2</v>
      </c>
      <c r="G46" s="15" t="s">
        <v>197</v>
      </c>
      <c r="H46" s="15" t="s">
        <v>142</v>
      </c>
      <c r="I46" s="3" t="s">
        <v>473</v>
      </c>
      <c r="J46" s="3" t="s">
        <v>474</v>
      </c>
      <c r="K46" s="15" t="s">
        <v>133</v>
      </c>
      <c r="L46" s="16" t="s">
        <v>7</v>
      </c>
      <c r="M46" s="15" t="s">
        <v>68</v>
      </c>
      <c r="N46" s="15" t="s">
        <v>82</v>
      </c>
      <c r="O46" s="15" t="s">
        <v>222</v>
      </c>
      <c r="P46" s="15" t="s">
        <v>135</v>
      </c>
      <c r="Q46" s="15" t="s">
        <v>136</v>
      </c>
      <c r="R46" s="15" t="s">
        <v>135</v>
      </c>
      <c r="S46" s="15"/>
      <c r="T46" s="15"/>
      <c r="U46" s="3" t="s">
        <v>475</v>
      </c>
      <c r="V46" s="3" t="s">
        <v>476</v>
      </c>
      <c r="W46" s="3" t="s">
        <v>477</v>
      </c>
      <c r="X46" s="3" t="s">
        <v>478</v>
      </c>
      <c r="Y46" s="15" t="n">
        <v>0</v>
      </c>
      <c r="Z46" s="15" t="n">
        <v>1</v>
      </c>
      <c r="AA46" s="15" t="n">
        <v>0</v>
      </c>
      <c r="AB46" s="15" t="n">
        <v>0</v>
      </c>
      <c r="AC46" s="15" t="n">
        <v>0</v>
      </c>
      <c r="AD46" s="15" t="n">
        <v>0</v>
      </c>
      <c r="AE46" s="15" t="n">
        <v>0</v>
      </c>
      <c r="AF46" s="15" t="n">
        <v>1</v>
      </c>
      <c r="AG46" s="15" t="n">
        <v>0</v>
      </c>
      <c r="AH46" s="15" t="n">
        <v>1</v>
      </c>
    </row>
    <row r="47" customFormat="false" ht="57.45" hidden="false" customHeight="false" outlineLevel="0" collapsed="false">
      <c r="A47" s="15" t="s">
        <v>479</v>
      </c>
      <c r="B47" s="15" t="s">
        <v>37</v>
      </c>
      <c r="C47" s="15" t="s">
        <v>394</v>
      </c>
      <c r="D47" s="15" t="n">
        <v>25</v>
      </c>
      <c r="E47" s="15" t="s">
        <v>480</v>
      </c>
      <c r="F47" s="15" t="n">
        <v>0</v>
      </c>
      <c r="G47" s="15" t="s">
        <v>152</v>
      </c>
      <c r="H47" s="15" t="s">
        <v>142</v>
      </c>
      <c r="I47" s="3" t="s">
        <v>481</v>
      </c>
      <c r="J47" s="3" t="s">
        <v>482</v>
      </c>
      <c r="K47" s="15" t="s">
        <v>133</v>
      </c>
      <c r="L47" s="16" t="s">
        <v>7</v>
      </c>
      <c r="M47" s="15" t="s">
        <v>68</v>
      </c>
      <c r="N47" s="15" t="s">
        <v>85</v>
      </c>
      <c r="O47" s="15" t="s">
        <v>483</v>
      </c>
      <c r="P47" s="15" t="s">
        <v>135</v>
      </c>
      <c r="Q47" s="15" t="s">
        <v>129</v>
      </c>
      <c r="R47" s="15" t="s">
        <v>135</v>
      </c>
      <c r="S47" s="15"/>
      <c r="T47" s="15"/>
      <c r="U47" s="3" t="s">
        <v>484</v>
      </c>
      <c r="V47" s="3" t="s">
        <v>485</v>
      </c>
      <c r="W47" s="3" t="s">
        <v>486</v>
      </c>
      <c r="X47" s="3" t="s">
        <v>487</v>
      </c>
      <c r="Y47" s="15" t="n">
        <v>0</v>
      </c>
      <c r="Z47" s="15" t="n">
        <v>0</v>
      </c>
      <c r="AA47" s="15" t="n">
        <v>0</v>
      </c>
      <c r="AB47" s="15" t="n">
        <v>0</v>
      </c>
      <c r="AC47" s="15" t="n">
        <v>1</v>
      </c>
      <c r="AD47" s="15" t="n">
        <v>0</v>
      </c>
      <c r="AE47" s="15" t="n">
        <v>0</v>
      </c>
      <c r="AF47" s="15" t="n">
        <v>1</v>
      </c>
      <c r="AG47" s="15" t="n">
        <v>0</v>
      </c>
      <c r="AH47" s="15" t="n">
        <v>1</v>
      </c>
    </row>
    <row r="48" customFormat="false" ht="46.25" hidden="false" customHeight="false" outlineLevel="0" collapsed="false">
      <c r="A48" s="15" t="s">
        <v>488</v>
      </c>
      <c r="B48" s="15" t="s">
        <v>37</v>
      </c>
      <c r="C48" s="15" t="s">
        <v>394</v>
      </c>
      <c r="D48" s="15" t="n">
        <v>25</v>
      </c>
      <c r="E48" s="15" t="s">
        <v>480</v>
      </c>
      <c r="F48" s="15" t="n">
        <v>1</v>
      </c>
      <c r="G48" s="15" t="s">
        <v>141</v>
      </c>
      <c r="H48" s="15" t="s">
        <v>142</v>
      </c>
      <c r="I48" s="3" t="s">
        <v>489</v>
      </c>
      <c r="J48" s="3" t="s">
        <v>490</v>
      </c>
      <c r="K48" s="15" t="s">
        <v>145</v>
      </c>
      <c r="L48" s="16" t="s">
        <v>7</v>
      </c>
      <c r="M48" s="15" t="s">
        <v>68</v>
      </c>
      <c r="N48" s="15" t="s">
        <v>82</v>
      </c>
      <c r="O48" s="15" t="s">
        <v>239</v>
      </c>
      <c r="P48" s="15" t="s">
        <v>135</v>
      </c>
      <c r="Q48" s="15" t="s">
        <v>197</v>
      </c>
      <c r="R48" s="15" t="s">
        <v>135</v>
      </c>
      <c r="S48" s="15"/>
      <c r="T48" s="15"/>
      <c r="U48" s="3" t="s">
        <v>491</v>
      </c>
      <c r="V48" s="3" t="s">
        <v>492</v>
      </c>
      <c r="W48" s="3" t="s">
        <v>493</v>
      </c>
      <c r="X48" s="3" t="s">
        <v>494</v>
      </c>
      <c r="Y48" s="15" t="n">
        <v>0</v>
      </c>
      <c r="Z48" s="15" t="n">
        <v>1</v>
      </c>
      <c r="AA48" s="15" t="n">
        <v>0</v>
      </c>
      <c r="AB48" s="15" t="n">
        <v>0</v>
      </c>
      <c r="AC48" s="15" t="n">
        <v>0</v>
      </c>
      <c r="AD48" s="15" t="n">
        <v>0</v>
      </c>
      <c r="AE48" s="15" t="n">
        <v>0</v>
      </c>
      <c r="AF48" s="15" t="n">
        <v>1</v>
      </c>
      <c r="AG48" s="15" t="n">
        <v>0</v>
      </c>
      <c r="AH48" s="15" t="n">
        <v>1</v>
      </c>
    </row>
    <row r="49" customFormat="false" ht="35.05" hidden="false" customHeight="false" outlineLevel="0" collapsed="false">
      <c r="A49" s="15" t="s">
        <v>495</v>
      </c>
      <c r="B49" s="15" t="s">
        <v>37</v>
      </c>
      <c r="C49" s="15" t="s">
        <v>394</v>
      </c>
      <c r="D49" s="15" t="n">
        <v>25</v>
      </c>
      <c r="E49" s="15" t="s">
        <v>480</v>
      </c>
      <c r="F49" s="15" t="n">
        <v>2</v>
      </c>
      <c r="G49" s="15" t="s">
        <v>129</v>
      </c>
      <c r="H49" s="15" t="s">
        <v>130</v>
      </c>
      <c r="I49" s="3" t="s">
        <v>496</v>
      </c>
      <c r="J49" s="3" t="s">
        <v>497</v>
      </c>
      <c r="K49" s="15" t="s">
        <v>133</v>
      </c>
      <c r="L49" s="16" t="s">
        <v>7</v>
      </c>
      <c r="M49" s="15" t="s">
        <v>68</v>
      </c>
      <c r="N49" s="15" t="s">
        <v>82</v>
      </c>
      <c r="O49" s="15" t="s">
        <v>134</v>
      </c>
      <c r="P49" s="15" t="s">
        <v>135</v>
      </c>
      <c r="Q49" s="15" t="s">
        <v>197</v>
      </c>
      <c r="R49" s="15" t="s">
        <v>135</v>
      </c>
      <c r="S49" s="15"/>
      <c r="T49" s="15"/>
      <c r="U49" s="3" t="s">
        <v>498</v>
      </c>
      <c r="V49" s="3" t="s">
        <v>499</v>
      </c>
      <c r="W49" s="3" t="s">
        <v>500</v>
      </c>
      <c r="X49" s="3" t="s">
        <v>501</v>
      </c>
      <c r="Y49" s="15" t="n">
        <v>0</v>
      </c>
      <c r="Z49" s="15" t="n">
        <v>1</v>
      </c>
      <c r="AA49" s="15" t="n">
        <v>0</v>
      </c>
      <c r="AB49" s="15" t="n">
        <v>0</v>
      </c>
      <c r="AC49" s="15" t="n">
        <v>0</v>
      </c>
      <c r="AD49" s="15" t="n">
        <v>1</v>
      </c>
      <c r="AE49" s="15" t="n">
        <v>0</v>
      </c>
      <c r="AF49" s="15" t="n">
        <v>1</v>
      </c>
      <c r="AG49" s="15" t="n">
        <v>0</v>
      </c>
      <c r="AH49" s="15" t="n">
        <v>0</v>
      </c>
    </row>
    <row r="50" customFormat="false" ht="35.05" hidden="false" customHeight="false" outlineLevel="0" collapsed="false">
      <c r="A50" s="15" t="s">
        <v>502</v>
      </c>
      <c r="B50" s="15" t="s">
        <v>37</v>
      </c>
      <c r="C50" s="15" t="s">
        <v>394</v>
      </c>
      <c r="D50" s="15" t="n">
        <v>34</v>
      </c>
      <c r="E50" s="15" t="s">
        <v>503</v>
      </c>
      <c r="F50" s="15" t="n">
        <v>0</v>
      </c>
      <c r="G50" s="15" t="s">
        <v>197</v>
      </c>
      <c r="H50" s="15" t="s">
        <v>142</v>
      </c>
      <c r="I50" s="3" t="s">
        <v>504</v>
      </c>
      <c r="J50" s="3" t="s">
        <v>505</v>
      </c>
      <c r="K50" s="15" t="s">
        <v>133</v>
      </c>
      <c r="L50" s="16" t="s">
        <v>7</v>
      </c>
      <c r="M50" s="15" t="s">
        <v>66</v>
      </c>
      <c r="N50" s="15" t="s">
        <v>90</v>
      </c>
      <c r="O50" s="15" t="s">
        <v>293</v>
      </c>
      <c r="P50" s="15" t="s">
        <v>185</v>
      </c>
      <c r="Q50" s="15" t="s">
        <v>197</v>
      </c>
      <c r="R50" s="15" t="s">
        <v>135</v>
      </c>
      <c r="S50" s="15"/>
      <c r="T50" s="15"/>
      <c r="U50" s="3" t="s">
        <v>506</v>
      </c>
      <c r="V50" s="3" t="s">
        <v>507</v>
      </c>
      <c r="W50" s="3" t="s">
        <v>508</v>
      </c>
      <c r="X50" s="3" t="s">
        <v>509</v>
      </c>
      <c r="Y50" s="15" t="n">
        <v>0</v>
      </c>
      <c r="Z50" s="15" t="n">
        <v>0</v>
      </c>
      <c r="AA50" s="15" t="n">
        <v>0</v>
      </c>
      <c r="AB50" s="15" t="n">
        <v>0</v>
      </c>
      <c r="AC50" s="15" t="n">
        <v>0</v>
      </c>
      <c r="AD50" s="15" t="n">
        <v>0</v>
      </c>
      <c r="AE50" s="15" t="n">
        <v>1</v>
      </c>
      <c r="AF50" s="15" t="n">
        <v>0</v>
      </c>
      <c r="AG50" s="15" t="n">
        <v>0</v>
      </c>
      <c r="AH50" s="15" t="n">
        <v>1</v>
      </c>
    </row>
    <row r="51" customFormat="false" ht="35.05" hidden="false" customHeight="false" outlineLevel="0" collapsed="false">
      <c r="A51" s="15" t="s">
        <v>510</v>
      </c>
      <c r="B51" s="15" t="s">
        <v>37</v>
      </c>
      <c r="C51" s="15" t="s">
        <v>394</v>
      </c>
      <c r="D51" s="15" t="n">
        <v>34</v>
      </c>
      <c r="E51" s="15" t="s">
        <v>503</v>
      </c>
      <c r="F51" s="15" t="n">
        <v>1</v>
      </c>
      <c r="G51" s="15" t="s">
        <v>141</v>
      </c>
      <c r="H51" s="15" t="s">
        <v>142</v>
      </c>
      <c r="I51" s="3" t="s">
        <v>511</v>
      </c>
      <c r="J51" s="3" t="s">
        <v>512</v>
      </c>
      <c r="K51" s="15" t="s">
        <v>145</v>
      </c>
      <c r="L51" s="16" t="s">
        <v>7</v>
      </c>
      <c r="M51" s="15" t="s">
        <v>66</v>
      </c>
      <c r="N51" s="15" t="s">
        <v>90</v>
      </c>
      <c r="O51" s="15" t="s">
        <v>513</v>
      </c>
      <c r="P51" s="15" t="s">
        <v>135</v>
      </c>
      <c r="Q51" s="15" t="s">
        <v>197</v>
      </c>
      <c r="R51" s="15" t="s">
        <v>185</v>
      </c>
      <c r="S51" s="15"/>
      <c r="T51" s="15"/>
      <c r="U51" s="3" t="s">
        <v>514</v>
      </c>
      <c r="V51" s="3" t="s">
        <v>515</v>
      </c>
      <c r="W51" s="3" t="s">
        <v>516</v>
      </c>
      <c r="X51" s="3" t="s">
        <v>517</v>
      </c>
      <c r="Y51" s="15" t="n">
        <v>0</v>
      </c>
      <c r="Z51" s="15" t="n">
        <v>0</v>
      </c>
      <c r="AA51" s="15" t="n">
        <v>0</v>
      </c>
      <c r="AB51" s="15" t="n">
        <v>0</v>
      </c>
      <c r="AC51" s="15" t="n">
        <v>0</v>
      </c>
      <c r="AD51" s="15" t="n">
        <v>0</v>
      </c>
      <c r="AE51" s="15" t="n">
        <v>0</v>
      </c>
      <c r="AF51" s="15" t="n">
        <v>1</v>
      </c>
      <c r="AG51" s="15" t="n">
        <v>0</v>
      </c>
      <c r="AH51" s="15" t="n">
        <v>1</v>
      </c>
    </row>
    <row r="52" customFormat="false" ht="46.25" hidden="false" customHeight="false" outlineLevel="0" collapsed="false">
      <c r="A52" s="15" t="s">
        <v>518</v>
      </c>
      <c r="B52" s="15" t="s">
        <v>37</v>
      </c>
      <c r="C52" s="15" t="s">
        <v>394</v>
      </c>
      <c r="D52" s="15" t="n">
        <v>34</v>
      </c>
      <c r="E52" s="15" t="s">
        <v>503</v>
      </c>
      <c r="F52" s="15" t="n">
        <v>2</v>
      </c>
      <c r="G52" s="15" t="s">
        <v>129</v>
      </c>
      <c r="H52" s="15" t="s">
        <v>130</v>
      </c>
      <c r="I52" s="3" t="s">
        <v>519</v>
      </c>
      <c r="J52" s="3" t="s">
        <v>520</v>
      </c>
      <c r="K52" s="15" t="s">
        <v>133</v>
      </c>
      <c r="L52" s="16" t="s">
        <v>7</v>
      </c>
      <c r="M52" s="15" t="s">
        <v>68</v>
      </c>
      <c r="N52" s="15" t="s">
        <v>82</v>
      </c>
      <c r="O52" s="15" t="s">
        <v>82</v>
      </c>
      <c r="P52" s="15" t="s">
        <v>185</v>
      </c>
      <c r="Q52" s="15" t="s">
        <v>129</v>
      </c>
      <c r="R52" s="15" t="s">
        <v>135</v>
      </c>
      <c r="S52" s="15"/>
      <c r="T52" s="15"/>
      <c r="U52" s="3" t="s">
        <v>521</v>
      </c>
      <c r="V52" s="3" t="s">
        <v>522</v>
      </c>
      <c r="W52" s="3"/>
      <c r="X52" s="3" t="s">
        <v>523</v>
      </c>
      <c r="Y52" s="15" t="n">
        <v>0</v>
      </c>
      <c r="Z52" s="15" t="n">
        <v>1</v>
      </c>
      <c r="AA52" s="15" t="n">
        <v>0</v>
      </c>
      <c r="AB52" s="15" t="n">
        <v>0</v>
      </c>
      <c r="AC52" s="15" t="n">
        <v>0</v>
      </c>
      <c r="AD52" s="15" t="n">
        <v>0</v>
      </c>
      <c r="AE52" s="15" t="n">
        <v>0</v>
      </c>
      <c r="AF52" s="15" t="n">
        <v>0</v>
      </c>
      <c r="AG52" s="15" t="n">
        <v>0</v>
      </c>
      <c r="AH52" s="15" t="n">
        <v>0</v>
      </c>
    </row>
    <row r="53" customFormat="false" ht="57.45" hidden="false" customHeight="false" outlineLevel="0" collapsed="false">
      <c r="A53" s="15" t="s">
        <v>524</v>
      </c>
      <c r="B53" s="15" t="s">
        <v>37</v>
      </c>
      <c r="C53" s="15" t="s">
        <v>525</v>
      </c>
      <c r="D53" s="15" t="n">
        <v>34</v>
      </c>
      <c r="E53" s="15" t="s">
        <v>526</v>
      </c>
      <c r="F53" s="15" t="n">
        <v>0</v>
      </c>
      <c r="G53" s="15" t="s">
        <v>129</v>
      </c>
      <c r="H53" s="15" t="s">
        <v>130</v>
      </c>
      <c r="I53" s="3" t="s">
        <v>527</v>
      </c>
      <c r="J53" s="3" t="s">
        <v>528</v>
      </c>
      <c r="K53" s="15" t="s">
        <v>145</v>
      </c>
      <c r="L53" s="16" t="s">
        <v>7</v>
      </c>
      <c r="M53" s="15" t="s">
        <v>68</v>
      </c>
      <c r="N53" s="15" t="s">
        <v>84</v>
      </c>
      <c r="O53" s="15" t="s">
        <v>529</v>
      </c>
      <c r="P53" s="15" t="s">
        <v>185</v>
      </c>
      <c r="Q53" s="15" t="s">
        <v>129</v>
      </c>
      <c r="R53" s="15" t="s">
        <v>135</v>
      </c>
      <c r="S53" s="15"/>
      <c r="T53" s="15"/>
      <c r="U53" s="3" t="s">
        <v>530</v>
      </c>
      <c r="V53" s="3" t="s">
        <v>531</v>
      </c>
      <c r="W53" s="3"/>
      <c r="X53" s="3" t="s">
        <v>532</v>
      </c>
      <c r="Y53" s="15" t="n">
        <v>0</v>
      </c>
      <c r="Z53" s="15" t="n">
        <v>0</v>
      </c>
      <c r="AA53" s="15" t="n">
        <v>0</v>
      </c>
      <c r="AB53" s="15" t="n">
        <v>1</v>
      </c>
      <c r="AC53" s="15" t="n">
        <v>0</v>
      </c>
      <c r="AD53" s="15" t="n">
        <v>0</v>
      </c>
      <c r="AE53" s="15" t="n">
        <v>0</v>
      </c>
      <c r="AF53" s="15" t="n">
        <v>0</v>
      </c>
      <c r="AG53" s="15" t="n">
        <v>0</v>
      </c>
      <c r="AH53" s="15" t="n">
        <v>1</v>
      </c>
    </row>
    <row r="54" customFormat="false" ht="46.25" hidden="false" customHeight="false" outlineLevel="0" collapsed="false">
      <c r="A54" s="15" t="s">
        <v>533</v>
      </c>
      <c r="B54" s="15" t="s">
        <v>37</v>
      </c>
      <c r="C54" s="15" t="s">
        <v>525</v>
      </c>
      <c r="D54" s="15" t="n">
        <v>34</v>
      </c>
      <c r="E54" s="15" t="s">
        <v>526</v>
      </c>
      <c r="F54" s="15" t="n">
        <v>1</v>
      </c>
      <c r="G54" s="15" t="s">
        <v>141</v>
      </c>
      <c r="H54" s="15" t="s">
        <v>142</v>
      </c>
      <c r="I54" s="3" t="s">
        <v>534</v>
      </c>
      <c r="J54" s="3" t="s">
        <v>535</v>
      </c>
      <c r="K54" s="15" t="s">
        <v>133</v>
      </c>
      <c r="L54" s="16" t="s">
        <v>7</v>
      </c>
      <c r="M54" s="15" t="s">
        <v>68</v>
      </c>
      <c r="N54" s="15" t="s">
        <v>82</v>
      </c>
      <c r="O54" s="15" t="s">
        <v>192</v>
      </c>
      <c r="P54" s="15" t="s">
        <v>135</v>
      </c>
      <c r="Q54" s="15" t="s">
        <v>136</v>
      </c>
      <c r="R54" s="15" t="s">
        <v>135</v>
      </c>
      <c r="S54" s="15"/>
      <c r="T54" s="15"/>
      <c r="U54" s="3" t="s">
        <v>536</v>
      </c>
      <c r="V54" s="3" t="s">
        <v>537</v>
      </c>
      <c r="W54" s="3"/>
      <c r="X54" s="3" t="s">
        <v>538</v>
      </c>
      <c r="Y54" s="15" t="n">
        <v>0</v>
      </c>
      <c r="Z54" s="15" t="n">
        <v>1</v>
      </c>
      <c r="AA54" s="15" t="n">
        <v>0</v>
      </c>
      <c r="AB54" s="15" t="n">
        <v>1</v>
      </c>
      <c r="AC54" s="15" t="n">
        <v>0</v>
      </c>
      <c r="AD54" s="15" t="n">
        <v>0</v>
      </c>
      <c r="AE54" s="15" t="n">
        <v>0</v>
      </c>
      <c r="AF54" s="15" t="n">
        <v>1</v>
      </c>
      <c r="AG54" s="15" t="n">
        <v>0</v>
      </c>
      <c r="AH54" s="15" t="n">
        <v>0</v>
      </c>
    </row>
    <row r="55" customFormat="false" ht="46.25" hidden="false" customHeight="false" outlineLevel="0" collapsed="false">
      <c r="A55" s="15" t="s">
        <v>539</v>
      </c>
      <c r="B55" s="15" t="s">
        <v>37</v>
      </c>
      <c r="C55" s="15" t="s">
        <v>525</v>
      </c>
      <c r="D55" s="15" t="n">
        <v>34</v>
      </c>
      <c r="E55" s="15" t="s">
        <v>526</v>
      </c>
      <c r="F55" s="15" t="n">
        <v>2</v>
      </c>
      <c r="G55" s="15" t="s">
        <v>197</v>
      </c>
      <c r="H55" s="15" t="s">
        <v>142</v>
      </c>
      <c r="I55" s="3" t="s">
        <v>540</v>
      </c>
      <c r="J55" s="3" t="s">
        <v>541</v>
      </c>
      <c r="K55" s="15" t="s">
        <v>145</v>
      </c>
      <c r="L55" s="16" t="s">
        <v>7</v>
      </c>
      <c r="M55" s="15" t="s">
        <v>68</v>
      </c>
      <c r="N55" s="15" t="s">
        <v>82</v>
      </c>
      <c r="O55" s="15" t="s">
        <v>192</v>
      </c>
      <c r="P55" s="15" t="s">
        <v>135</v>
      </c>
      <c r="Q55" s="15" t="s">
        <v>136</v>
      </c>
      <c r="R55" s="15" t="s">
        <v>135</v>
      </c>
      <c r="S55" s="15"/>
      <c r="T55" s="15"/>
      <c r="U55" s="3" t="s">
        <v>542</v>
      </c>
      <c r="V55" s="3" t="s">
        <v>543</v>
      </c>
      <c r="W55" s="3"/>
      <c r="X55" s="3" t="s">
        <v>544</v>
      </c>
      <c r="Y55" s="15" t="n">
        <v>0</v>
      </c>
      <c r="Z55" s="15" t="n">
        <v>1</v>
      </c>
      <c r="AA55" s="15" t="n">
        <v>0</v>
      </c>
      <c r="AB55" s="15" t="n">
        <v>1</v>
      </c>
      <c r="AC55" s="15" t="n">
        <v>0</v>
      </c>
      <c r="AD55" s="15" t="n">
        <v>0</v>
      </c>
      <c r="AE55" s="15" t="n">
        <v>0</v>
      </c>
      <c r="AF55" s="15" t="n">
        <v>1</v>
      </c>
      <c r="AG55" s="15" t="n">
        <v>0</v>
      </c>
      <c r="AH55" s="15" t="n">
        <v>0</v>
      </c>
    </row>
    <row r="56" customFormat="false" ht="35.05" hidden="false" customHeight="false" outlineLevel="0" collapsed="false">
      <c r="A56" s="15" t="s">
        <v>545</v>
      </c>
      <c r="B56" s="15" t="s">
        <v>37</v>
      </c>
      <c r="C56" s="15" t="s">
        <v>525</v>
      </c>
      <c r="D56" s="15" t="n">
        <v>35</v>
      </c>
      <c r="E56" s="15" t="s">
        <v>546</v>
      </c>
      <c r="F56" s="15" t="n">
        <v>0</v>
      </c>
      <c r="G56" s="15" t="s">
        <v>129</v>
      </c>
      <c r="H56" s="15" t="s">
        <v>130</v>
      </c>
      <c r="I56" s="3" t="s">
        <v>547</v>
      </c>
      <c r="J56" s="3" t="s">
        <v>548</v>
      </c>
      <c r="K56" s="15" t="s">
        <v>133</v>
      </c>
      <c r="L56" s="16" t="s">
        <v>7</v>
      </c>
      <c r="M56" s="15" t="s">
        <v>68</v>
      </c>
      <c r="N56" s="15" t="s">
        <v>82</v>
      </c>
      <c r="O56" s="15" t="s">
        <v>549</v>
      </c>
      <c r="P56" s="15" t="s">
        <v>185</v>
      </c>
      <c r="Q56" s="15" t="s">
        <v>129</v>
      </c>
      <c r="R56" s="15" t="s">
        <v>135</v>
      </c>
      <c r="S56" s="15"/>
      <c r="T56" s="15"/>
      <c r="U56" s="3" t="s">
        <v>550</v>
      </c>
      <c r="V56" s="3" t="s">
        <v>551</v>
      </c>
      <c r="W56" s="3" t="s">
        <v>552</v>
      </c>
      <c r="X56" s="3" t="s">
        <v>553</v>
      </c>
      <c r="Y56" s="15" t="n">
        <v>0</v>
      </c>
      <c r="Z56" s="15" t="n">
        <v>1</v>
      </c>
      <c r="AA56" s="15" t="n">
        <v>0</v>
      </c>
      <c r="AB56" s="15" t="n">
        <v>0</v>
      </c>
      <c r="AC56" s="15" t="n">
        <v>0</v>
      </c>
      <c r="AD56" s="15" t="n">
        <v>0</v>
      </c>
      <c r="AE56" s="15" t="n">
        <v>0</v>
      </c>
      <c r="AF56" s="15" t="n">
        <v>0</v>
      </c>
      <c r="AG56" s="15" t="n">
        <v>0</v>
      </c>
      <c r="AH56" s="15" t="n">
        <v>1</v>
      </c>
    </row>
    <row r="57" customFormat="false" ht="46.25" hidden="false" customHeight="false" outlineLevel="0" collapsed="false">
      <c r="A57" s="15" t="s">
        <v>554</v>
      </c>
      <c r="B57" s="15" t="s">
        <v>37</v>
      </c>
      <c r="C57" s="15" t="s">
        <v>525</v>
      </c>
      <c r="D57" s="15" t="n">
        <v>35</v>
      </c>
      <c r="E57" s="15" t="s">
        <v>546</v>
      </c>
      <c r="F57" s="15" t="n">
        <v>1</v>
      </c>
      <c r="G57" s="15" t="s">
        <v>141</v>
      </c>
      <c r="H57" s="15" t="s">
        <v>142</v>
      </c>
      <c r="I57" s="3" t="s">
        <v>555</v>
      </c>
      <c r="J57" s="3" t="s">
        <v>556</v>
      </c>
      <c r="K57" s="15" t="s">
        <v>145</v>
      </c>
      <c r="L57" s="16" t="s">
        <v>7</v>
      </c>
      <c r="M57" s="15" t="s">
        <v>68</v>
      </c>
      <c r="N57" s="15" t="s">
        <v>84</v>
      </c>
      <c r="O57" s="15" t="s">
        <v>247</v>
      </c>
      <c r="P57" s="15" t="s">
        <v>135</v>
      </c>
      <c r="Q57" s="15" t="s">
        <v>129</v>
      </c>
      <c r="R57" s="15" t="s">
        <v>135</v>
      </c>
      <c r="S57" s="15"/>
      <c r="T57" s="15"/>
      <c r="U57" s="3" t="s">
        <v>557</v>
      </c>
      <c r="V57" s="3" t="s">
        <v>558</v>
      </c>
      <c r="W57" s="3" t="s">
        <v>559</v>
      </c>
      <c r="X57" s="3" t="s">
        <v>560</v>
      </c>
      <c r="Y57" s="15" t="n">
        <v>0</v>
      </c>
      <c r="Z57" s="15" t="n">
        <v>0</v>
      </c>
      <c r="AA57" s="15" t="n">
        <v>0</v>
      </c>
      <c r="AB57" s="15" t="n">
        <v>1</v>
      </c>
      <c r="AC57" s="15" t="n">
        <v>0</v>
      </c>
      <c r="AD57" s="15" t="n">
        <v>0</v>
      </c>
      <c r="AE57" s="15" t="n">
        <v>0</v>
      </c>
      <c r="AF57" s="15" t="n">
        <v>1</v>
      </c>
      <c r="AG57" s="15" t="n">
        <v>0</v>
      </c>
      <c r="AH57" s="15" t="n">
        <v>1</v>
      </c>
    </row>
    <row r="58" customFormat="false" ht="35.05" hidden="false" customHeight="false" outlineLevel="0" collapsed="false">
      <c r="A58" s="15" t="s">
        <v>561</v>
      </c>
      <c r="B58" s="15" t="s">
        <v>37</v>
      </c>
      <c r="C58" s="15" t="s">
        <v>525</v>
      </c>
      <c r="D58" s="15" t="n">
        <v>35</v>
      </c>
      <c r="E58" s="15" t="s">
        <v>546</v>
      </c>
      <c r="F58" s="15" t="n">
        <v>2</v>
      </c>
      <c r="G58" s="15" t="s">
        <v>197</v>
      </c>
      <c r="H58" s="15" t="s">
        <v>142</v>
      </c>
      <c r="I58" s="3" t="s">
        <v>562</v>
      </c>
      <c r="J58" s="3" t="s">
        <v>563</v>
      </c>
      <c r="K58" s="15" t="s">
        <v>133</v>
      </c>
      <c r="L58" s="17" t="s">
        <v>9</v>
      </c>
      <c r="M58" s="15" t="s">
        <v>70</v>
      </c>
      <c r="N58" s="15" t="s">
        <v>81</v>
      </c>
      <c r="O58" s="15" t="s">
        <v>81</v>
      </c>
      <c r="P58" s="15" t="s">
        <v>135</v>
      </c>
      <c r="Q58" s="15" t="s">
        <v>129</v>
      </c>
      <c r="R58" s="15" t="s">
        <v>135</v>
      </c>
      <c r="S58" s="15" t="s">
        <v>398</v>
      </c>
      <c r="T58" s="15" t="s">
        <v>390</v>
      </c>
      <c r="U58" s="3" t="s">
        <v>564</v>
      </c>
      <c r="V58" s="3" t="s">
        <v>565</v>
      </c>
      <c r="W58" s="3"/>
      <c r="X58" s="3"/>
      <c r="Y58" s="15" t="n">
        <v>1</v>
      </c>
      <c r="Z58" s="15" t="n">
        <v>0</v>
      </c>
      <c r="AA58" s="15" t="n">
        <v>0</v>
      </c>
      <c r="AB58" s="15" t="n">
        <v>0</v>
      </c>
      <c r="AC58" s="15" t="n">
        <v>0</v>
      </c>
      <c r="AD58" s="15" t="n">
        <v>0</v>
      </c>
      <c r="AE58" s="15" t="n">
        <v>0</v>
      </c>
      <c r="AF58" s="15" t="n">
        <v>0</v>
      </c>
      <c r="AG58" s="15" t="n">
        <v>0</v>
      </c>
      <c r="AH58" s="15" t="n">
        <v>0</v>
      </c>
    </row>
    <row r="59" customFormat="false" ht="35.05" hidden="false" customHeight="false" outlineLevel="0" collapsed="false">
      <c r="A59" s="15" t="s">
        <v>566</v>
      </c>
      <c r="B59" s="15" t="s">
        <v>37</v>
      </c>
      <c r="C59" s="15" t="s">
        <v>525</v>
      </c>
      <c r="D59" s="15" t="n">
        <v>48</v>
      </c>
      <c r="E59" s="15" t="s">
        <v>567</v>
      </c>
      <c r="F59" s="15" t="n">
        <v>0</v>
      </c>
      <c r="G59" s="15" t="s">
        <v>129</v>
      </c>
      <c r="H59" s="15" t="s">
        <v>130</v>
      </c>
      <c r="I59" s="3" t="s">
        <v>568</v>
      </c>
      <c r="J59" s="3" t="s">
        <v>569</v>
      </c>
      <c r="K59" s="15" t="s">
        <v>133</v>
      </c>
      <c r="L59" s="16" t="s">
        <v>7</v>
      </c>
      <c r="M59" s="15" t="s">
        <v>68</v>
      </c>
      <c r="N59" s="15" t="s">
        <v>82</v>
      </c>
      <c r="O59" s="15" t="s">
        <v>271</v>
      </c>
      <c r="P59" s="15" t="s">
        <v>185</v>
      </c>
      <c r="Q59" s="15" t="s">
        <v>129</v>
      </c>
      <c r="R59" s="15" t="s">
        <v>135</v>
      </c>
      <c r="S59" s="15"/>
      <c r="T59" s="15"/>
      <c r="U59" s="3" t="s">
        <v>570</v>
      </c>
      <c r="V59" s="3" t="s">
        <v>571</v>
      </c>
      <c r="W59" s="3" t="s">
        <v>572</v>
      </c>
      <c r="X59" s="3" t="s">
        <v>573</v>
      </c>
      <c r="Y59" s="15" t="n">
        <v>0</v>
      </c>
      <c r="Z59" s="15" t="n">
        <v>1</v>
      </c>
      <c r="AA59" s="15" t="n">
        <v>0</v>
      </c>
      <c r="AB59" s="15" t="n">
        <v>1</v>
      </c>
      <c r="AC59" s="15" t="n">
        <v>0</v>
      </c>
      <c r="AD59" s="15" t="n">
        <v>0</v>
      </c>
      <c r="AE59" s="15" t="n">
        <v>0</v>
      </c>
      <c r="AF59" s="15" t="n">
        <v>0</v>
      </c>
      <c r="AG59" s="15" t="n">
        <v>0</v>
      </c>
      <c r="AH59" s="15" t="n">
        <v>0</v>
      </c>
    </row>
    <row r="60" customFormat="false" ht="46.25" hidden="false" customHeight="false" outlineLevel="0" collapsed="false">
      <c r="A60" s="15" t="s">
        <v>574</v>
      </c>
      <c r="B60" s="15" t="s">
        <v>37</v>
      </c>
      <c r="C60" s="15" t="s">
        <v>525</v>
      </c>
      <c r="D60" s="15" t="n">
        <v>48</v>
      </c>
      <c r="E60" s="15" t="s">
        <v>567</v>
      </c>
      <c r="F60" s="15" t="n">
        <v>1</v>
      </c>
      <c r="G60" s="15" t="s">
        <v>141</v>
      </c>
      <c r="H60" s="15" t="s">
        <v>142</v>
      </c>
      <c r="I60" s="3" t="s">
        <v>575</v>
      </c>
      <c r="J60" s="3" t="s">
        <v>576</v>
      </c>
      <c r="K60" s="15" t="s">
        <v>145</v>
      </c>
      <c r="L60" s="16" t="s">
        <v>7</v>
      </c>
      <c r="M60" s="15" t="s">
        <v>68</v>
      </c>
      <c r="N60" s="15" t="s">
        <v>82</v>
      </c>
      <c r="O60" s="15" t="s">
        <v>215</v>
      </c>
      <c r="P60" s="15" t="s">
        <v>135</v>
      </c>
      <c r="Q60" s="15" t="s">
        <v>307</v>
      </c>
      <c r="R60" s="15" t="s">
        <v>135</v>
      </c>
      <c r="S60" s="15"/>
      <c r="T60" s="15"/>
      <c r="U60" s="3" t="s">
        <v>577</v>
      </c>
      <c r="V60" s="3" t="s">
        <v>578</v>
      </c>
      <c r="W60" s="3" t="s">
        <v>579</v>
      </c>
      <c r="X60" s="3" t="s">
        <v>580</v>
      </c>
      <c r="Y60" s="15" t="n">
        <v>0</v>
      </c>
      <c r="Z60" s="15" t="n">
        <v>1</v>
      </c>
      <c r="AA60" s="15" t="n">
        <v>0</v>
      </c>
      <c r="AB60" s="15" t="n">
        <v>0</v>
      </c>
      <c r="AC60" s="15" t="n">
        <v>0</v>
      </c>
      <c r="AD60" s="15" t="n">
        <v>0</v>
      </c>
      <c r="AE60" s="15" t="n">
        <v>0</v>
      </c>
      <c r="AF60" s="15" t="n">
        <v>1</v>
      </c>
      <c r="AG60" s="15" t="n">
        <v>0</v>
      </c>
      <c r="AH60" s="15" t="n">
        <v>0</v>
      </c>
    </row>
    <row r="61" customFormat="false" ht="35.05" hidden="false" customHeight="false" outlineLevel="0" collapsed="false">
      <c r="A61" s="15" t="s">
        <v>581</v>
      </c>
      <c r="B61" s="15" t="s">
        <v>37</v>
      </c>
      <c r="C61" s="15" t="s">
        <v>525</v>
      </c>
      <c r="D61" s="15" t="n">
        <v>48</v>
      </c>
      <c r="E61" s="15" t="s">
        <v>567</v>
      </c>
      <c r="F61" s="15" t="n">
        <v>2</v>
      </c>
      <c r="G61" s="15" t="s">
        <v>197</v>
      </c>
      <c r="H61" s="15" t="s">
        <v>142</v>
      </c>
      <c r="I61" s="3" t="s">
        <v>582</v>
      </c>
      <c r="J61" s="3" t="s">
        <v>583</v>
      </c>
      <c r="K61" s="15" t="s">
        <v>133</v>
      </c>
      <c r="L61" s="16" t="s">
        <v>7</v>
      </c>
      <c r="M61" s="15" t="s">
        <v>68</v>
      </c>
      <c r="N61" s="15" t="s">
        <v>82</v>
      </c>
      <c r="O61" s="15" t="s">
        <v>215</v>
      </c>
      <c r="P61" s="15" t="s">
        <v>135</v>
      </c>
      <c r="Q61" s="15" t="s">
        <v>307</v>
      </c>
      <c r="R61" s="15" t="s">
        <v>135</v>
      </c>
      <c r="S61" s="15"/>
      <c r="T61" s="15"/>
      <c r="U61" s="3" t="s">
        <v>584</v>
      </c>
      <c r="V61" s="3" t="s">
        <v>585</v>
      </c>
      <c r="W61" s="3" t="s">
        <v>586</v>
      </c>
      <c r="X61" s="3" t="s">
        <v>587</v>
      </c>
      <c r="Y61" s="15" t="n">
        <v>0</v>
      </c>
      <c r="Z61" s="15" t="n">
        <v>1</v>
      </c>
      <c r="AA61" s="15" t="n">
        <v>0</v>
      </c>
      <c r="AB61" s="15" t="n">
        <v>0</v>
      </c>
      <c r="AC61" s="15" t="n">
        <v>0</v>
      </c>
      <c r="AD61" s="15" t="n">
        <v>0</v>
      </c>
      <c r="AE61" s="15" t="n">
        <v>0</v>
      </c>
      <c r="AF61" s="15" t="n">
        <v>1</v>
      </c>
      <c r="AG61" s="15" t="n">
        <v>0</v>
      </c>
      <c r="AH61" s="15" t="n">
        <v>0</v>
      </c>
    </row>
    <row r="62" customFormat="false" ht="35.05" hidden="false" customHeight="false" outlineLevel="0" collapsed="false">
      <c r="A62" s="15" t="s">
        <v>588</v>
      </c>
      <c r="B62" s="15" t="s">
        <v>37</v>
      </c>
      <c r="C62" s="15" t="s">
        <v>525</v>
      </c>
      <c r="D62" s="15" t="n">
        <v>50</v>
      </c>
      <c r="E62" s="15" t="s">
        <v>589</v>
      </c>
      <c r="F62" s="15" t="n">
        <v>0</v>
      </c>
      <c r="G62" s="15" t="s">
        <v>129</v>
      </c>
      <c r="H62" s="15" t="s">
        <v>130</v>
      </c>
      <c r="I62" s="3" t="s">
        <v>590</v>
      </c>
      <c r="J62" s="3" t="s">
        <v>591</v>
      </c>
      <c r="K62" s="15" t="s">
        <v>133</v>
      </c>
      <c r="L62" s="16" t="s">
        <v>7</v>
      </c>
      <c r="M62" s="15" t="s">
        <v>66</v>
      </c>
      <c r="N62" s="15" t="s">
        <v>85</v>
      </c>
      <c r="O62" s="15" t="s">
        <v>85</v>
      </c>
      <c r="P62" s="15" t="s">
        <v>185</v>
      </c>
      <c r="Q62" s="15" t="s">
        <v>129</v>
      </c>
      <c r="R62" s="15" t="s">
        <v>135</v>
      </c>
      <c r="S62" s="15"/>
      <c r="T62" s="15"/>
      <c r="U62" s="3" t="s">
        <v>592</v>
      </c>
      <c r="V62" s="3" t="s">
        <v>593</v>
      </c>
      <c r="W62" s="3" t="s">
        <v>594</v>
      </c>
      <c r="X62" s="3" t="s">
        <v>595</v>
      </c>
      <c r="Y62" s="15" t="n">
        <v>0</v>
      </c>
      <c r="Z62" s="15" t="n">
        <v>0</v>
      </c>
      <c r="AA62" s="15" t="n">
        <v>0</v>
      </c>
      <c r="AB62" s="15" t="n">
        <v>0</v>
      </c>
      <c r="AC62" s="15" t="n">
        <v>1</v>
      </c>
      <c r="AD62" s="15" t="n">
        <v>0</v>
      </c>
      <c r="AE62" s="15" t="n">
        <v>0</v>
      </c>
      <c r="AF62" s="15" t="n">
        <v>0</v>
      </c>
      <c r="AG62" s="15" t="n">
        <v>0</v>
      </c>
      <c r="AH62" s="15" t="n">
        <v>0</v>
      </c>
    </row>
    <row r="63" customFormat="false" ht="46.25" hidden="false" customHeight="false" outlineLevel="0" collapsed="false">
      <c r="A63" s="15" t="s">
        <v>596</v>
      </c>
      <c r="B63" s="15" t="s">
        <v>37</v>
      </c>
      <c r="C63" s="15" t="s">
        <v>525</v>
      </c>
      <c r="D63" s="15" t="n">
        <v>50</v>
      </c>
      <c r="E63" s="15" t="s">
        <v>589</v>
      </c>
      <c r="F63" s="15" t="n">
        <v>1</v>
      </c>
      <c r="G63" s="15" t="s">
        <v>141</v>
      </c>
      <c r="H63" s="15" t="s">
        <v>142</v>
      </c>
      <c r="I63" s="3" t="s">
        <v>597</v>
      </c>
      <c r="J63" s="3" t="s">
        <v>598</v>
      </c>
      <c r="K63" s="15" t="s">
        <v>133</v>
      </c>
      <c r="L63" s="16" t="s">
        <v>7</v>
      </c>
      <c r="M63" s="15" t="s">
        <v>68</v>
      </c>
      <c r="N63" s="15" t="s">
        <v>82</v>
      </c>
      <c r="O63" s="15" t="s">
        <v>599</v>
      </c>
      <c r="P63" s="15" t="s">
        <v>135</v>
      </c>
      <c r="Q63" s="15" t="s">
        <v>129</v>
      </c>
      <c r="R63" s="15" t="s">
        <v>135</v>
      </c>
      <c r="S63" s="15"/>
      <c r="T63" s="15"/>
      <c r="U63" s="3" t="s">
        <v>600</v>
      </c>
      <c r="V63" s="3" t="s">
        <v>601</v>
      </c>
      <c r="W63" s="3" t="s">
        <v>602</v>
      </c>
      <c r="X63" s="3" t="s">
        <v>603</v>
      </c>
      <c r="Y63" s="15" t="n">
        <v>0</v>
      </c>
      <c r="Z63" s="15" t="n">
        <v>1</v>
      </c>
      <c r="AA63" s="15" t="n">
        <v>0</v>
      </c>
      <c r="AB63" s="15" t="n">
        <v>1</v>
      </c>
      <c r="AC63" s="15" t="n">
        <v>1</v>
      </c>
      <c r="AD63" s="15" t="n">
        <v>0</v>
      </c>
      <c r="AE63" s="15" t="n">
        <v>0</v>
      </c>
      <c r="AF63" s="15" t="n">
        <v>1</v>
      </c>
      <c r="AG63" s="15" t="n">
        <v>0</v>
      </c>
      <c r="AH63" s="15" t="n">
        <v>0</v>
      </c>
    </row>
    <row r="64" customFormat="false" ht="35.05" hidden="false" customHeight="false" outlineLevel="0" collapsed="false">
      <c r="A64" s="15" t="s">
        <v>604</v>
      </c>
      <c r="B64" s="15" t="s">
        <v>37</v>
      </c>
      <c r="C64" s="15" t="s">
        <v>525</v>
      </c>
      <c r="D64" s="15" t="n">
        <v>50</v>
      </c>
      <c r="E64" s="15" t="s">
        <v>589</v>
      </c>
      <c r="F64" s="15" t="n">
        <v>2</v>
      </c>
      <c r="G64" s="15" t="s">
        <v>197</v>
      </c>
      <c r="H64" s="15" t="s">
        <v>142</v>
      </c>
      <c r="I64" s="3" t="s">
        <v>605</v>
      </c>
      <c r="J64" s="3" t="s">
        <v>591</v>
      </c>
      <c r="K64" s="15" t="s">
        <v>133</v>
      </c>
      <c r="L64" s="16" t="s">
        <v>7</v>
      </c>
      <c r="M64" s="15" t="s">
        <v>68</v>
      </c>
      <c r="N64" s="15" t="s">
        <v>82</v>
      </c>
      <c r="O64" s="15" t="s">
        <v>606</v>
      </c>
      <c r="P64" s="15" t="s">
        <v>185</v>
      </c>
      <c r="Q64" s="15" t="s">
        <v>197</v>
      </c>
      <c r="R64" s="15" t="s">
        <v>135</v>
      </c>
      <c r="S64" s="15"/>
      <c r="T64" s="15"/>
      <c r="U64" s="3" t="s">
        <v>607</v>
      </c>
      <c r="V64" s="3" t="s">
        <v>608</v>
      </c>
      <c r="W64" s="3" t="s">
        <v>609</v>
      </c>
      <c r="X64" s="3" t="s">
        <v>610</v>
      </c>
      <c r="Y64" s="15" t="n">
        <v>0</v>
      </c>
      <c r="Z64" s="15" t="n">
        <v>1</v>
      </c>
      <c r="AA64" s="15" t="n">
        <v>0</v>
      </c>
      <c r="AB64" s="15" t="n">
        <v>0</v>
      </c>
      <c r="AC64" s="15" t="n">
        <v>1</v>
      </c>
      <c r="AD64" s="15" t="n">
        <v>0</v>
      </c>
      <c r="AE64" s="15" t="n">
        <v>0</v>
      </c>
      <c r="AF64" s="15" t="n">
        <v>0</v>
      </c>
      <c r="AG64" s="15" t="n">
        <v>0</v>
      </c>
      <c r="AH64" s="15" t="n">
        <v>0</v>
      </c>
    </row>
    <row r="65" customFormat="false" ht="46.25" hidden="false" customHeight="false" outlineLevel="0" collapsed="false">
      <c r="A65" s="15" t="s">
        <v>611</v>
      </c>
      <c r="B65" s="15" t="s">
        <v>37</v>
      </c>
      <c r="C65" s="15" t="s">
        <v>525</v>
      </c>
      <c r="D65" s="15" t="n">
        <v>71</v>
      </c>
      <c r="E65" s="15" t="s">
        <v>612</v>
      </c>
      <c r="F65" s="15" t="n">
        <v>0</v>
      </c>
      <c r="G65" s="15" t="s">
        <v>129</v>
      </c>
      <c r="H65" s="15" t="s">
        <v>130</v>
      </c>
      <c r="I65" s="3" t="s">
        <v>613</v>
      </c>
      <c r="J65" s="3" t="s">
        <v>614</v>
      </c>
      <c r="K65" s="15" t="s">
        <v>145</v>
      </c>
      <c r="L65" s="16" t="s">
        <v>7</v>
      </c>
      <c r="M65" s="15" t="s">
        <v>68</v>
      </c>
      <c r="N65" s="15" t="s">
        <v>82</v>
      </c>
      <c r="O65" s="15" t="s">
        <v>549</v>
      </c>
      <c r="P65" s="15" t="s">
        <v>185</v>
      </c>
      <c r="Q65" s="15" t="s">
        <v>129</v>
      </c>
      <c r="R65" s="15" t="s">
        <v>135</v>
      </c>
      <c r="S65" s="15"/>
      <c r="T65" s="15"/>
      <c r="U65" s="3" t="s">
        <v>615</v>
      </c>
      <c r="V65" s="3" t="s">
        <v>616</v>
      </c>
      <c r="W65" s="3" t="s">
        <v>617</v>
      </c>
      <c r="X65" s="3" t="s">
        <v>618</v>
      </c>
      <c r="Y65" s="15" t="n">
        <v>0</v>
      </c>
      <c r="Z65" s="15" t="n">
        <v>1</v>
      </c>
      <c r="AA65" s="15" t="n">
        <v>0</v>
      </c>
      <c r="AB65" s="15" t="n">
        <v>0</v>
      </c>
      <c r="AC65" s="15" t="n">
        <v>0</v>
      </c>
      <c r="AD65" s="15" t="n">
        <v>0</v>
      </c>
      <c r="AE65" s="15" t="n">
        <v>0</v>
      </c>
      <c r="AF65" s="15" t="n">
        <v>0</v>
      </c>
      <c r="AG65" s="15" t="n">
        <v>0</v>
      </c>
      <c r="AH65" s="15" t="n">
        <v>1</v>
      </c>
    </row>
    <row r="66" customFormat="false" ht="46.25" hidden="false" customHeight="false" outlineLevel="0" collapsed="false">
      <c r="A66" s="15" t="s">
        <v>619</v>
      </c>
      <c r="B66" s="15" t="s">
        <v>37</v>
      </c>
      <c r="C66" s="15" t="s">
        <v>525</v>
      </c>
      <c r="D66" s="15" t="n">
        <v>71</v>
      </c>
      <c r="E66" s="15" t="s">
        <v>612</v>
      </c>
      <c r="F66" s="15" t="n">
        <v>1</v>
      </c>
      <c r="G66" s="15" t="s">
        <v>152</v>
      </c>
      <c r="H66" s="15" t="s">
        <v>142</v>
      </c>
      <c r="I66" s="3" t="s">
        <v>620</v>
      </c>
      <c r="J66" s="3" t="s">
        <v>621</v>
      </c>
      <c r="K66" s="15" t="s">
        <v>145</v>
      </c>
      <c r="L66" s="17" t="s">
        <v>9</v>
      </c>
      <c r="M66" s="15" t="s">
        <v>70</v>
      </c>
      <c r="N66" s="15" t="s">
        <v>81</v>
      </c>
      <c r="O66" s="15" t="s">
        <v>622</v>
      </c>
      <c r="P66" s="15" t="s">
        <v>135</v>
      </c>
      <c r="Q66" s="15" t="s">
        <v>136</v>
      </c>
      <c r="R66" s="15" t="s">
        <v>135</v>
      </c>
      <c r="S66" s="15" t="s">
        <v>398</v>
      </c>
      <c r="T66" s="15" t="s">
        <v>327</v>
      </c>
      <c r="U66" s="3" t="s">
        <v>623</v>
      </c>
      <c r="V66" s="3" t="s">
        <v>624</v>
      </c>
      <c r="W66" s="3"/>
      <c r="X66" s="3"/>
      <c r="Y66" s="15" t="n">
        <v>1</v>
      </c>
      <c r="Z66" s="15" t="n">
        <v>0</v>
      </c>
      <c r="AA66" s="15" t="n">
        <v>0</v>
      </c>
      <c r="AB66" s="15" t="n">
        <v>0</v>
      </c>
      <c r="AC66" s="15" t="n">
        <v>1</v>
      </c>
      <c r="AD66" s="15" t="n">
        <v>0</v>
      </c>
      <c r="AE66" s="15" t="n">
        <v>0</v>
      </c>
      <c r="AF66" s="15" t="n">
        <v>0</v>
      </c>
      <c r="AG66" s="15" t="n">
        <v>0</v>
      </c>
      <c r="AH66" s="15" t="n">
        <v>1</v>
      </c>
    </row>
    <row r="67" customFormat="false" ht="46.25" hidden="false" customHeight="false" outlineLevel="0" collapsed="false">
      <c r="A67" s="15" t="s">
        <v>625</v>
      </c>
      <c r="B67" s="15" t="s">
        <v>37</v>
      </c>
      <c r="C67" s="15" t="s">
        <v>525</v>
      </c>
      <c r="D67" s="15" t="n">
        <v>71</v>
      </c>
      <c r="E67" s="15" t="s">
        <v>612</v>
      </c>
      <c r="F67" s="15" t="n">
        <v>2</v>
      </c>
      <c r="G67" s="15" t="s">
        <v>197</v>
      </c>
      <c r="H67" s="15" t="s">
        <v>142</v>
      </c>
      <c r="I67" s="3" t="s">
        <v>626</v>
      </c>
      <c r="J67" s="3" t="s">
        <v>627</v>
      </c>
      <c r="K67" s="15" t="s">
        <v>133</v>
      </c>
      <c r="L67" s="16" t="s">
        <v>7</v>
      </c>
      <c r="M67" s="15" t="s">
        <v>68</v>
      </c>
      <c r="N67" s="15" t="s">
        <v>82</v>
      </c>
      <c r="O67" s="15" t="s">
        <v>222</v>
      </c>
      <c r="P67" s="15" t="s">
        <v>135</v>
      </c>
      <c r="Q67" s="15" t="s">
        <v>129</v>
      </c>
      <c r="R67" s="15" t="s">
        <v>135</v>
      </c>
      <c r="S67" s="15"/>
      <c r="T67" s="15"/>
      <c r="U67" s="3" t="s">
        <v>628</v>
      </c>
      <c r="V67" s="3" t="s">
        <v>629</v>
      </c>
      <c r="W67" s="3" t="s">
        <v>630</v>
      </c>
      <c r="X67" s="3" t="s">
        <v>618</v>
      </c>
      <c r="Y67" s="15" t="n">
        <v>0</v>
      </c>
      <c r="Z67" s="15" t="n">
        <v>1</v>
      </c>
      <c r="AA67" s="15" t="n">
        <v>0</v>
      </c>
      <c r="AB67" s="15" t="n">
        <v>0</v>
      </c>
      <c r="AC67" s="15" t="n">
        <v>0</v>
      </c>
      <c r="AD67" s="15" t="n">
        <v>0</v>
      </c>
      <c r="AE67" s="15" t="n">
        <v>0</v>
      </c>
      <c r="AF67" s="15" t="n">
        <v>1</v>
      </c>
      <c r="AG67" s="15" t="n">
        <v>0</v>
      </c>
      <c r="AH67" s="15" t="n">
        <v>1</v>
      </c>
    </row>
    <row r="68" customFormat="false" ht="46.25" hidden="false" customHeight="false" outlineLevel="0" collapsed="false">
      <c r="A68" s="15" t="s">
        <v>631</v>
      </c>
      <c r="B68" s="15" t="s">
        <v>37</v>
      </c>
      <c r="C68" s="15" t="s">
        <v>525</v>
      </c>
      <c r="D68" s="15" t="n">
        <v>87</v>
      </c>
      <c r="E68" s="15" t="s">
        <v>632</v>
      </c>
      <c r="F68" s="15" t="n">
        <v>0</v>
      </c>
      <c r="G68" s="15" t="s">
        <v>129</v>
      </c>
      <c r="H68" s="15" t="s">
        <v>130</v>
      </c>
      <c r="I68" s="3" t="s">
        <v>633</v>
      </c>
      <c r="J68" s="3" t="s">
        <v>634</v>
      </c>
      <c r="K68" s="15" t="s">
        <v>133</v>
      </c>
      <c r="L68" s="16" t="s">
        <v>7</v>
      </c>
      <c r="M68" s="15" t="s">
        <v>66</v>
      </c>
      <c r="N68" s="15" t="s">
        <v>86</v>
      </c>
      <c r="O68" s="15" t="s">
        <v>635</v>
      </c>
      <c r="P68" s="15" t="s">
        <v>185</v>
      </c>
      <c r="Q68" s="15" t="s">
        <v>129</v>
      </c>
      <c r="R68" s="15" t="s">
        <v>135</v>
      </c>
      <c r="S68" s="15"/>
      <c r="T68" s="15"/>
      <c r="U68" s="3" t="s">
        <v>636</v>
      </c>
      <c r="V68" s="3" t="s">
        <v>637</v>
      </c>
      <c r="W68" s="3" t="s">
        <v>638</v>
      </c>
      <c r="X68" s="3" t="s">
        <v>639</v>
      </c>
      <c r="Y68" s="15" t="n">
        <v>0</v>
      </c>
      <c r="Z68" s="15" t="n">
        <v>0</v>
      </c>
      <c r="AA68" s="15" t="n">
        <v>0</v>
      </c>
      <c r="AB68" s="15" t="n">
        <v>0</v>
      </c>
      <c r="AC68" s="15" t="n">
        <v>0</v>
      </c>
      <c r="AD68" s="15" t="n">
        <v>1</v>
      </c>
      <c r="AE68" s="15" t="n">
        <v>0</v>
      </c>
      <c r="AF68" s="15" t="n">
        <v>0</v>
      </c>
      <c r="AG68" s="15" t="n">
        <v>0</v>
      </c>
      <c r="AH68" s="15" t="n">
        <v>1</v>
      </c>
    </row>
    <row r="69" customFormat="false" ht="35.05" hidden="false" customHeight="false" outlineLevel="0" collapsed="false">
      <c r="A69" s="15" t="s">
        <v>640</v>
      </c>
      <c r="B69" s="15" t="s">
        <v>37</v>
      </c>
      <c r="C69" s="15" t="s">
        <v>525</v>
      </c>
      <c r="D69" s="15" t="n">
        <v>87</v>
      </c>
      <c r="E69" s="15" t="s">
        <v>632</v>
      </c>
      <c r="F69" s="15" t="n">
        <v>1</v>
      </c>
      <c r="G69" s="15" t="s">
        <v>141</v>
      </c>
      <c r="H69" s="15" t="s">
        <v>142</v>
      </c>
      <c r="I69" s="3" t="s">
        <v>641</v>
      </c>
      <c r="J69" s="3" t="s">
        <v>642</v>
      </c>
      <c r="K69" s="15" t="s">
        <v>133</v>
      </c>
      <c r="L69" s="16" t="s">
        <v>7</v>
      </c>
      <c r="M69" s="15" t="s">
        <v>66</v>
      </c>
      <c r="N69" s="15" t="s">
        <v>88</v>
      </c>
      <c r="O69" s="15" t="s">
        <v>643</v>
      </c>
      <c r="P69" s="15" t="s">
        <v>135</v>
      </c>
      <c r="Q69" s="15" t="s">
        <v>129</v>
      </c>
      <c r="R69" s="15" t="s">
        <v>135</v>
      </c>
      <c r="S69" s="15"/>
      <c r="T69" s="15"/>
      <c r="U69" s="3" t="s">
        <v>644</v>
      </c>
      <c r="V69" s="3" t="s">
        <v>645</v>
      </c>
      <c r="W69" s="3" t="s">
        <v>646</v>
      </c>
      <c r="X69" s="3" t="s">
        <v>647</v>
      </c>
      <c r="Y69" s="15" t="n">
        <v>0</v>
      </c>
      <c r="Z69" s="15" t="n">
        <v>0</v>
      </c>
      <c r="AA69" s="15" t="n">
        <v>0</v>
      </c>
      <c r="AB69" s="15" t="n">
        <v>0</v>
      </c>
      <c r="AC69" s="15" t="n">
        <v>0</v>
      </c>
      <c r="AD69" s="15" t="n">
        <v>0</v>
      </c>
      <c r="AE69" s="15" t="n">
        <v>1</v>
      </c>
      <c r="AF69" s="15" t="n">
        <v>1</v>
      </c>
      <c r="AG69" s="15" t="n">
        <v>0</v>
      </c>
      <c r="AH69" s="15" t="n">
        <v>1</v>
      </c>
    </row>
    <row r="70" customFormat="false" ht="46.25" hidden="false" customHeight="false" outlineLevel="0" collapsed="false">
      <c r="A70" s="15" t="s">
        <v>648</v>
      </c>
      <c r="B70" s="15" t="s">
        <v>37</v>
      </c>
      <c r="C70" s="15" t="s">
        <v>525</v>
      </c>
      <c r="D70" s="15" t="n">
        <v>87</v>
      </c>
      <c r="E70" s="15" t="s">
        <v>632</v>
      </c>
      <c r="F70" s="15" t="n">
        <v>2</v>
      </c>
      <c r="G70" s="15" t="s">
        <v>197</v>
      </c>
      <c r="H70" s="15" t="s">
        <v>142</v>
      </c>
      <c r="I70" s="3" t="s">
        <v>649</v>
      </c>
      <c r="J70" s="3" t="s">
        <v>650</v>
      </c>
      <c r="K70" s="15" t="s">
        <v>133</v>
      </c>
      <c r="L70" s="16" t="s">
        <v>7</v>
      </c>
      <c r="M70" s="15" t="s">
        <v>68</v>
      </c>
      <c r="N70" s="15" t="s">
        <v>82</v>
      </c>
      <c r="O70" s="15" t="s">
        <v>651</v>
      </c>
      <c r="P70" s="15" t="s">
        <v>185</v>
      </c>
      <c r="Q70" s="15" t="s">
        <v>197</v>
      </c>
      <c r="R70" s="15" t="s">
        <v>135</v>
      </c>
      <c r="S70" s="15"/>
      <c r="T70" s="15"/>
      <c r="U70" s="3" t="s">
        <v>652</v>
      </c>
      <c r="V70" s="3" t="s">
        <v>653</v>
      </c>
      <c r="W70" s="3" t="s">
        <v>654</v>
      </c>
      <c r="X70" s="3" t="s">
        <v>655</v>
      </c>
      <c r="Y70" s="15" t="n">
        <v>0</v>
      </c>
      <c r="Z70" s="15" t="n">
        <v>1</v>
      </c>
      <c r="AA70" s="15" t="n">
        <v>0</v>
      </c>
      <c r="AB70" s="15" t="n">
        <v>0</v>
      </c>
      <c r="AC70" s="15" t="n">
        <v>0</v>
      </c>
      <c r="AD70" s="15" t="n">
        <v>1</v>
      </c>
      <c r="AE70" s="15" t="n">
        <v>0</v>
      </c>
      <c r="AF70" s="15" t="n">
        <v>0</v>
      </c>
      <c r="AG70" s="15" t="n">
        <v>0</v>
      </c>
      <c r="AH70" s="15" t="n">
        <v>0</v>
      </c>
    </row>
    <row r="71" customFormat="false" ht="23.85" hidden="false" customHeight="false" outlineLevel="0" collapsed="false">
      <c r="A71" s="15" t="s">
        <v>656</v>
      </c>
      <c r="B71" s="15" t="s">
        <v>37</v>
      </c>
      <c r="C71" s="15" t="s">
        <v>525</v>
      </c>
      <c r="D71" s="15" t="n">
        <v>88</v>
      </c>
      <c r="E71" s="15" t="s">
        <v>657</v>
      </c>
      <c r="F71" s="15" t="n">
        <v>0</v>
      </c>
      <c r="G71" s="15" t="s">
        <v>197</v>
      </c>
      <c r="H71" s="15" t="s">
        <v>142</v>
      </c>
      <c r="I71" s="3" t="s">
        <v>658</v>
      </c>
      <c r="J71" s="3" t="s">
        <v>659</v>
      </c>
      <c r="K71" s="15" t="s">
        <v>133</v>
      </c>
      <c r="L71" s="16" t="s">
        <v>7</v>
      </c>
      <c r="M71" s="15" t="s">
        <v>66</v>
      </c>
      <c r="N71" s="15" t="s">
        <v>85</v>
      </c>
      <c r="O71" s="15" t="s">
        <v>660</v>
      </c>
      <c r="P71" s="15" t="s">
        <v>185</v>
      </c>
      <c r="Q71" s="15" t="s">
        <v>197</v>
      </c>
      <c r="R71" s="15" t="s">
        <v>135</v>
      </c>
      <c r="S71" s="15"/>
      <c r="T71" s="15"/>
      <c r="U71" s="3" t="s">
        <v>661</v>
      </c>
      <c r="V71" s="3" t="s">
        <v>662</v>
      </c>
      <c r="W71" s="3" t="s">
        <v>663</v>
      </c>
      <c r="X71" s="3" t="s">
        <v>664</v>
      </c>
      <c r="Y71" s="15" t="n">
        <v>0</v>
      </c>
      <c r="Z71" s="15" t="n">
        <v>0</v>
      </c>
      <c r="AA71" s="15" t="n">
        <v>0</v>
      </c>
      <c r="AB71" s="15" t="n">
        <v>0</v>
      </c>
      <c r="AC71" s="15" t="n">
        <v>1</v>
      </c>
      <c r="AD71" s="15" t="n">
        <v>0</v>
      </c>
      <c r="AE71" s="15" t="n">
        <v>0</v>
      </c>
      <c r="AF71" s="15" t="n">
        <v>0</v>
      </c>
      <c r="AG71" s="15" t="n">
        <v>1</v>
      </c>
      <c r="AH71" s="15" t="n">
        <v>0</v>
      </c>
    </row>
    <row r="72" customFormat="false" ht="46.25" hidden="false" customHeight="false" outlineLevel="0" collapsed="false">
      <c r="A72" s="15" t="s">
        <v>665</v>
      </c>
      <c r="B72" s="15" t="s">
        <v>37</v>
      </c>
      <c r="C72" s="15" t="s">
        <v>525</v>
      </c>
      <c r="D72" s="15" t="n">
        <v>88</v>
      </c>
      <c r="E72" s="15" t="s">
        <v>657</v>
      </c>
      <c r="F72" s="15" t="n">
        <v>1</v>
      </c>
      <c r="G72" s="15" t="s">
        <v>152</v>
      </c>
      <c r="H72" s="15" t="s">
        <v>142</v>
      </c>
      <c r="I72" s="3" t="s">
        <v>666</v>
      </c>
      <c r="J72" s="3" t="s">
        <v>667</v>
      </c>
      <c r="K72" s="15" t="s">
        <v>145</v>
      </c>
      <c r="L72" s="16" t="s">
        <v>7</v>
      </c>
      <c r="M72" s="15" t="s">
        <v>68</v>
      </c>
      <c r="N72" s="15" t="s">
        <v>82</v>
      </c>
      <c r="O72" s="15" t="s">
        <v>606</v>
      </c>
      <c r="P72" s="15" t="s">
        <v>185</v>
      </c>
      <c r="Q72" s="15" t="s">
        <v>152</v>
      </c>
      <c r="R72" s="15" t="s">
        <v>135</v>
      </c>
      <c r="S72" s="15"/>
      <c r="T72" s="15"/>
      <c r="U72" s="3" t="s">
        <v>668</v>
      </c>
      <c r="V72" s="3" t="s">
        <v>669</v>
      </c>
      <c r="W72" s="3"/>
      <c r="X72" s="3" t="s">
        <v>670</v>
      </c>
      <c r="Y72" s="15" t="n">
        <v>0</v>
      </c>
      <c r="Z72" s="15" t="n">
        <v>1</v>
      </c>
      <c r="AA72" s="15" t="n">
        <v>0</v>
      </c>
      <c r="AB72" s="15" t="n">
        <v>0</v>
      </c>
      <c r="AC72" s="15" t="n">
        <v>1</v>
      </c>
      <c r="AD72" s="15" t="n">
        <v>0</v>
      </c>
      <c r="AE72" s="15" t="n">
        <v>0</v>
      </c>
      <c r="AF72" s="15" t="n">
        <v>0</v>
      </c>
      <c r="AG72" s="15" t="n">
        <v>0</v>
      </c>
      <c r="AH72" s="15" t="n">
        <v>0</v>
      </c>
    </row>
    <row r="73" customFormat="false" ht="35.05" hidden="false" customHeight="false" outlineLevel="0" collapsed="false">
      <c r="A73" s="15" t="s">
        <v>671</v>
      </c>
      <c r="B73" s="15" t="s">
        <v>37</v>
      </c>
      <c r="C73" s="15" t="s">
        <v>525</v>
      </c>
      <c r="D73" s="15" t="n">
        <v>88</v>
      </c>
      <c r="E73" s="15" t="s">
        <v>657</v>
      </c>
      <c r="F73" s="15" t="n">
        <v>2</v>
      </c>
      <c r="G73" s="15" t="s">
        <v>141</v>
      </c>
      <c r="H73" s="15" t="s">
        <v>142</v>
      </c>
      <c r="I73" s="3" t="s">
        <v>672</v>
      </c>
      <c r="J73" s="3" t="s">
        <v>673</v>
      </c>
      <c r="K73" s="15" t="s">
        <v>133</v>
      </c>
      <c r="L73" s="16" t="s">
        <v>7</v>
      </c>
      <c r="M73" s="15" t="s">
        <v>68</v>
      </c>
      <c r="N73" s="15" t="s">
        <v>82</v>
      </c>
      <c r="O73" s="15" t="s">
        <v>606</v>
      </c>
      <c r="P73" s="15" t="s">
        <v>185</v>
      </c>
      <c r="Q73" s="15" t="s">
        <v>141</v>
      </c>
      <c r="R73" s="15" t="s">
        <v>135</v>
      </c>
      <c r="S73" s="15"/>
      <c r="T73" s="15"/>
      <c r="U73" s="3" t="s">
        <v>674</v>
      </c>
      <c r="V73" s="3" t="s">
        <v>675</v>
      </c>
      <c r="W73" s="3" t="s">
        <v>676</v>
      </c>
      <c r="X73" s="3" t="s">
        <v>677</v>
      </c>
      <c r="Y73" s="15" t="n">
        <v>0</v>
      </c>
      <c r="Z73" s="15" t="n">
        <v>1</v>
      </c>
      <c r="AA73" s="15" t="n">
        <v>0</v>
      </c>
      <c r="AB73" s="15" t="n">
        <v>0</v>
      </c>
      <c r="AC73" s="15" t="n">
        <v>1</v>
      </c>
      <c r="AD73" s="15" t="n">
        <v>0</v>
      </c>
      <c r="AE73" s="15" t="n">
        <v>0</v>
      </c>
      <c r="AF73" s="15" t="n">
        <v>0</v>
      </c>
      <c r="AG73" s="15" t="n">
        <v>0</v>
      </c>
      <c r="AH73" s="15" t="n">
        <v>0</v>
      </c>
    </row>
    <row r="74" customFormat="false" ht="46.25" hidden="false" customHeight="false" outlineLevel="0" collapsed="false">
      <c r="A74" s="15" t="s">
        <v>678</v>
      </c>
      <c r="B74" s="15" t="s">
        <v>37</v>
      </c>
      <c r="C74" s="15" t="s">
        <v>525</v>
      </c>
      <c r="D74" s="15" t="n">
        <v>91</v>
      </c>
      <c r="E74" s="15" t="s">
        <v>679</v>
      </c>
      <c r="F74" s="15" t="n">
        <v>0</v>
      </c>
      <c r="G74" s="15" t="s">
        <v>129</v>
      </c>
      <c r="H74" s="15" t="s">
        <v>130</v>
      </c>
      <c r="I74" s="3" t="s">
        <v>680</v>
      </c>
      <c r="J74" s="3" t="s">
        <v>681</v>
      </c>
      <c r="K74" s="15" t="s">
        <v>133</v>
      </c>
      <c r="L74" s="16" t="s">
        <v>7</v>
      </c>
      <c r="M74" s="15" t="s">
        <v>66</v>
      </c>
      <c r="N74" s="15" t="s">
        <v>87</v>
      </c>
      <c r="O74" s="15" t="s">
        <v>87</v>
      </c>
      <c r="P74" s="15" t="s">
        <v>185</v>
      </c>
      <c r="Q74" s="15" t="s">
        <v>129</v>
      </c>
      <c r="R74" s="15" t="s">
        <v>135</v>
      </c>
      <c r="S74" s="15"/>
      <c r="T74" s="15"/>
      <c r="U74" s="3" t="s">
        <v>682</v>
      </c>
      <c r="V74" s="3" t="s">
        <v>683</v>
      </c>
      <c r="W74" s="3"/>
      <c r="X74" s="3" t="s">
        <v>684</v>
      </c>
      <c r="Y74" s="15" t="n">
        <v>0</v>
      </c>
      <c r="Z74" s="15" t="n">
        <v>0</v>
      </c>
      <c r="AA74" s="15" t="n">
        <v>0</v>
      </c>
      <c r="AB74" s="15" t="n">
        <v>0</v>
      </c>
      <c r="AC74" s="15" t="n">
        <v>0</v>
      </c>
      <c r="AD74" s="15" t="n">
        <v>0</v>
      </c>
      <c r="AE74" s="15" t="n">
        <v>1</v>
      </c>
      <c r="AF74" s="15" t="n">
        <v>0</v>
      </c>
      <c r="AG74" s="15" t="n">
        <v>0</v>
      </c>
      <c r="AH74" s="15" t="n">
        <v>0</v>
      </c>
    </row>
    <row r="75" customFormat="false" ht="68.65" hidden="false" customHeight="false" outlineLevel="0" collapsed="false">
      <c r="A75" s="15" t="s">
        <v>685</v>
      </c>
      <c r="B75" s="15" t="s">
        <v>37</v>
      </c>
      <c r="C75" s="15" t="s">
        <v>525</v>
      </c>
      <c r="D75" s="15" t="n">
        <v>91</v>
      </c>
      <c r="E75" s="15" t="s">
        <v>679</v>
      </c>
      <c r="F75" s="15" t="n">
        <v>1</v>
      </c>
      <c r="G75" s="15" t="s">
        <v>141</v>
      </c>
      <c r="H75" s="15" t="s">
        <v>142</v>
      </c>
      <c r="I75" s="3" t="s">
        <v>686</v>
      </c>
      <c r="J75" s="3" t="s">
        <v>687</v>
      </c>
      <c r="K75" s="15" t="s">
        <v>145</v>
      </c>
      <c r="L75" s="16" t="s">
        <v>7</v>
      </c>
      <c r="M75" s="15" t="s">
        <v>68</v>
      </c>
      <c r="N75" s="15" t="s">
        <v>82</v>
      </c>
      <c r="O75" s="15" t="s">
        <v>215</v>
      </c>
      <c r="P75" s="15" t="s">
        <v>135</v>
      </c>
      <c r="Q75" s="15" t="s">
        <v>129</v>
      </c>
      <c r="R75" s="15" t="s">
        <v>135</v>
      </c>
      <c r="S75" s="15"/>
      <c r="T75" s="15"/>
      <c r="U75" s="3" t="s">
        <v>688</v>
      </c>
      <c r="V75" s="3" t="s">
        <v>689</v>
      </c>
      <c r="W75" s="3"/>
      <c r="X75" s="3" t="s">
        <v>690</v>
      </c>
      <c r="Y75" s="15" t="n">
        <v>0</v>
      </c>
      <c r="Z75" s="15" t="n">
        <v>1</v>
      </c>
      <c r="AA75" s="15" t="n">
        <v>0</v>
      </c>
      <c r="AB75" s="15" t="n">
        <v>0</v>
      </c>
      <c r="AC75" s="15" t="n">
        <v>0</v>
      </c>
      <c r="AD75" s="15" t="n">
        <v>0</v>
      </c>
      <c r="AE75" s="15" t="n">
        <v>0</v>
      </c>
      <c r="AF75" s="15" t="n">
        <v>1</v>
      </c>
      <c r="AG75" s="15" t="n">
        <v>0</v>
      </c>
      <c r="AH75" s="15" t="n">
        <v>0</v>
      </c>
    </row>
    <row r="76" customFormat="false" ht="46.25" hidden="false" customHeight="false" outlineLevel="0" collapsed="false">
      <c r="A76" s="15" t="s">
        <v>691</v>
      </c>
      <c r="B76" s="15" t="s">
        <v>37</v>
      </c>
      <c r="C76" s="15" t="s">
        <v>525</v>
      </c>
      <c r="D76" s="15" t="n">
        <v>91</v>
      </c>
      <c r="E76" s="15" t="s">
        <v>679</v>
      </c>
      <c r="F76" s="15" t="n">
        <v>2</v>
      </c>
      <c r="G76" s="15" t="s">
        <v>197</v>
      </c>
      <c r="H76" s="15" t="s">
        <v>142</v>
      </c>
      <c r="I76" s="3" t="s">
        <v>692</v>
      </c>
      <c r="J76" s="3" t="s">
        <v>693</v>
      </c>
      <c r="K76" s="15" t="s">
        <v>133</v>
      </c>
      <c r="L76" s="18" t="s">
        <v>5</v>
      </c>
      <c r="M76" s="15" t="s">
        <v>426</v>
      </c>
      <c r="N76" s="15" t="s">
        <v>426</v>
      </c>
      <c r="O76" s="15"/>
      <c r="P76" s="15" t="s">
        <v>185</v>
      </c>
      <c r="Q76" s="15" t="s">
        <v>197</v>
      </c>
      <c r="R76" s="15" t="s">
        <v>185</v>
      </c>
      <c r="S76" s="15"/>
      <c r="T76" s="15"/>
      <c r="U76" s="3" t="s">
        <v>694</v>
      </c>
      <c r="V76" s="3" t="s">
        <v>695</v>
      </c>
      <c r="W76" s="3"/>
      <c r="X76" s="3"/>
      <c r="Y76" s="15" t="n">
        <v>0</v>
      </c>
      <c r="Z76" s="15" t="n">
        <v>0</v>
      </c>
      <c r="AA76" s="15" t="n">
        <v>0</v>
      </c>
      <c r="AB76" s="15" t="n">
        <v>0</v>
      </c>
      <c r="AC76" s="15" t="n">
        <v>0</v>
      </c>
      <c r="AD76" s="15" t="n">
        <v>0</v>
      </c>
      <c r="AE76" s="15" t="n">
        <v>0</v>
      </c>
      <c r="AF76" s="15" t="n">
        <v>0</v>
      </c>
      <c r="AG76" s="15" t="n">
        <v>0</v>
      </c>
      <c r="AH76" s="15" t="n">
        <v>0</v>
      </c>
    </row>
    <row r="77" customFormat="false" ht="79.85" hidden="false" customHeight="false" outlineLevel="0" collapsed="false">
      <c r="A77" s="15" t="s">
        <v>696</v>
      </c>
      <c r="B77" s="15" t="s">
        <v>37</v>
      </c>
      <c r="C77" s="15" t="s">
        <v>697</v>
      </c>
      <c r="D77" s="15" t="n">
        <v>65</v>
      </c>
      <c r="E77" s="15" t="s">
        <v>698</v>
      </c>
      <c r="F77" s="15" t="n">
        <v>0</v>
      </c>
      <c r="G77" s="15" t="s">
        <v>129</v>
      </c>
      <c r="H77" s="15" t="s">
        <v>130</v>
      </c>
      <c r="I77" s="3" t="s">
        <v>699</v>
      </c>
      <c r="J77" s="3" t="s">
        <v>700</v>
      </c>
      <c r="K77" s="15" t="s">
        <v>133</v>
      </c>
      <c r="L77" s="16" t="s">
        <v>7</v>
      </c>
      <c r="M77" s="15" t="s">
        <v>66</v>
      </c>
      <c r="N77" s="15" t="s">
        <v>90</v>
      </c>
      <c r="O77" s="15" t="s">
        <v>701</v>
      </c>
      <c r="P77" s="15" t="s">
        <v>185</v>
      </c>
      <c r="Q77" s="15" t="s">
        <v>129</v>
      </c>
      <c r="R77" s="15" t="s">
        <v>135</v>
      </c>
      <c r="S77" s="15"/>
      <c r="T77" s="15"/>
      <c r="U77" s="3" t="s">
        <v>702</v>
      </c>
      <c r="V77" s="3" t="s">
        <v>703</v>
      </c>
      <c r="W77" s="3"/>
      <c r="X77" s="3" t="s">
        <v>704</v>
      </c>
      <c r="Y77" s="15" t="n">
        <v>0</v>
      </c>
      <c r="Z77" s="15" t="n">
        <v>1</v>
      </c>
      <c r="AA77" s="15" t="n">
        <v>0</v>
      </c>
      <c r="AB77" s="15" t="n">
        <v>0</v>
      </c>
      <c r="AC77" s="15" t="n">
        <v>0</v>
      </c>
      <c r="AD77" s="15" t="n">
        <v>0</v>
      </c>
      <c r="AE77" s="15" t="n">
        <v>1</v>
      </c>
      <c r="AF77" s="15" t="n">
        <v>0</v>
      </c>
      <c r="AG77" s="15" t="n">
        <v>0</v>
      </c>
      <c r="AH77" s="15" t="n">
        <v>1</v>
      </c>
    </row>
    <row r="78" customFormat="false" ht="68.65" hidden="false" customHeight="false" outlineLevel="0" collapsed="false">
      <c r="A78" s="15" t="s">
        <v>705</v>
      </c>
      <c r="B78" s="15" t="s">
        <v>37</v>
      </c>
      <c r="C78" s="15" t="s">
        <v>697</v>
      </c>
      <c r="D78" s="15" t="n">
        <v>65</v>
      </c>
      <c r="E78" s="15" t="s">
        <v>698</v>
      </c>
      <c r="F78" s="15" t="n">
        <v>1</v>
      </c>
      <c r="G78" s="15" t="s">
        <v>197</v>
      </c>
      <c r="H78" s="15" t="s">
        <v>142</v>
      </c>
      <c r="I78" s="3" t="s">
        <v>706</v>
      </c>
      <c r="J78" s="3" t="s">
        <v>707</v>
      </c>
      <c r="K78" s="15" t="s">
        <v>145</v>
      </c>
      <c r="L78" s="16" t="s">
        <v>7</v>
      </c>
      <c r="M78" s="15" t="s">
        <v>66</v>
      </c>
      <c r="N78" s="15" t="s">
        <v>88</v>
      </c>
      <c r="O78" s="15" t="s">
        <v>708</v>
      </c>
      <c r="P78" s="15" t="s">
        <v>135</v>
      </c>
      <c r="Q78" s="15" t="s">
        <v>129</v>
      </c>
      <c r="R78" s="15" t="s">
        <v>135</v>
      </c>
      <c r="S78" s="15"/>
      <c r="T78" s="15"/>
      <c r="U78" s="3" t="s">
        <v>709</v>
      </c>
      <c r="V78" s="3" t="s">
        <v>710</v>
      </c>
      <c r="W78" s="3"/>
      <c r="X78" s="3" t="s">
        <v>711</v>
      </c>
      <c r="Y78" s="15" t="n">
        <v>0</v>
      </c>
      <c r="Z78" s="15" t="n">
        <v>1</v>
      </c>
      <c r="AA78" s="15" t="n">
        <v>0</v>
      </c>
      <c r="AB78" s="15" t="n">
        <v>0</v>
      </c>
      <c r="AC78" s="15" t="n">
        <v>0</v>
      </c>
      <c r="AD78" s="15" t="n">
        <v>0</v>
      </c>
      <c r="AE78" s="15" t="n">
        <v>1</v>
      </c>
      <c r="AF78" s="15" t="n">
        <v>1</v>
      </c>
      <c r="AG78" s="15" t="n">
        <v>0</v>
      </c>
      <c r="AH78" s="15" t="n">
        <v>0</v>
      </c>
    </row>
    <row r="79" customFormat="false" ht="46.25" hidden="false" customHeight="false" outlineLevel="0" collapsed="false">
      <c r="A79" s="15" t="s">
        <v>712</v>
      </c>
      <c r="B79" s="15" t="s">
        <v>37</v>
      </c>
      <c r="C79" s="15" t="s">
        <v>697</v>
      </c>
      <c r="D79" s="15" t="n">
        <v>65</v>
      </c>
      <c r="E79" s="15" t="s">
        <v>698</v>
      </c>
      <c r="F79" s="15" t="n">
        <v>2</v>
      </c>
      <c r="G79" s="15" t="s">
        <v>141</v>
      </c>
      <c r="H79" s="15" t="s">
        <v>142</v>
      </c>
      <c r="I79" s="3" t="s">
        <v>713</v>
      </c>
      <c r="J79" s="3" t="s">
        <v>714</v>
      </c>
      <c r="K79" s="15" t="s">
        <v>133</v>
      </c>
      <c r="L79" s="16" t="s">
        <v>7</v>
      </c>
      <c r="M79" s="15" t="s">
        <v>68</v>
      </c>
      <c r="N79" s="15" t="s">
        <v>82</v>
      </c>
      <c r="O79" s="15" t="s">
        <v>715</v>
      </c>
      <c r="P79" s="15" t="s">
        <v>185</v>
      </c>
      <c r="Q79" s="15" t="s">
        <v>141</v>
      </c>
      <c r="R79" s="15" t="s">
        <v>135</v>
      </c>
      <c r="S79" s="15"/>
      <c r="T79" s="15"/>
      <c r="U79" s="3" t="s">
        <v>716</v>
      </c>
      <c r="V79" s="3" t="s">
        <v>717</v>
      </c>
      <c r="W79" s="3" t="s">
        <v>718</v>
      </c>
      <c r="X79" s="3" t="s">
        <v>719</v>
      </c>
      <c r="Y79" s="15" t="n">
        <v>0</v>
      </c>
      <c r="Z79" s="15" t="n">
        <v>1</v>
      </c>
      <c r="AA79" s="15" t="n">
        <v>1</v>
      </c>
      <c r="AB79" s="15" t="n">
        <v>0</v>
      </c>
      <c r="AC79" s="15" t="n">
        <v>0</v>
      </c>
      <c r="AD79" s="15" t="n">
        <v>1</v>
      </c>
      <c r="AE79" s="15" t="n">
        <v>0</v>
      </c>
      <c r="AF79" s="15" t="n">
        <v>0</v>
      </c>
      <c r="AG79" s="15" t="n">
        <v>0</v>
      </c>
      <c r="AH79" s="15" t="n">
        <v>0</v>
      </c>
    </row>
    <row r="80" customFormat="false" ht="57.45" hidden="false" customHeight="false" outlineLevel="0" collapsed="false">
      <c r="A80" s="15" t="s">
        <v>720</v>
      </c>
      <c r="B80" s="15" t="s">
        <v>37</v>
      </c>
      <c r="C80" s="15" t="s">
        <v>721</v>
      </c>
      <c r="D80" s="15" t="n">
        <v>36</v>
      </c>
      <c r="E80" s="15" t="s">
        <v>722</v>
      </c>
      <c r="F80" s="15" t="n">
        <v>0</v>
      </c>
      <c r="G80" s="15" t="s">
        <v>141</v>
      </c>
      <c r="H80" s="15" t="s">
        <v>142</v>
      </c>
      <c r="I80" s="3" t="s">
        <v>723</v>
      </c>
      <c r="J80" s="3" t="s">
        <v>724</v>
      </c>
      <c r="K80" s="15" t="s">
        <v>133</v>
      </c>
      <c r="L80" s="16" t="s">
        <v>7</v>
      </c>
      <c r="M80" s="15" t="s">
        <v>68</v>
      </c>
      <c r="N80" s="15" t="s">
        <v>84</v>
      </c>
      <c r="O80" s="15" t="s">
        <v>725</v>
      </c>
      <c r="P80" s="15" t="s">
        <v>135</v>
      </c>
      <c r="Q80" s="15" t="s">
        <v>136</v>
      </c>
      <c r="R80" s="15" t="s">
        <v>135</v>
      </c>
      <c r="S80" s="15"/>
      <c r="T80" s="15"/>
      <c r="U80" s="3" t="s">
        <v>726</v>
      </c>
      <c r="V80" s="3" t="s">
        <v>727</v>
      </c>
      <c r="W80" s="3" t="s">
        <v>728</v>
      </c>
      <c r="X80" s="3" t="s">
        <v>729</v>
      </c>
      <c r="Y80" s="15" t="n">
        <v>0</v>
      </c>
      <c r="Z80" s="15" t="n">
        <v>0</v>
      </c>
      <c r="AA80" s="15" t="n">
        <v>0</v>
      </c>
      <c r="AB80" s="15" t="n">
        <v>1</v>
      </c>
      <c r="AC80" s="15" t="n">
        <v>0</v>
      </c>
      <c r="AD80" s="15" t="n">
        <v>0</v>
      </c>
      <c r="AE80" s="15" t="n">
        <v>1</v>
      </c>
      <c r="AF80" s="15" t="n">
        <v>1</v>
      </c>
      <c r="AG80" s="15" t="n">
        <v>0</v>
      </c>
      <c r="AH80" s="15" t="n">
        <v>0</v>
      </c>
    </row>
    <row r="81" customFormat="false" ht="46.25" hidden="false" customHeight="false" outlineLevel="0" collapsed="false">
      <c r="A81" s="15" t="s">
        <v>730</v>
      </c>
      <c r="B81" s="15" t="s">
        <v>37</v>
      </c>
      <c r="C81" s="15" t="s">
        <v>721</v>
      </c>
      <c r="D81" s="15" t="n">
        <v>36</v>
      </c>
      <c r="E81" s="15" t="s">
        <v>722</v>
      </c>
      <c r="F81" s="15" t="n">
        <v>1</v>
      </c>
      <c r="G81" s="15" t="s">
        <v>129</v>
      </c>
      <c r="H81" s="15" t="s">
        <v>130</v>
      </c>
      <c r="I81" s="3" t="s">
        <v>731</v>
      </c>
      <c r="J81" s="3" t="s">
        <v>732</v>
      </c>
      <c r="K81" s="15" t="s">
        <v>145</v>
      </c>
      <c r="L81" s="16" t="s">
        <v>7</v>
      </c>
      <c r="M81" s="15" t="s">
        <v>68</v>
      </c>
      <c r="N81" s="15" t="s">
        <v>82</v>
      </c>
      <c r="O81" s="15" t="s">
        <v>733</v>
      </c>
      <c r="P81" s="15" t="s">
        <v>135</v>
      </c>
      <c r="Q81" s="15" t="s">
        <v>136</v>
      </c>
      <c r="R81" s="15" t="s">
        <v>135</v>
      </c>
      <c r="S81" s="15"/>
      <c r="T81" s="15"/>
      <c r="U81" s="3" t="s">
        <v>734</v>
      </c>
      <c r="V81" s="3" t="s">
        <v>735</v>
      </c>
      <c r="W81" s="3" t="s">
        <v>736</v>
      </c>
      <c r="X81" s="3" t="s">
        <v>737</v>
      </c>
      <c r="Y81" s="15" t="n">
        <v>0</v>
      </c>
      <c r="Z81" s="15" t="n">
        <v>1</v>
      </c>
      <c r="AA81" s="15" t="n">
        <v>0</v>
      </c>
      <c r="AB81" s="15" t="n">
        <v>0</v>
      </c>
      <c r="AC81" s="15" t="n">
        <v>1</v>
      </c>
      <c r="AD81" s="15" t="n">
        <v>0</v>
      </c>
      <c r="AE81" s="15" t="n">
        <v>0</v>
      </c>
      <c r="AF81" s="15" t="n">
        <v>1</v>
      </c>
      <c r="AG81" s="15" t="n">
        <v>0</v>
      </c>
      <c r="AH81" s="15" t="n">
        <v>0</v>
      </c>
    </row>
    <row r="82" customFormat="false" ht="35.05" hidden="false" customHeight="false" outlineLevel="0" collapsed="false">
      <c r="A82" s="15" t="s">
        <v>738</v>
      </c>
      <c r="B82" s="15" t="s">
        <v>37</v>
      </c>
      <c r="C82" s="15" t="s">
        <v>721</v>
      </c>
      <c r="D82" s="15" t="n">
        <v>36</v>
      </c>
      <c r="E82" s="15" t="s">
        <v>722</v>
      </c>
      <c r="F82" s="15" t="n">
        <v>2</v>
      </c>
      <c r="G82" s="15" t="s">
        <v>197</v>
      </c>
      <c r="H82" s="15" t="s">
        <v>142</v>
      </c>
      <c r="I82" s="3" t="s">
        <v>739</v>
      </c>
      <c r="J82" s="3" t="s">
        <v>740</v>
      </c>
      <c r="K82" s="15" t="s">
        <v>133</v>
      </c>
      <c r="L82" s="16" t="s">
        <v>7</v>
      </c>
      <c r="M82" s="15" t="s">
        <v>68</v>
      </c>
      <c r="N82" s="15" t="s">
        <v>84</v>
      </c>
      <c r="O82" s="15" t="s">
        <v>741</v>
      </c>
      <c r="P82" s="15" t="s">
        <v>135</v>
      </c>
      <c r="Q82" s="15" t="s">
        <v>136</v>
      </c>
      <c r="R82" s="15" t="s">
        <v>135</v>
      </c>
      <c r="S82" s="15"/>
      <c r="T82" s="15"/>
      <c r="U82" s="3" t="s">
        <v>742</v>
      </c>
      <c r="V82" s="3" t="s">
        <v>743</v>
      </c>
      <c r="W82" s="3" t="s">
        <v>744</v>
      </c>
      <c r="X82" s="3" t="s">
        <v>745</v>
      </c>
      <c r="Y82" s="15" t="n">
        <v>0</v>
      </c>
      <c r="Z82" s="15" t="n">
        <v>0</v>
      </c>
      <c r="AA82" s="15" t="n">
        <v>0</v>
      </c>
      <c r="AB82" s="15" t="n">
        <v>1</v>
      </c>
      <c r="AC82" s="15" t="n">
        <v>0</v>
      </c>
      <c r="AD82" s="15" t="n">
        <v>0</v>
      </c>
      <c r="AE82" s="15" t="n">
        <v>1</v>
      </c>
      <c r="AF82" s="15" t="n">
        <v>1</v>
      </c>
      <c r="AG82" s="15" t="n">
        <v>0</v>
      </c>
      <c r="AH82" s="15" t="n">
        <v>1</v>
      </c>
    </row>
    <row r="83" customFormat="false" ht="35.05" hidden="false" customHeight="false" outlineLevel="0" collapsed="false">
      <c r="A83" s="15" t="s">
        <v>746</v>
      </c>
      <c r="B83" s="15" t="s">
        <v>37</v>
      </c>
      <c r="C83" s="15" t="s">
        <v>721</v>
      </c>
      <c r="D83" s="15" t="n">
        <v>38</v>
      </c>
      <c r="E83" s="15" t="s">
        <v>747</v>
      </c>
      <c r="F83" s="15" t="n">
        <v>0</v>
      </c>
      <c r="G83" s="15" t="s">
        <v>307</v>
      </c>
      <c r="H83" s="15" t="s">
        <v>308</v>
      </c>
      <c r="I83" s="3" t="s">
        <v>748</v>
      </c>
      <c r="J83" s="3" t="s">
        <v>749</v>
      </c>
      <c r="K83" s="15" t="s">
        <v>133</v>
      </c>
      <c r="L83" s="16" t="s">
        <v>7</v>
      </c>
      <c r="M83" s="15" t="s">
        <v>68</v>
      </c>
      <c r="N83" s="15" t="s">
        <v>82</v>
      </c>
      <c r="O83" s="15" t="s">
        <v>750</v>
      </c>
      <c r="P83" s="15" t="s">
        <v>185</v>
      </c>
      <c r="Q83" s="15" t="s">
        <v>307</v>
      </c>
      <c r="R83" s="15" t="s">
        <v>135</v>
      </c>
      <c r="S83" s="15"/>
      <c r="T83" s="15"/>
      <c r="U83" s="3" t="s">
        <v>751</v>
      </c>
      <c r="V83" s="3" t="s">
        <v>752</v>
      </c>
      <c r="W83" s="3" t="s">
        <v>753</v>
      </c>
      <c r="X83" s="3" t="s">
        <v>754</v>
      </c>
      <c r="Y83" s="15" t="n">
        <v>0</v>
      </c>
      <c r="Z83" s="15" t="n">
        <v>1</v>
      </c>
      <c r="AA83" s="15" t="n">
        <v>0</v>
      </c>
      <c r="AB83" s="15" t="n">
        <v>0</v>
      </c>
      <c r="AC83" s="15" t="n">
        <v>0</v>
      </c>
      <c r="AD83" s="15" t="n">
        <v>0</v>
      </c>
      <c r="AE83" s="15" t="n">
        <v>0</v>
      </c>
      <c r="AF83" s="15" t="n">
        <v>0</v>
      </c>
      <c r="AG83" s="15" t="n">
        <v>1</v>
      </c>
      <c r="AH83" s="15" t="n">
        <v>0</v>
      </c>
    </row>
    <row r="84" customFormat="false" ht="46.25" hidden="false" customHeight="false" outlineLevel="0" collapsed="false">
      <c r="A84" s="15" t="s">
        <v>755</v>
      </c>
      <c r="B84" s="15" t="s">
        <v>37</v>
      </c>
      <c r="C84" s="15" t="s">
        <v>721</v>
      </c>
      <c r="D84" s="15" t="n">
        <v>38</v>
      </c>
      <c r="E84" s="15" t="s">
        <v>747</v>
      </c>
      <c r="F84" s="15" t="n">
        <v>1</v>
      </c>
      <c r="G84" s="15" t="s">
        <v>141</v>
      </c>
      <c r="H84" s="15" t="s">
        <v>142</v>
      </c>
      <c r="I84" s="3" t="s">
        <v>756</v>
      </c>
      <c r="J84" s="3" t="s">
        <v>757</v>
      </c>
      <c r="K84" s="15" t="s">
        <v>145</v>
      </c>
      <c r="L84" s="16" t="s">
        <v>7</v>
      </c>
      <c r="M84" s="15" t="s">
        <v>68</v>
      </c>
      <c r="N84" s="15" t="s">
        <v>82</v>
      </c>
      <c r="O84" s="15" t="s">
        <v>349</v>
      </c>
      <c r="P84" s="15" t="s">
        <v>135</v>
      </c>
      <c r="Q84" s="15" t="s">
        <v>129</v>
      </c>
      <c r="R84" s="15" t="s">
        <v>135</v>
      </c>
      <c r="S84" s="15"/>
      <c r="T84" s="15"/>
      <c r="U84" s="3" t="s">
        <v>758</v>
      </c>
      <c r="V84" s="3" t="s">
        <v>759</v>
      </c>
      <c r="W84" s="3" t="s">
        <v>760</v>
      </c>
      <c r="X84" s="3" t="s">
        <v>761</v>
      </c>
      <c r="Y84" s="15" t="n">
        <v>0</v>
      </c>
      <c r="Z84" s="15" t="n">
        <v>1</v>
      </c>
      <c r="AA84" s="15" t="n">
        <v>0</v>
      </c>
      <c r="AB84" s="15" t="n">
        <v>0</v>
      </c>
      <c r="AC84" s="15" t="n">
        <v>1</v>
      </c>
      <c r="AD84" s="15" t="n">
        <v>0</v>
      </c>
      <c r="AE84" s="15" t="n">
        <v>0</v>
      </c>
      <c r="AF84" s="15" t="n">
        <v>1</v>
      </c>
      <c r="AG84" s="15" t="n">
        <v>0</v>
      </c>
      <c r="AH84" s="15" t="n">
        <v>1</v>
      </c>
    </row>
    <row r="85" customFormat="false" ht="46.25" hidden="false" customHeight="false" outlineLevel="0" collapsed="false">
      <c r="A85" s="15" t="s">
        <v>762</v>
      </c>
      <c r="B85" s="15" t="s">
        <v>37</v>
      </c>
      <c r="C85" s="15" t="s">
        <v>721</v>
      </c>
      <c r="D85" s="15" t="n">
        <v>38</v>
      </c>
      <c r="E85" s="15" t="s">
        <v>747</v>
      </c>
      <c r="F85" s="15" t="n">
        <v>2</v>
      </c>
      <c r="G85" s="15" t="s">
        <v>152</v>
      </c>
      <c r="H85" s="15" t="s">
        <v>142</v>
      </c>
      <c r="I85" s="3" t="s">
        <v>763</v>
      </c>
      <c r="J85" s="3" t="s">
        <v>764</v>
      </c>
      <c r="K85" s="15" t="s">
        <v>133</v>
      </c>
      <c r="L85" s="16" t="s">
        <v>7</v>
      </c>
      <c r="M85" s="15" t="s">
        <v>68</v>
      </c>
      <c r="N85" s="15" t="s">
        <v>82</v>
      </c>
      <c r="O85" s="15" t="s">
        <v>271</v>
      </c>
      <c r="P85" s="15" t="s">
        <v>185</v>
      </c>
      <c r="Q85" s="15" t="s">
        <v>152</v>
      </c>
      <c r="R85" s="15" t="s">
        <v>135</v>
      </c>
      <c r="S85" s="15"/>
      <c r="T85" s="15"/>
      <c r="U85" s="3" t="s">
        <v>765</v>
      </c>
      <c r="V85" s="3" t="s">
        <v>766</v>
      </c>
      <c r="W85" s="3" t="s">
        <v>767</v>
      </c>
      <c r="X85" s="3" t="s">
        <v>768</v>
      </c>
      <c r="Y85" s="15" t="n">
        <v>0</v>
      </c>
      <c r="Z85" s="15" t="n">
        <v>1</v>
      </c>
      <c r="AA85" s="15" t="n">
        <v>0</v>
      </c>
      <c r="AB85" s="15" t="n">
        <v>1</v>
      </c>
      <c r="AC85" s="15" t="n">
        <v>0</v>
      </c>
      <c r="AD85" s="15" t="n">
        <v>0</v>
      </c>
      <c r="AE85" s="15" t="n">
        <v>0</v>
      </c>
      <c r="AF85" s="15" t="n">
        <v>0</v>
      </c>
      <c r="AG85" s="15" t="n">
        <v>0</v>
      </c>
      <c r="AH85" s="15" t="n">
        <v>0</v>
      </c>
    </row>
    <row r="86" customFormat="false" ht="35.05" hidden="false" customHeight="false" outlineLevel="0" collapsed="false">
      <c r="A86" s="15" t="s">
        <v>769</v>
      </c>
      <c r="B86" s="15" t="s">
        <v>37</v>
      </c>
      <c r="C86" s="15" t="s">
        <v>721</v>
      </c>
      <c r="D86" s="15" t="n">
        <v>40</v>
      </c>
      <c r="E86" s="15" t="s">
        <v>770</v>
      </c>
      <c r="F86" s="15" t="n">
        <v>0</v>
      </c>
      <c r="G86" s="15" t="s">
        <v>141</v>
      </c>
      <c r="H86" s="15" t="s">
        <v>142</v>
      </c>
      <c r="I86" s="3" t="s">
        <v>771</v>
      </c>
      <c r="J86" s="3" t="s">
        <v>772</v>
      </c>
      <c r="K86" s="15" t="s">
        <v>133</v>
      </c>
      <c r="L86" s="16" t="s">
        <v>7</v>
      </c>
      <c r="M86" s="15" t="s">
        <v>68</v>
      </c>
      <c r="N86" s="15" t="s">
        <v>82</v>
      </c>
      <c r="O86" s="15" t="s">
        <v>176</v>
      </c>
      <c r="P86" s="15" t="s">
        <v>135</v>
      </c>
      <c r="Q86" s="15" t="s">
        <v>136</v>
      </c>
      <c r="R86" s="15" t="s">
        <v>135</v>
      </c>
      <c r="S86" s="15"/>
      <c r="T86" s="15"/>
      <c r="U86" s="3" t="s">
        <v>773</v>
      </c>
      <c r="V86" s="3" t="s">
        <v>774</v>
      </c>
      <c r="W86" s="3"/>
      <c r="X86" s="3" t="s">
        <v>775</v>
      </c>
      <c r="Y86" s="15" t="n">
        <v>0</v>
      </c>
      <c r="Z86" s="15" t="n">
        <v>1</v>
      </c>
      <c r="AA86" s="15" t="n">
        <v>0</v>
      </c>
      <c r="AB86" s="15" t="n">
        <v>0</v>
      </c>
      <c r="AC86" s="15" t="n">
        <v>1</v>
      </c>
      <c r="AD86" s="15" t="n">
        <v>0</v>
      </c>
      <c r="AE86" s="15" t="n">
        <v>0</v>
      </c>
      <c r="AF86" s="15" t="n">
        <v>1</v>
      </c>
      <c r="AG86" s="15" t="n">
        <v>0</v>
      </c>
      <c r="AH86" s="15" t="n">
        <v>0</v>
      </c>
    </row>
    <row r="87" customFormat="false" ht="35.05" hidden="false" customHeight="false" outlineLevel="0" collapsed="false">
      <c r="A87" s="15" t="s">
        <v>776</v>
      </c>
      <c r="B87" s="15" t="s">
        <v>37</v>
      </c>
      <c r="C87" s="15" t="s">
        <v>721</v>
      </c>
      <c r="D87" s="15" t="n">
        <v>40</v>
      </c>
      <c r="E87" s="15" t="s">
        <v>770</v>
      </c>
      <c r="F87" s="15" t="n">
        <v>1</v>
      </c>
      <c r="G87" s="15" t="s">
        <v>152</v>
      </c>
      <c r="H87" s="15" t="s">
        <v>142</v>
      </c>
      <c r="I87" s="3" t="s">
        <v>777</v>
      </c>
      <c r="J87" s="3" t="s">
        <v>778</v>
      </c>
      <c r="K87" s="15" t="s">
        <v>145</v>
      </c>
      <c r="L87" s="16" t="s">
        <v>7</v>
      </c>
      <c r="M87" s="15" t="s">
        <v>68</v>
      </c>
      <c r="N87" s="15" t="s">
        <v>82</v>
      </c>
      <c r="O87" s="15" t="s">
        <v>222</v>
      </c>
      <c r="P87" s="15" t="s">
        <v>135</v>
      </c>
      <c r="Q87" s="15" t="s">
        <v>129</v>
      </c>
      <c r="R87" s="15" t="s">
        <v>135</v>
      </c>
      <c r="S87" s="15"/>
      <c r="T87" s="15"/>
      <c r="U87" s="3" t="s">
        <v>779</v>
      </c>
      <c r="V87" s="3" t="s">
        <v>780</v>
      </c>
      <c r="W87" s="3" t="s">
        <v>781</v>
      </c>
      <c r="X87" s="3" t="s">
        <v>782</v>
      </c>
      <c r="Y87" s="15" t="n">
        <v>0</v>
      </c>
      <c r="Z87" s="15" t="n">
        <v>1</v>
      </c>
      <c r="AA87" s="15" t="n">
        <v>0</v>
      </c>
      <c r="AB87" s="15" t="n">
        <v>0</v>
      </c>
      <c r="AC87" s="15" t="n">
        <v>0</v>
      </c>
      <c r="AD87" s="15" t="n">
        <v>0</v>
      </c>
      <c r="AE87" s="15" t="n">
        <v>0</v>
      </c>
      <c r="AF87" s="15" t="n">
        <v>1</v>
      </c>
      <c r="AG87" s="15" t="n">
        <v>0</v>
      </c>
      <c r="AH87" s="15" t="n">
        <v>1</v>
      </c>
    </row>
    <row r="88" customFormat="false" ht="23.85" hidden="false" customHeight="false" outlineLevel="0" collapsed="false">
      <c r="A88" s="15" t="s">
        <v>783</v>
      </c>
      <c r="B88" s="15" t="s">
        <v>37</v>
      </c>
      <c r="C88" s="15" t="s">
        <v>721</v>
      </c>
      <c r="D88" s="15" t="n">
        <v>40</v>
      </c>
      <c r="E88" s="15" t="s">
        <v>770</v>
      </c>
      <c r="F88" s="15" t="n">
        <v>2</v>
      </c>
      <c r="G88" s="15" t="s">
        <v>129</v>
      </c>
      <c r="H88" s="15" t="s">
        <v>130</v>
      </c>
      <c r="I88" s="3" t="s">
        <v>784</v>
      </c>
      <c r="J88" s="3" t="s">
        <v>785</v>
      </c>
      <c r="K88" s="15" t="s">
        <v>133</v>
      </c>
      <c r="L88" s="16" t="s">
        <v>7</v>
      </c>
      <c r="M88" s="15" t="s">
        <v>68</v>
      </c>
      <c r="N88" s="15" t="s">
        <v>82</v>
      </c>
      <c r="O88" s="15" t="s">
        <v>215</v>
      </c>
      <c r="P88" s="15" t="s">
        <v>135</v>
      </c>
      <c r="Q88" s="15" t="s">
        <v>136</v>
      </c>
      <c r="R88" s="15" t="s">
        <v>135</v>
      </c>
      <c r="S88" s="15"/>
      <c r="T88" s="15"/>
      <c r="U88" s="3" t="s">
        <v>786</v>
      </c>
      <c r="V88" s="3" t="s">
        <v>787</v>
      </c>
      <c r="W88" s="3"/>
      <c r="X88" s="3" t="s">
        <v>788</v>
      </c>
      <c r="Y88" s="15" t="n">
        <v>0</v>
      </c>
      <c r="Z88" s="15" t="n">
        <v>1</v>
      </c>
      <c r="AA88" s="15" t="n">
        <v>0</v>
      </c>
      <c r="AB88" s="15" t="n">
        <v>0</v>
      </c>
      <c r="AC88" s="15" t="n">
        <v>0</v>
      </c>
      <c r="AD88" s="15" t="n">
        <v>0</v>
      </c>
      <c r="AE88" s="15" t="n">
        <v>0</v>
      </c>
      <c r="AF88" s="15" t="n">
        <v>1</v>
      </c>
      <c r="AG88" s="15" t="n">
        <v>0</v>
      </c>
      <c r="AH88" s="15" t="n">
        <v>0</v>
      </c>
    </row>
    <row r="89" customFormat="false" ht="35.05" hidden="false" customHeight="false" outlineLevel="0" collapsed="false">
      <c r="A89" s="15" t="s">
        <v>789</v>
      </c>
      <c r="B89" s="15" t="s">
        <v>37</v>
      </c>
      <c r="C89" s="15" t="s">
        <v>721</v>
      </c>
      <c r="D89" s="15" t="n">
        <v>42</v>
      </c>
      <c r="E89" s="15" t="s">
        <v>790</v>
      </c>
      <c r="F89" s="15" t="n">
        <v>0</v>
      </c>
      <c r="G89" s="15" t="s">
        <v>197</v>
      </c>
      <c r="H89" s="15" t="s">
        <v>142</v>
      </c>
      <c r="I89" s="3" t="s">
        <v>791</v>
      </c>
      <c r="J89" s="3" t="s">
        <v>792</v>
      </c>
      <c r="K89" s="15" t="s">
        <v>133</v>
      </c>
      <c r="L89" s="16" t="s">
        <v>7</v>
      </c>
      <c r="M89" s="15" t="s">
        <v>68</v>
      </c>
      <c r="N89" s="15" t="s">
        <v>82</v>
      </c>
      <c r="O89" s="15" t="s">
        <v>134</v>
      </c>
      <c r="P89" s="15" t="s">
        <v>135</v>
      </c>
      <c r="Q89" s="15" t="s">
        <v>307</v>
      </c>
      <c r="R89" s="15" t="s">
        <v>135</v>
      </c>
      <c r="S89" s="15"/>
      <c r="T89" s="15"/>
      <c r="U89" s="3" t="s">
        <v>793</v>
      </c>
      <c r="V89" s="3" t="s">
        <v>794</v>
      </c>
      <c r="W89" s="3" t="s">
        <v>795</v>
      </c>
      <c r="X89" s="3" t="s">
        <v>796</v>
      </c>
      <c r="Y89" s="15" t="n">
        <v>0</v>
      </c>
      <c r="Z89" s="15" t="n">
        <v>1</v>
      </c>
      <c r="AA89" s="15" t="n">
        <v>0</v>
      </c>
      <c r="AB89" s="15" t="n">
        <v>0</v>
      </c>
      <c r="AC89" s="15" t="n">
        <v>0</v>
      </c>
      <c r="AD89" s="15" t="n">
        <v>1</v>
      </c>
      <c r="AE89" s="15" t="n">
        <v>0</v>
      </c>
      <c r="AF89" s="15" t="n">
        <v>1</v>
      </c>
      <c r="AG89" s="15" t="n">
        <v>0</v>
      </c>
      <c r="AH89" s="15" t="n">
        <v>0</v>
      </c>
    </row>
    <row r="90" customFormat="false" ht="46.25" hidden="false" customHeight="false" outlineLevel="0" collapsed="false">
      <c r="A90" s="15" t="s">
        <v>797</v>
      </c>
      <c r="B90" s="15" t="s">
        <v>37</v>
      </c>
      <c r="C90" s="15" t="s">
        <v>721</v>
      </c>
      <c r="D90" s="15" t="n">
        <v>42</v>
      </c>
      <c r="E90" s="15" t="s">
        <v>790</v>
      </c>
      <c r="F90" s="15" t="n">
        <v>1</v>
      </c>
      <c r="G90" s="15" t="s">
        <v>152</v>
      </c>
      <c r="H90" s="15" t="s">
        <v>142</v>
      </c>
      <c r="I90" s="3" t="s">
        <v>798</v>
      </c>
      <c r="J90" s="3" t="s">
        <v>799</v>
      </c>
      <c r="K90" s="15" t="s">
        <v>133</v>
      </c>
      <c r="L90" s="16" t="s">
        <v>7</v>
      </c>
      <c r="M90" s="15" t="s">
        <v>68</v>
      </c>
      <c r="N90" s="15" t="s">
        <v>82</v>
      </c>
      <c r="O90" s="15" t="s">
        <v>651</v>
      </c>
      <c r="P90" s="15" t="s">
        <v>185</v>
      </c>
      <c r="Q90" s="15" t="s">
        <v>152</v>
      </c>
      <c r="R90" s="15" t="s">
        <v>135</v>
      </c>
      <c r="S90" s="15"/>
      <c r="T90" s="15"/>
      <c r="U90" s="3" t="s">
        <v>800</v>
      </c>
      <c r="V90" s="3" t="s">
        <v>801</v>
      </c>
      <c r="W90" s="3"/>
      <c r="X90" s="3" t="s">
        <v>802</v>
      </c>
      <c r="Y90" s="15" t="n">
        <v>0</v>
      </c>
      <c r="Z90" s="15" t="n">
        <v>1</v>
      </c>
      <c r="AA90" s="15" t="n">
        <v>0</v>
      </c>
      <c r="AB90" s="15" t="n">
        <v>0</v>
      </c>
      <c r="AC90" s="15" t="n">
        <v>0</v>
      </c>
      <c r="AD90" s="15" t="n">
        <v>1</v>
      </c>
      <c r="AE90" s="15" t="n">
        <v>0</v>
      </c>
      <c r="AF90" s="15" t="n">
        <v>0</v>
      </c>
      <c r="AG90" s="15" t="n">
        <v>0</v>
      </c>
      <c r="AH90" s="15" t="n">
        <v>0</v>
      </c>
    </row>
    <row r="91" customFormat="false" ht="35.05" hidden="false" customHeight="false" outlineLevel="0" collapsed="false">
      <c r="A91" s="15" t="s">
        <v>803</v>
      </c>
      <c r="B91" s="15" t="s">
        <v>37</v>
      </c>
      <c r="C91" s="15" t="s">
        <v>721</v>
      </c>
      <c r="D91" s="15" t="n">
        <v>42</v>
      </c>
      <c r="E91" s="15" t="s">
        <v>790</v>
      </c>
      <c r="F91" s="15" t="n">
        <v>2</v>
      </c>
      <c r="G91" s="15" t="s">
        <v>141</v>
      </c>
      <c r="H91" s="15" t="s">
        <v>142</v>
      </c>
      <c r="I91" s="3" t="s">
        <v>804</v>
      </c>
      <c r="J91" s="3" t="s">
        <v>805</v>
      </c>
      <c r="K91" s="15" t="s">
        <v>133</v>
      </c>
      <c r="L91" s="16" t="s">
        <v>7</v>
      </c>
      <c r="M91" s="15" t="s">
        <v>68</v>
      </c>
      <c r="N91" s="15" t="s">
        <v>82</v>
      </c>
      <c r="O91" s="15" t="s">
        <v>215</v>
      </c>
      <c r="P91" s="15" t="s">
        <v>135</v>
      </c>
      <c r="Q91" s="15" t="s">
        <v>307</v>
      </c>
      <c r="R91" s="15" t="s">
        <v>135</v>
      </c>
      <c r="S91" s="15"/>
      <c r="T91" s="15"/>
      <c r="U91" s="3" t="s">
        <v>806</v>
      </c>
      <c r="V91" s="3" t="s">
        <v>807</v>
      </c>
      <c r="W91" s="3" t="s">
        <v>808</v>
      </c>
      <c r="X91" s="3" t="s">
        <v>809</v>
      </c>
      <c r="Y91" s="15" t="n">
        <v>0</v>
      </c>
      <c r="Z91" s="15" t="n">
        <v>1</v>
      </c>
      <c r="AA91" s="15" t="n">
        <v>0</v>
      </c>
      <c r="AB91" s="15" t="n">
        <v>0</v>
      </c>
      <c r="AC91" s="15" t="n">
        <v>0</v>
      </c>
      <c r="AD91" s="15" t="n">
        <v>0</v>
      </c>
      <c r="AE91" s="15" t="n">
        <v>0</v>
      </c>
      <c r="AF91" s="15" t="n">
        <v>1</v>
      </c>
      <c r="AG91" s="15" t="n">
        <v>0</v>
      </c>
      <c r="AH91" s="15" t="n">
        <v>0</v>
      </c>
    </row>
    <row r="92" customFormat="false" ht="23.85" hidden="false" customHeight="false" outlineLevel="0" collapsed="false">
      <c r="A92" s="15" t="s">
        <v>810</v>
      </c>
      <c r="B92" s="15" t="s">
        <v>37</v>
      </c>
      <c r="C92" s="15" t="s">
        <v>811</v>
      </c>
      <c r="D92" s="15" t="n">
        <v>26</v>
      </c>
      <c r="E92" s="15" t="s">
        <v>812</v>
      </c>
      <c r="F92" s="15" t="n">
        <v>0</v>
      </c>
      <c r="G92" s="15" t="s">
        <v>197</v>
      </c>
      <c r="H92" s="15" t="s">
        <v>142</v>
      </c>
      <c r="I92" s="3" t="s">
        <v>813</v>
      </c>
      <c r="J92" s="3" t="s">
        <v>814</v>
      </c>
      <c r="K92" s="15" t="s">
        <v>133</v>
      </c>
      <c r="L92" s="16" t="s">
        <v>7</v>
      </c>
      <c r="M92" s="15" t="s">
        <v>66</v>
      </c>
      <c r="N92" s="15" t="s">
        <v>89</v>
      </c>
      <c r="O92" s="15" t="s">
        <v>815</v>
      </c>
      <c r="P92" s="15" t="s">
        <v>185</v>
      </c>
      <c r="Q92" s="15" t="s">
        <v>197</v>
      </c>
      <c r="R92" s="15" t="s">
        <v>135</v>
      </c>
      <c r="S92" s="15"/>
      <c r="T92" s="15"/>
      <c r="U92" s="3" t="s">
        <v>816</v>
      </c>
      <c r="V92" s="3" t="s">
        <v>817</v>
      </c>
      <c r="W92" s="3"/>
      <c r="X92" s="3" t="s">
        <v>818</v>
      </c>
      <c r="Y92" s="15" t="n">
        <v>0</v>
      </c>
      <c r="Z92" s="15" t="n">
        <v>0</v>
      </c>
      <c r="AA92" s="15" t="n">
        <v>0</v>
      </c>
      <c r="AB92" s="15" t="n">
        <v>0</v>
      </c>
      <c r="AC92" s="15" t="n">
        <v>0</v>
      </c>
      <c r="AD92" s="15" t="n">
        <v>1</v>
      </c>
      <c r="AE92" s="15" t="n">
        <v>0</v>
      </c>
      <c r="AF92" s="15" t="n">
        <v>0</v>
      </c>
      <c r="AG92" s="15" t="n">
        <v>1</v>
      </c>
      <c r="AH92" s="15" t="n">
        <v>0</v>
      </c>
    </row>
    <row r="93" customFormat="false" ht="35.05" hidden="false" customHeight="false" outlineLevel="0" collapsed="false">
      <c r="A93" s="15" t="s">
        <v>819</v>
      </c>
      <c r="B93" s="15" t="s">
        <v>37</v>
      </c>
      <c r="C93" s="15" t="s">
        <v>811</v>
      </c>
      <c r="D93" s="15" t="n">
        <v>26</v>
      </c>
      <c r="E93" s="15" t="s">
        <v>812</v>
      </c>
      <c r="F93" s="15" t="n">
        <v>1</v>
      </c>
      <c r="G93" s="15" t="s">
        <v>152</v>
      </c>
      <c r="H93" s="15" t="s">
        <v>142</v>
      </c>
      <c r="I93" s="3" t="s">
        <v>820</v>
      </c>
      <c r="J93" s="3" t="s">
        <v>821</v>
      </c>
      <c r="K93" s="15" t="s">
        <v>133</v>
      </c>
      <c r="L93" s="16" t="s">
        <v>7</v>
      </c>
      <c r="M93" s="15" t="s">
        <v>66</v>
      </c>
      <c r="N93" s="15" t="s">
        <v>88</v>
      </c>
      <c r="O93" s="15" t="s">
        <v>822</v>
      </c>
      <c r="P93" s="15" t="s">
        <v>135</v>
      </c>
      <c r="Q93" s="15" t="s">
        <v>197</v>
      </c>
      <c r="R93" s="15" t="s">
        <v>135</v>
      </c>
      <c r="S93" s="15"/>
      <c r="T93" s="15"/>
      <c r="U93" s="3" t="s">
        <v>823</v>
      </c>
      <c r="V93" s="3" t="s">
        <v>824</v>
      </c>
      <c r="W93" s="3"/>
      <c r="X93" s="3" t="s">
        <v>825</v>
      </c>
      <c r="Y93" s="15" t="n">
        <v>0</v>
      </c>
      <c r="Z93" s="15" t="n">
        <v>0</v>
      </c>
      <c r="AA93" s="15" t="n">
        <v>0</v>
      </c>
      <c r="AB93" s="15" t="n">
        <v>0</v>
      </c>
      <c r="AC93" s="15" t="n">
        <v>0</v>
      </c>
      <c r="AD93" s="15" t="n">
        <v>1</v>
      </c>
      <c r="AE93" s="15" t="n">
        <v>0</v>
      </c>
      <c r="AF93" s="15" t="n">
        <v>1</v>
      </c>
      <c r="AG93" s="15" t="n">
        <v>1</v>
      </c>
      <c r="AH93" s="15" t="n">
        <v>0</v>
      </c>
    </row>
    <row r="94" customFormat="false" ht="46.25" hidden="false" customHeight="false" outlineLevel="0" collapsed="false">
      <c r="A94" s="15" t="s">
        <v>826</v>
      </c>
      <c r="B94" s="15" t="s">
        <v>37</v>
      </c>
      <c r="C94" s="15" t="s">
        <v>811</v>
      </c>
      <c r="D94" s="15" t="n">
        <v>26</v>
      </c>
      <c r="E94" s="15" t="s">
        <v>812</v>
      </c>
      <c r="F94" s="15" t="n">
        <v>2</v>
      </c>
      <c r="G94" s="15" t="s">
        <v>129</v>
      </c>
      <c r="H94" s="15" t="s">
        <v>130</v>
      </c>
      <c r="I94" s="3" t="s">
        <v>827</v>
      </c>
      <c r="J94" s="3" t="s">
        <v>828</v>
      </c>
      <c r="K94" s="15" t="s">
        <v>145</v>
      </c>
      <c r="L94" s="16" t="s">
        <v>7</v>
      </c>
      <c r="M94" s="15" t="s">
        <v>66</v>
      </c>
      <c r="N94" s="15" t="s">
        <v>90</v>
      </c>
      <c r="O94" s="15" t="s">
        <v>829</v>
      </c>
      <c r="P94" s="15" t="s">
        <v>185</v>
      </c>
      <c r="Q94" s="15" t="s">
        <v>129</v>
      </c>
      <c r="R94" s="15" t="s">
        <v>185</v>
      </c>
      <c r="S94" s="15"/>
      <c r="T94" s="15"/>
      <c r="U94" s="3" t="s">
        <v>830</v>
      </c>
      <c r="V94" s="3" t="s">
        <v>831</v>
      </c>
      <c r="W94" s="3" t="s">
        <v>832</v>
      </c>
      <c r="X94" s="3" t="s">
        <v>833</v>
      </c>
      <c r="Y94" s="15" t="n">
        <v>0</v>
      </c>
      <c r="Z94" s="15" t="n">
        <v>0</v>
      </c>
      <c r="AA94" s="15" t="n">
        <v>0</v>
      </c>
      <c r="AB94" s="15" t="n">
        <v>0</v>
      </c>
      <c r="AC94" s="15" t="n">
        <v>0</v>
      </c>
      <c r="AD94" s="15" t="n">
        <v>0</v>
      </c>
      <c r="AE94" s="15" t="n">
        <v>0</v>
      </c>
      <c r="AF94" s="15" t="n">
        <v>0</v>
      </c>
      <c r="AG94" s="15" t="n">
        <v>1</v>
      </c>
      <c r="AH94" s="15" t="n">
        <v>1</v>
      </c>
    </row>
    <row r="95" customFormat="false" ht="35.05" hidden="false" customHeight="false" outlineLevel="0" collapsed="false">
      <c r="A95" s="15" t="s">
        <v>834</v>
      </c>
      <c r="B95" s="15" t="s">
        <v>37</v>
      </c>
      <c r="C95" s="15" t="s">
        <v>811</v>
      </c>
      <c r="D95" s="15" t="n">
        <v>35</v>
      </c>
      <c r="E95" s="15" t="s">
        <v>835</v>
      </c>
      <c r="F95" s="15" t="n">
        <v>0</v>
      </c>
      <c r="G95" s="15" t="s">
        <v>129</v>
      </c>
      <c r="H95" s="15" t="s">
        <v>130</v>
      </c>
      <c r="I95" s="3" t="s">
        <v>836</v>
      </c>
      <c r="J95" s="3" t="s">
        <v>837</v>
      </c>
      <c r="K95" s="15" t="s">
        <v>133</v>
      </c>
      <c r="L95" s="16" t="s">
        <v>7</v>
      </c>
      <c r="M95" s="15" t="s">
        <v>68</v>
      </c>
      <c r="N95" s="15" t="s">
        <v>85</v>
      </c>
      <c r="O95" s="15" t="s">
        <v>838</v>
      </c>
      <c r="P95" s="15" t="s">
        <v>185</v>
      </c>
      <c r="Q95" s="15" t="s">
        <v>129</v>
      </c>
      <c r="R95" s="15" t="s">
        <v>135</v>
      </c>
      <c r="S95" s="15"/>
      <c r="T95" s="15"/>
      <c r="U95" s="3" t="s">
        <v>839</v>
      </c>
      <c r="V95" s="3" t="s">
        <v>840</v>
      </c>
      <c r="W95" s="3" t="s">
        <v>841</v>
      </c>
      <c r="X95" s="3" t="s">
        <v>842</v>
      </c>
      <c r="Y95" s="15" t="n">
        <v>0</v>
      </c>
      <c r="Z95" s="15" t="n">
        <v>1</v>
      </c>
      <c r="AA95" s="15" t="n">
        <v>0</v>
      </c>
      <c r="AB95" s="15" t="n">
        <v>0</v>
      </c>
      <c r="AC95" s="15" t="n">
        <v>1</v>
      </c>
      <c r="AD95" s="15" t="n">
        <v>0</v>
      </c>
      <c r="AE95" s="15" t="n">
        <v>0</v>
      </c>
      <c r="AF95" s="15" t="n">
        <v>0</v>
      </c>
      <c r="AG95" s="15" t="n">
        <v>0</v>
      </c>
      <c r="AH95" s="15" t="n">
        <v>0</v>
      </c>
    </row>
    <row r="96" customFormat="false" ht="35.05" hidden="false" customHeight="false" outlineLevel="0" collapsed="false">
      <c r="A96" s="15" t="s">
        <v>843</v>
      </c>
      <c r="B96" s="15" t="s">
        <v>37</v>
      </c>
      <c r="C96" s="15" t="s">
        <v>811</v>
      </c>
      <c r="D96" s="15" t="n">
        <v>35</v>
      </c>
      <c r="E96" s="15" t="s">
        <v>835</v>
      </c>
      <c r="F96" s="15" t="n">
        <v>1</v>
      </c>
      <c r="G96" s="15" t="s">
        <v>197</v>
      </c>
      <c r="H96" s="15" t="s">
        <v>142</v>
      </c>
      <c r="I96" s="3" t="s">
        <v>844</v>
      </c>
      <c r="J96" s="3" t="s">
        <v>845</v>
      </c>
      <c r="K96" s="15" t="s">
        <v>145</v>
      </c>
      <c r="L96" s="18" t="s">
        <v>5</v>
      </c>
      <c r="M96" s="15" t="s">
        <v>426</v>
      </c>
      <c r="N96" s="15" t="s">
        <v>426</v>
      </c>
      <c r="O96" s="15"/>
      <c r="P96" s="15" t="s">
        <v>185</v>
      </c>
      <c r="Q96" s="15" t="s">
        <v>197</v>
      </c>
      <c r="R96" s="15" t="s">
        <v>185</v>
      </c>
      <c r="S96" s="15"/>
      <c r="T96" s="15"/>
      <c r="U96" s="3" t="s">
        <v>846</v>
      </c>
      <c r="V96" s="3" t="s">
        <v>847</v>
      </c>
      <c r="W96" s="3"/>
      <c r="X96" s="3"/>
      <c r="Y96" s="15" t="n">
        <v>0</v>
      </c>
      <c r="Z96" s="15" t="n">
        <v>0</v>
      </c>
      <c r="AA96" s="15" t="n">
        <v>0</v>
      </c>
      <c r="AB96" s="15" t="n">
        <v>0</v>
      </c>
      <c r="AC96" s="15" t="n">
        <v>0</v>
      </c>
      <c r="AD96" s="15" t="n">
        <v>0</v>
      </c>
      <c r="AE96" s="15" t="n">
        <v>0</v>
      </c>
      <c r="AF96" s="15" t="n">
        <v>0</v>
      </c>
      <c r="AG96" s="15" t="n">
        <v>0</v>
      </c>
      <c r="AH96" s="15" t="n">
        <v>0</v>
      </c>
    </row>
    <row r="97" customFormat="false" ht="35.05" hidden="false" customHeight="false" outlineLevel="0" collapsed="false">
      <c r="A97" s="15" t="s">
        <v>848</v>
      </c>
      <c r="B97" s="15" t="s">
        <v>37</v>
      </c>
      <c r="C97" s="15" t="s">
        <v>811</v>
      </c>
      <c r="D97" s="15" t="n">
        <v>35</v>
      </c>
      <c r="E97" s="15" t="s">
        <v>835</v>
      </c>
      <c r="F97" s="15" t="n">
        <v>2</v>
      </c>
      <c r="G97" s="15" t="s">
        <v>141</v>
      </c>
      <c r="H97" s="15" t="s">
        <v>142</v>
      </c>
      <c r="I97" s="3" t="s">
        <v>849</v>
      </c>
      <c r="J97" s="3" t="s">
        <v>850</v>
      </c>
      <c r="K97" s="15" t="s">
        <v>133</v>
      </c>
      <c r="L97" s="16" t="s">
        <v>7</v>
      </c>
      <c r="M97" s="15" t="s">
        <v>68</v>
      </c>
      <c r="N97" s="15" t="s">
        <v>82</v>
      </c>
      <c r="O97" s="15" t="s">
        <v>215</v>
      </c>
      <c r="P97" s="15" t="s">
        <v>135</v>
      </c>
      <c r="Q97" s="15" t="s">
        <v>129</v>
      </c>
      <c r="R97" s="15" t="s">
        <v>135</v>
      </c>
      <c r="S97" s="15"/>
      <c r="T97" s="15"/>
      <c r="U97" s="3" t="s">
        <v>851</v>
      </c>
      <c r="V97" s="3" t="s">
        <v>852</v>
      </c>
      <c r="W97" s="3" t="s">
        <v>853</v>
      </c>
      <c r="X97" s="3" t="s">
        <v>854</v>
      </c>
      <c r="Y97" s="15" t="n">
        <v>0</v>
      </c>
      <c r="Z97" s="15" t="n">
        <v>1</v>
      </c>
      <c r="AA97" s="15" t="n">
        <v>0</v>
      </c>
      <c r="AB97" s="15" t="n">
        <v>0</v>
      </c>
      <c r="AC97" s="15" t="n">
        <v>0</v>
      </c>
      <c r="AD97" s="15" t="n">
        <v>0</v>
      </c>
      <c r="AE97" s="15" t="n">
        <v>0</v>
      </c>
      <c r="AF97" s="15" t="n">
        <v>1</v>
      </c>
      <c r="AG97" s="15" t="n">
        <v>0</v>
      </c>
      <c r="AH97" s="15" t="n">
        <v>0</v>
      </c>
    </row>
    <row r="98" customFormat="false" ht="46.25" hidden="false" customHeight="false" outlineLevel="0" collapsed="false">
      <c r="A98" s="15" t="s">
        <v>855</v>
      </c>
      <c r="B98" s="15" t="s">
        <v>37</v>
      </c>
      <c r="C98" s="15" t="s">
        <v>811</v>
      </c>
      <c r="D98" s="15" t="n">
        <v>39</v>
      </c>
      <c r="E98" s="15" t="s">
        <v>856</v>
      </c>
      <c r="F98" s="15" t="n">
        <v>0</v>
      </c>
      <c r="G98" s="15" t="s">
        <v>129</v>
      </c>
      <c r="H98" s="15" t="s">
        <v>130</v>
      </c>
      <c r="I98" s="3" t="s">
        <v>857</v>
      </c>
      <c r="J98" s="3" t="s">
        <v>858</v>
      </c>
      <c r="K98" s="15" t="s">
        <v>133</v>
      </c>
      <c r="L98" s="16" t="s">
        <v>7</v>
      </c>
      <c r="M98" s="15" t="s">
        <v>66</v>
      </c>
      <c r="N98" s="15" t="s">
        <v>90</v>
      </c>
      <c r="O98" s="15" t="s">
        <v>90</v>
      </c>
      <c r="P98" s="15" t="s">
        <v>185</v>
      </c>
      <c r="Q98" s="15" t="s">
        <v>129</v>
      </c>
      <c r="R98" s="15" t="s">
        <v>185</v>
      </c>
      <c r="S98" s="15"/>
      <c r="T98" s="15"/>
      <c r="U98" s="3" t="s">
        <v>859</v>
      </c>
      <c r="V98" s="3" t="s">
        <v>860</v>
      </c>
      <c r="W98" s="3" t="s">
        <v>861</v>
      </c>
      <c r="X98" s="3" t="s">
        <v>862</v>
      </c>
      <c r="Y98" s="15" t="n">
        <v>0</v>
      </c>
      <c r="Z98" s="15" t="n">
        <v>0</v>
      </c>
      <c r="AA98" s="15" t="n">
        <v>0</v>
      </c>
      <c r="AB98" s="15" t="n">
        <v>0</v>
      </c>
      <c r="AC98" s="15" t="n">
        <v>0</v>
      </c>
      <c r="AD98" s="15" t="n">
        <v>0</v>
      </c>
      <c r="AE98" s="15" t="n">
        <v>0</v>
      </c>
      <c r="AF98" s="15" t="n">
        <v>0</v>
      </c>
      <c r="AG98" s="15" t="n">
        <v>0</v>
      </c>
      <c r="AH98" s="15" t="n">
        <v>1</v>
      </c>
    </row>
    <row r="99" customFormat="false" ht="46.25" hidden="false" customHeight="false" outlineLevel="0" collapsed="false">
      <c r="A99" s="15" t="s">
        <v>863</v>
      </c>
      <c r="B99" s="15" t="s">
        <v>37</v>
      </c>
      <c r="C99" s="15" t="s">
        <v>811</v>
      </c>
      <c r="D99" s="15" t="n">
        <v>39</v>
      </c>
      <c r="E99" s="15" t="s">
        <v>856</v>
      </c>
      <c r="F99" s="15" t="n">
        <v>1</v>
      </c>
      <c r="G99" s="15" t="s">
        <v>152</v>
      </c>
      <c r="H99" s="15" t="s">
        <v>142</v>
      </c>
      <c r="I99" s="3" t="s">
        <v>864</v>
      </c>
      <c r="J99" s="3" t="s">
        <v>865</v>
      </c>
      <c r="K99" s="15" t="s">
        <v>145</v>
      </c>
      <c r="L99" s="17" t="s">
        <v>9</v>
      </c>
      <c r="M99" s="15" t="s">
        <v>70</v>
      </c>
      <c r="N99" s="15" t="s">
        <v>81</v>
      </c>
      <c r="O99" s="15" t="s">
        <v>866</v>
      </c>
      <c r="P99" s="15" t="s">
        <v>135</v>
      </c>
      <c r="Q99" s="15" t="s">
        <v>152</v>
      </c>
      <c r="R99" s="15" t="s">
        <v>135</v>
      </c>
      <c r="S99" s="15" t="s">
        <v>326</v>
      </c>
      <c r="T99" s="15" t="s">
        <v>327</v>
      </c>
      <c r="U99" s="3" t="s">
        <v>867</v>
      </c>
      <c r="V99" s="3" t="s">
        <v>868</v>
      </c>
      <c r="W99" s="3"/>
      <c r="X99" s="3"/>
      <c r="Y99" s="15" t="n">
        <v>1</v>
      </c>
      <c r="Z99" s="15" t="n">
        <v>1</v>
      </c>
      <c r="AA99" s="15" t="n">
        <v>0</v>
      </c>
      <c r="AB99" s="15" t="n">
        <v>0</v>
      </c>
      <c r="AC99" s="15" t="n">
        <v>1</v>
      </c>
      <c r="AD99" s="15" t="n">
        <v>0</v>
      </c>
      <c r="AE99" s="15" t="n">
        <v>0</v>
      </c>
      <c r="AF99" s="15" t="n">
        <v>0</v>
      </c>
      <c r="AG99" s="15" t="n">
        <v>0</v>
      </c>
      <c r="AH99" s="15" t="n">
        <v>0</v>
      </c>
    </row>
    <row r="100" customFormat="false" ht="46.25" hidden="false" customHeight="false" outlineLevel="0" collapsed="false">
      <c r="A100" s="15" t="s">
        <v>869</v>
      </c>
      <c r="B100" s="15" t="s">
        <v>37</v>
      </c>
      <c r="C100" s="15" t="s">
        <v>811</v>
      </c>
      <c r="D100" s="15" t="n">
        <v>39</v>
      </c>
      <c r="E100" s="15" t="s">
        <v>856</v>
      </c>
      <c r="F100" s="15" t="n">
        <v>2</v>
      </c>
      <c r="G100" s="15" t="s">
        <v>141</v>
      </c>
      <c r="H100" s="15" t="s">
        <v>142</v>
      </c>
      <c r="I100" s="3" t="s">
        <v>870</v>
      </c>
      <c r="J100" s="3" t="s">
        <v>871</v>
      </c>
      <c r="K100" s="15" t="s">
        <v>133</v>
      </c>
      <c r="L100" s="16" t="s">
        <v>7</v>
      </c>
      <c r="M100" s="15" t="s">
        <v>68</v>
      </c>
      <c r="N100" s="15" t="s">
        <v>82</v>
      </c>
      <c r="O100" s="15" t="s">
        <v>215</v>
      </c>
      <c r="P100" s="15" t="s">
        <v>135</v>
      </c>
      <c r="Q100" s="15" t="s">
        <v>129</v>
      </c>
      <c r="R100" s="15" t="s">
        <v>135</v>
      </c>
      <c r="S100" s="15"/>
      <c r="T100" s="15"/>
      <c r="U100" s="3" t="s">
        <v>872</v>
      </c>
      <c r="V100" s="3" t="s">
        <v>873</v>
      </c>
      <c r="W100" s="3"/>
      <c r="X100" s="3" t="s">
        <v>874</v>
      </c>
      <c r="Y100" s="15" t="n">
        <v>0</v>
      </c>
      <c r="Z100" s="15" t="n">
        <v>1</v>
      </c>
      <c r="AA100" s="15" t="n">
        <v>0</v>
      </c>
      <c r="AB100" s="15" t="n">
        <v>0</v>
      </c>
      <c r="AC100" s="15" t="n">
        <v>0</v>
      </c>
      <c r="AD100" s="15" t="n">
        <v>0</v>
      </c>
      <c r="AE100" s="15" t="n">
        <v>0</v>
      </c>
      <c r="AF100" s="15" t="n">
        <v>1</v>
      </c>
      <c r="AG100" s="15" t="n">
        <v>0</v>
      </c>
      <c r="AH100" s="15" t="n">
        <v>0</v>
      </c>
    </row>
    <row r="101" customFormat="false" ht="46.25" hidden="false" customHeight="false" outlineLevel="0" collapsed="false">
      <c r="A101" s="15" t="s">
        <v>875</v>
      </c>
      <c r="B101" s="15" t="s">
        <v>37</v>
      </c>
      <c r="C101" s="15" t="s">
        <v>811</v>
      </c>
      <c r="D101" s="15" t="n">
        <v>40</v>
      </c>
      <c r="E101" s="15" t="s">
        <v>876</v>
      </c>
      <c r="F101" s="15" t="n">
        <v>0</v>
      </c>
      <c r="G101" s="15" t="s">
        <v>141</v>
      </c>
      <c r="H101" s="15" t="s">
        <v>142</v>
      </c>
      <c r="I101" s="3" t="s">
        <v>877</v>
      </c>
      <c r="J101" s="3" t="s">
        <v>878</v>
      </c>
      <c r="K101" s="15" t="s">
        <v>133</v>
      </c>
      <c r="L101" s="16" t="s">
        <v>7</v>
      </c>
      <c r="M101" s="15" t="s">
        <v>66</v>
      </c>
      <c r="N101" s="15" t="s">
        <v>90</v>
      </c>
      <c r="O101" s="15" t="s">
        <v>879</v>
      </c>
      <c r="P101" s="15" t="s">
        <v>135</v>
      </c>
      <c r="Q101" s="15" t="s">
        <v>129</v>
      </c>
      <c r="R101" s="15" t="s">
        <v>135</v>
      </c>
      <c r="S101" s="15"/>
      <c r="T101" s="15"/>
      <c r="U101" s="3" t="s">
        <v>880</v>
      </c>
      <c r="V101" s="3" t="s">
        <v>881</v>
      </c>
      <c r="W101" s="3" t="s">
        <v>882</v>
      </c>
      <c r="X101" s="3" t="s">
        <v>883</v>
      </c>
      <c r="Y101" s="15" t="n">
        <v>0</v>
      </c>
      <c r="Z101" s="15" t="n">
        <v>0</v>
      </c>
      <c r="AA101" s="15" t="n">
        <v>0</v>
      </c>
      <c r="AB101" s="15" t="n">
        <v>0</v>
      </c>
      <c r="AC101" s="15" t="n">
        <v>0</v>
      </c>
      <c r="AD101" s="15" t="n">
        <v>1</v>
      </c>
      <c r="AE101" s="15" t="n">
        <v>0</v>
      </c>
      <c r="AF101" s="15" t="n">
        <v>1</v>
      </c>
      <c r="AG101" s="15" t="n">
        <v>0</v>
      </c>
      <c r="AH101" s="15" t="n">
        <v>1</v>
      </c>
    </row>
    <row r="102" customFormat="false" ht="46.25" hidden="false" customHeight="false" outlineLevel="0" collapsed="false">
      <c r="A102" s="15" t="s">
        <v>884</v>
      </c>
      <c r="B102" s="15" t="s">
        <v>37</v>
      </c>
      <c r="C102" s="15" t="s">
        <v>811</v>
      </c>
      <c r="D102" s="15" t="n">
        <v>40</v>
      </c>
      <c r="E102" s="15" t="s">
        <v>876</v>
      </c>
      <c r="F102" s="15" t="n">
        <v>1</v>
      </c>
      <c r="G102" s="15" t="s">
        <v>152</v>
      </c>
      <c r="H102" s="15" t="s">
        <v>142</v>
      </c>
      <c r="I102" s="3" t="s">
        <v>885</v>
      </c>
      <c r="J102" s="3" t="s">
        <v>886</v>
      </c>
      <c r="K102" s="15" t="s">
        <v>145</v>
      </c>
      <c r="L102" s="16" t="s">
        <v>7</v>
      </c>
      <c r="M102" s="15" t="s">
        <v>68</v>
      </c>
      <c r="N102" s="15" t="s">
        <v>82</v>
      </c>
      <c r="O102" s="15" t="s">
        <v>651</v>
      </c>
      <c r="P102" s="15" t="s">
        <v>185</v>
      </c>
      <c r="Q102" s="15" t="s">
        <v>152</v>
      </c>
      <c r="R102" s="15" t="s">
        <v>135</v>
      </c>
      <c r="S102" s="15"/>
      <c r="T102" s="15"/>
      <c r="U102" s="3" t="s">
        <v>887</v>
      </c>
      <c r="V102" s="3" t="s">
        <v>888</v>
      </c>
      <c r="W102" s="3"/>
      <c r="X102" s="3" t="s">
        <v>889</v>
      </c>
      <c r="Y102" s="15" t="n">
        <v>0</v>
      </c>
      <c r="Z102" s="15" t="n">
        <v>1</v>
      </c>
      <c r="AA102" s="15" t="n">
        <v>0</v>
      </c>
      <c r="AB102" s="15" t="n">
        <v>0</v>
      </c>
      <c r="AC102" s="15" t="n">
        <v>0</v>
      </c>
      <c r="AD102" s="15" t="n">
        <v>1</v>
      </c>
      <c r="AE102" s="15" t="n">
        <v>0</v>
      </c>
      <c r="AF102" s="15" t="n">
        <v>0</v>
      </c>
      <c r="AG102" s="15" t="n">
        <v>0</v>
      </c>
      <c r="AH102" s="15" t="n">
        <v>0</v>
      </c>
    </row>
    <row r="103" customFormat="false" ht="35.05" hidden="false" customHeight="false" outlineLevel="0" collapsed="false">
      <c r="A103" s="15" t="s">
        <v>890</v>
      </c>
      <c r="B103" s="15" t="s">
        <v>37</v>
      </c>
      <c r="C103" s="15" t="s">
        <v>811</v>
      </c>
      <c r="D103" s="15" t="n">
        <v>40</v>
      </c>
      <c r="E103" s="15" t="s">
        <v>876</v>
      </c>
      <c r="F103" s="15" t="n">
        <v>2</v>
      </c>
      <c r="G103" s="15" t="s">
        <v>129</v>
      </c>
      <c r="H103" s="15" t="s">
        <v>130</v>
      </c>
      <c r="I103" s="3" t="s">
        <v>891</v>
      </c>
      <c r="J103" s="3" t="s">
        <v>892</v>
      </c>
      <c r="K103" s="15" t="s">
        <v>133</v>
      </c>
      <c r="L103" s="16" t="s">
        <v>7</v>
      </c>
      <c r="M103" s="15" t="s">
        <v>66</v>
      </c>
      <c r="N103" s="15" t="s">
        <v>90</v>
      </c>
      <c r="O103" s="15" t="s">
        <v>893</v>
      </c>
      <c r="P103" s="15" t="s">
        <v>185</v>
      </c>
      <c r="Q103" s="15" t="s">
        <v>129</v>
      </c>
      <c r="R103" s="15" t="s">
        <v>135</v>
      </c>
      <c r="S103" s="15"/>
      <c r="T103" s="15"/>
      <c r="U103" s="3" t="s">
        <v>894</v>
      </c>
      <c r="V103" s="3" t="s">
        <v>895</v>
      </c>
      <c r="W103" s="3" t="s">
        <v>896</v>
      </c>
      <c r="X103" s="3" t="s">
        <v>897</v>
      </c>
      <c r="Y103" s="15" t="n">
        <v>0</v>
      </c>
      <c r="Z103" s="15" t="n">
        <v>0</v>
      </c>
      <c r="AA103" s="15" t="n">
        <v>0</v>
      </c>
      <c r="AB103" s="15" t="n">
        <v>0</v>
      </c>
      <c r="AC103" s="15" t="n">
        <v>0</v>
      </c>
      <c r="AD103" s="15" t="n">
        <v>1</v>
      </c>
      <c r="AE103" s="15" t="n">
        <v>0</v>
      </c>
      <c r="AF103" s="15" t="n">
        <v>0</v>
      </c>
      <c r="AG103" s="15" t="n">
        <v>0</v>
      </c>
      <c r="AH103" s="15" t="n">
        <v>1</v>
      </c>
    </row>
    <row r="104" customFormat="false" ht="57.45" hidden="false" customHeight="false" outlineLevel="0" collapsed="false">
      <c r="A104" s="15" t="s">
        <v>898</v>
      </c>
      <c r="B104" s="15" t="s">
        <v>37</v>
      </c>
      <c r="C104" s="15" t="s">
        <v>811</v>
      </c>
      <c r="D104" s="15" t="n">
        <v>43</v>
      </c>
      <c r="E104" s="15" t="s">
        <v>899</v>
      </c>
      <c r="F104" s="15" t="n">
        <v>0</v>
      </c>
      <c r="G104" s="15" t="s">
        <v>129</v>
      </c>
      <c r="H104" s="15" t="s">
        <v>130</v>
      </c>
      <c r="I104" s="3" t="s">
        <v>900</v>
      </c>
      <c r="J104" s="3" t="s">
        <v>901</v>
      </c>
      <c r="K104" s="15" t="s">
        <v>133</v>
      </c>
      <c r="L104" s="16" t="s">
        <v>7</v>
      </c>
      <c r="M104" s="15" t="s">
        <v>66</v>
      </c>
      <c r="N104" s="15" t="s">
        <v>90</v>
      </c>
      <c r="O104" s="15" t="s">
        <v>293</v>
      </c>
      <c r="P104" s="15" t="s">
        <v>185</v>
      </c>
      <c r="Q104" s="15" t="s">
        <v>129</v>
      </c>
      <c r="R104" s="15" t="s">
        <v>135</v>
      </c>
      <c r="S104" s="15"/>
      <c r="T104" s="15"/>
      <c r="U104" s="3" t="s">
        <v>902</v>
      </c>
      <c r="V104" s="3" t="s">
        <v>903</v>
      </c>
      <c r="W104" s="3" t="s">
        <v>904</v>
      </c>
      <c r="X104" s="3" t="s">
        <v>905</v>
      </c>
      <c r="Y104" s="15" t="n">
        <v>0</v>
      </c>
      <c r="Z104" s="15" t="n">
        <v>0</v>
      </c>
      <c r="AA104" s="15" t="n">
        <v>0</v>
      </c>
      <c r="AB104" s="15" t="n">
        <v>0</v>
      </c>
      <c r="AC104" s="15" t="n">
        <v>0</v>
      </c>
      <c r="AD104" s="15" t="n">
        <v>0</v>
      </c>
      <c r="AE104" s="15" t="n">
        <v>1</v>
      </c>
      <c r="AF104" s="15" t="n">
        <v>0</v>
      </c>
      <c r="AG104" s="15" t="n">
        <v>0</v>
      </c>
      <c r="AH104" s="15" t="n">
        <v>1</v>
      </c>
    </row>
    <row r="105" customFormat="false" ht="46.25" hidden="false" customHeight="false" outlineLevel="0" collapsed="false">
      <c r="A105" s="15" t="s">
        <v>906</v>
      </c>
      <c r="B105" s="15" t="s">
        <v>37</v>
      </c>
      <c r="C105" s="15" t="s">
        <v>811</v>
      </c>
      <c r="D105" s="15" t="n">
        <v>43</v>
      </c>
      <c r="E105" s="15" t="s">
        <v>899</v>
      </c>
      <c r="F105" s="15" t="n">
        <v>1</v>
      </c>
      <c r="G105" s="15" t="s">
        <v>141</v>
      </c>
      <c r="H105" s="15" t="s">
        <v>142</v>
      </c>
      <c r="I105" s="3" t="s">
        <v>907</v>
      </c>
      <c r="J105" s="3" t="s">
        <v>908</v>
      </c>
      <c r="K105" s="15" t="s">
        <v>145</v>
      </c>
      <c r="L105" s="16" t="s">
        <v>7</v>
      </c>
      <c r="M105" s="15" t="s">
        <v>68</v>
      </c>
      <c r="N105" s="15" t="s">
        <v>85</v>
      </c>
      <c r="O105" s="15" t="s">
        <v>733</v>
      </c>
      <c r="P105" s="15" t="s">
        <v>135</v>
      </c>
      <c r="Q105" s="15" t="s">
        <v>152</v>
      </c>
      <c r="R105" s="15" t="s">
        <v>135</v>
      </c>
      <c r="S105" s="15"/>
      <c r="T105" s="15"/>
      <c r="U105" s="3" t="s">
        <v>909</v>
      </c>
      <c r="V105" s="3" t="s">
        <v>910</v>
      </c>
      <c r="W105" s="3"/>
      <c r="X105" s="3" t="s">
        <v>911</v>
      </c>
      <c r="Y105" s="15" t="n">
        <v>0</v>
      </c>
      <c r="Z105" s="15" t="n">
        <v>1</v>
      </c>
      <c r="AA105" s="15" t="n">
        <v>0</v>
      </c>
      <c r="AB105" s="15" t="n">
        <v>0</v>
      </c>
      <c r="AC105" s="15" t="n">
        <v>1</v>
      </c>
      <c r="AD105" s="15" t="n">
        <v>0</v>
      </c>
      <c r="AE105" s="15" t="n">
        <v>0</v>
      </c>
      <c r="AF105" s="15" t="n">
        <v>1</v>
      </c>
      <c r="AG105" s="15" t="n">
        <v>0</v>
      </c>
      <c r="AH105" s="15" t="n">
        <v>0</v>
      </c>
    </row>
    <row r="106" customFormat="false" ht="57.45" hidden="false" customHeight="false" outlineLevel="0" collapsed="false">
      <c r="A106" s="15" t="s">
        <v>912</v>
      </c>
      <c r="B106" s="15" t="s">
        <v>37</v>
      </c>
      <c r="C106" s="15" t="s">
        <v>811</v>
      </c>
      <c r="D106" s="15" t="n">
        <v>43</v>
      </c>
      <c r="E106" s="15" t="s">
        <v>899</v>
      </c>
      <c r="F106" s="15" t="n">
        <v>2</v>
      </c>
      <c r="G106" s="15" t="s">
        <v>152</v>
      </c>
      <c r="H106" s="15" t="s">
        <v>142</v>
      </c>
      <c r="I106" s="3" t="s">
        <v>913</v>
      </c>
      <c r="J106" s="3" t="s">
        <v>914</v>
      </c>
      <c r="K106" s="15" t="s">
        <v>133</v>
      </c>
      <c r="L106" s="16" t="s">
        <v>7</v>
      </c>
      <c r="M106" s="15" t="s">
        <v>68</v>
      </c>
      <c r="N106" s="15" t="s">
        <v>85</v>
      </c>
      <c r="O106" s="15" t="s">
        <v>915</v>
      </c>
      <c r="P106" s="15" t="s">
        <v>185</v>
      </c>
      <c r="Q106" s="15" t="s">
        <v>152</v>
      </c>
      <c r="R106" s="15" t="s">
        <v>135</v>
      </c>
      <c r="S106" s="15"/>
      <c r="T106" s="15"/>
      <c r="U106" s="3" t="s">
        <v>916</v>
      </c>
      <c r="V106" s="3" t="s">
        <v>917</v>
      </c>
      <c r="W106" s="3" t="s">
        <v>918</v>
      </c>
      <c r="X106" s="3" t="s">
        <v>919</v>
      </c>
      <c r="Y106" s="15" t="n">
        <v>0</v>
      </c>
      <c r="Z106" s="15" t="n">
        <v>1</v>
      </c>
      <c r="AA106" s="15" t="n">
        <v>0</v>
      </c>
      <c r="AB106" s="15" t="n">
        <v>1</v>
      </c>
      <c r="AC106" s="15" t="n">
        <v>1</v>
      </c>
      <c r="AD106" s="15" t="n">
        <v>0</v>
      </c>
      <c r="AE106" s="15" t="n">
        <v>0</v>
      </c>
      <c r="AF106" s="15" t="n">
        <v>0</v>
      </c>
      <c r="AG106" s="15" t="n">
        <v>0</v>
      </c>
      <c r="AH106" s="15" t="n">
        <v>0</v>
      </c>
    </row>
    <row r="107" customFormat="false" ht="35.05" hidden="false" customHeight="false" outlineLevel="0" collapsed="false">
      <c r="A107" s="15" t="s">
        <v>920</v>
      </c>
      <c r="B107" s="15" t="s">
        <v>37</v>
      </c>
      <c r="C107" s="15" t="s">
        <v>811</v>
      </c>
      <c r="D107" s="15" t="n">
        <v>53</v>
      </c>
      <c r="E107" s="15" t="s">
        <v>921</v>
      </c>
      <c r="F107" s="15" t="n">
        <v>0</v>
      </c>
      <c r="G107" s="15" t="s">
        <v>129</v>
      </c>
      <c r="H107" s="15" t="s">
        <v>130</v>
      </c>
      <c r="I107" s="3" t="s">
        <v>922</v>
      </c>
      <c r="J107" s="3" t="s">
        <v>923</v>
      </c>
      <c r="K107" s="15" t="s">
        <v>133</v>
      </c>
      <c r="L107" s="16" t="s">
        <v>7</v>
      </c>
      <c r="M107" s="15" t="s">
        <v>68</v>
      </c>
      <c r="N107" s="15" t="s">
        <v>82</v>
      </c>
      <c r="O107" s="15" t="s">
        <v>349</v>
      </c>
      <c r="P107" s="15" t="s">
        <v>135</v>
      </c>
      <c r="Q107" s="15" t="s">
        <v>136</v>
      </c>
      <c r="R107" s="15" t="s">
        <v>135</v>
      </c>
      <c r="S107" s="15"/>
      <c r="T107" s="15"/>
      <c r="U107" s="3" t="s">
        <v>924</v>
      </c>
      <c r="V107" s="3" t="s">
        <v>925</v>
      </c>
      <c r="W107" s="3" t="s">
        <v>926</v>
      </c>
      <c r="X107" s="3" t="s">
        <v>927</v>
      </c>
      <c r="Y107" s="15" t="n">
        <v>0</v>
      </c>
      <c r="Z107" s="15" t="n">
        <v>1</v>
      </c>
      <c r="AA107" s="15" t="n">
        <v>0</v>
      </c>
      <c r="AB107" s="15" t="n">
        <v>0</v>
      </c>
      <c r="AC107" s="15" t="n">
        <v>1</v>
      </c>
      <c r="AD107" s="15" t="n">
        <v>0</v>
      </c>
      <c r="AE107" s="15" t="n">
        <v>0</v>
      </c>
      <c r="AF107" s="15" t="n">
        <v>1</v>
      </c>
      <c r="AG107" s="15" t="n">
        <v>0</v>
      </c>
      <c r="AH107" s="15" t="n">
        <v>1</v>
      </c>
    </row>
    <row r="108" customFormat="false" ht="46.25" hidden="false" customHeight="false" outlineLevel="0" collapsed="false">
      <c r="A108" s="15" t="s">
        <v>928</v>
      </c>
      <c r="B108" s="15" t="s">
        <v>37</v>
      </c>
      <c r="C108" s="15" t="s">
        <v>811</v>
      </c>
      <c r="D108" s="15" t="n">
        <v>53</v>
      </c>
      <c r="E108" s="15" t="s">
        <v>921</v>
      </c>
      <c r="F108" s="15" t="n">
        <v>1</v>
      </c>
      <c r="G108" s="15" t="s">
        <v>141</v>
      </c>
      <c r="H108" s="15" t="s">
        <v>142</v>
      </c>
      <c r="I108" s="3" t="s">
        <v>929</v>
      </c>
      <c r="J108" s="3" t="s">
        <v>930</v>
      </c>
      <c r="K108" s="15" t="s">
        <v>145</v>
      </c>
      <c r="L108" s="16" t="s">
        <v>7</v>
      </c>
      <c r="M108" s="15" t="s">
        <v>68</v>
      </c>
      <c r="N108" s="15" t="s">
        <v>83</v>
      </c>
      <c r="O108" s="15" t="s">
        <v>931</v>
      </c>
      <c r="P108" s="15" t="s">
        <v>135</v>
      </c>
      <c r="Q108" s="15" t="s">
        <v>307</v>
      </c>
      <c r="R108" s="15" t="s">
        <v>135</v>
      </c>
      <c r="S108" s="15"/>
      <c r="T108" s="15"/>
      <c r="U108" s="3" t="s">
        <v>932</v>
      </c>
      <c r="V108" s="3" t="s">
        <v>933</v>
      </c>
      <c r="W108" s="3" t="s">
        <v>934</v>
      </c>
      <c r="X108" s="3" t="s">
        <v>935</v>
      </c>
      <c r="Y108" s="15" t="n">
        <v>0</v>
      </c>
      <c r="Z108" s="15" t="n">
        <v>1</v>
      </c>
      <c r="AA108" s="15" t="n">
        <v>1</v>
      </c>
      <c r="AB108" s="15" t="n">
        <v>1</v>
      </c>
      <c r="AC108" s="15" t="n">
        <v>0</v>
      </c>
      <c r="AD108" s="15" t="n">
        <v>0</v>
      </c>
      <c r="AE108" s="15" t="n">
        <v>0</v>
      </c>
      <c r="AF108" s="15" t="n">
        <v>1</v>
      </c>
      <c r="AG108" s="15" t="n">
        <v>0</v>
      </c>
      <c r="AH108" s="15" t="n">
        <v>1</v>
      </c>
    </row>
    <row r="109" customFormat="false" ht="35.05" hidden="false" customHeight="false" outlineLevel="0" collapsed="false">
      <c r="A109" s="15" t="s">
        <v>936</v>
      </c>
      <c r="B109" s="15" t="s">
        <v>37</v>
      </c>
      <c r="C109" s="15" t="s">
        <v>811</v>
      </c>
      <c r="D109" s="15" t="n">
        <v>53</v>
      </c>
      <c r="E109" s="15" t="s">
        <v>921</v>
      </c>
      <c r="F109" s="15" t="n">
        <v>2</v>
      </c>
      <c r="G109" s="15" t="s">
        <v>197</v>
      </c>
      <c r="H109" s="15" t="s">
        <v>142</v>
      </c>
      <c r="I109" s="3" t="s">
        <v>937</v>
      </c>
      <c r="J109" s="3" t="s">
        <v>938</v>
      </c>
      <c r="K109" s="15" t="s">
        <v>133</v>
      </c>
      <c r="L109" s="16" t="s">
        <v>7</v>
      </c>
      <c r="M109" s="15" t="s">
        <v>66</v>
      </c>
      <c r="N109" s="15" t="s">
        <v>88</v>
      </c>
      <c r="O109" s="15" t="s">
        <v>88</v>
      </c>
      <c r="P109" s="15" t="s">
        <v>135</v>
      </c>
      <c r="Q109" s="15" t="s">
        <v>129</v>
      </c>
      <c r="R109" s="15" t="s">
        <v>185</v>
      </c>
      <c r="S109" s="15"/>
      <c r="T109" s="15"/>
      <c r="U109" s="3" t="s">
        <v>939</v>
      </c>
      <c r="V109" s="3" t="s">
        <v>940</v>
      </c>
      <c r="W109" s="3"/>
      <c r="X109" s="3" t="s">
        <v>941</v>
      </c>
      <c r="Y109" s="15" t="n">
        <v>0</v>
      </c>
      <c r="Z109" s="15" t="n">
        <v>0</v>
      </c>
      <c r="AA109" s="15" t="n">
        <v>0</v>
      </c>
      <c r="AB109" s="15" t="n">
        <v>0</v>
      </c>
      <c r="AC109" s="15" t="n">
        <v>0</v>
      </c>
      <c r="AD109" s="15" t="n">
        <v>0</v>
      </c>
      <c r="AE109" s="15" t="n">
        <v>0</v>
      </c>
      <c r="AF109" s="15" t="n">
        <v>1</v>
      </c>
      <c r="AG109" s="15" t="n">
        <v>0</v>
      </c>
      <c r="AH109" s="15" t="n">
        <v>0</v>
      </c>
    </row>
    <row r="110" customFormat="false" ht="57.45" hidden="false" customHeight="false" outlineLevel="0" collapsed="false">
      <c r="A110" s="15" t="s">
        <v>942</v>
      </c>
      <c r="B110" s="15" t="s">
        <v>37</v>
      </c>
      <c r="C110" s="15" t="s">
        <v>811</v>
      </c>
      <c r="D110" s="15" t="n">
        <v>54</v>
      </c>
      <c r="E110" s="15" t="s">
        <v>943</v>
      </c>
      <c r="F110" s="15" t="n">
        <v>0</v>
      </c>
      <c r="G110" s="15" t="s">
        <v>129</v>
      </c>
      <c r="H110" s="15" t="s">
        <v>130</v>
      </c>
      <c r="I110" s="3" t="s">
        <v>944</v>
      </c>
      <c r="J110" s="3" t="s">
        <v>945</v>
      </c>
      <c r="K110" s="15" t="s">
        <v>133</v>
      </c>
      <c r="L110" s="16" t="s">
        <v>7</v>
      </c>
      <c r="M110" s="15" t="s">
        <v>68</v>
      </c>
      <c r="N110" s="15" t="s">
        <v>82</v>
      </c>
      <c r="O110" s="15" t="s">
        <v>651</v>
      </c>
      <c r="P110" s="15" t="s">
        <v>185</v>
      </c>
      <c r="Q110" s="15" t="s">
        <v>129</v>
      </c>
      <c r="R110" s="15" t="s">
        <v>135</v>
      </c>
      <c r="S110" s="15"/>
      <c r="T110" s="15"/>
      <c r="U110" s="3" t="s">
        <v>946</v>
      </c>
      <c r="V110" s="3" t="s">
        <v>947</v>
      </c>
      <c r="W110" s="3"/>
      <c r="X110" s="3" t="s">
        <v>948</v>
      </c>
      <c r="Y110" s="15" t="n">
        <v>0</v>
      </c>
      <c r="Z110" s="15" t="n">
        <v>1</v>
      </c>
      <c r="AA110" s="15" t="n">
        <v>0</v>
      </c>
      <c r="AB110" s="15" t="n">
        <v>0</v>
      </c>
      <c r="AC110" s="15" t="n">
        <v>0</v>
      </c>
      <c r="AD110" s="15" t="n">
        <v>1</v>
      </c>
      <c r="AE110" s="15" t="n">
        <v>0</v>
      </c>
      <c r="AF110" s="15" t="n">
        <v>0</v>
      </c>
      <c r="AG110" s="15" t="n">
        <v>0</v>
      </c>
      <c r="AH110" s="15" t="n">
        <v>0</v>
      </c>
    </row>
    <row r="111" customFormat="false" ht="46.25" hidden="false" customHeight="false" outlineLevel="0" collapsed="false">
      <c r="A111" s="15" t="s">
        <v>949</v>
      </c>
      <c r="B111" s="15" t="s">
        <v>37</v>
      </c>
      <c r="C111" s="15" t="s">
        <v>811</v>
      </c>
      <c r="D111" s="15" t="n">
        <v>54</v>
      </c>
      <c r="E111" s="15" t="s">
        <v>943</v>
      </c>
      <c r="F111" s="15" t="n">
        <v>1</v>
      </c>
      <c r="G111" s="15" t="s">
        <v>141</v>
      </c>
      <c r="H111" s="15" t="s">
        <v>142</v>
      </c>
      <c r="I111" s="3" t="s">
        <v>950</v>
      </c>
      <c r="J111" s="3" t="s">
        <v>951</v>
      </c>
      <c r="K111" s="15" t="s">
        <v>133</v>
      </c>
      <c r="L111" s="16" t="s">
        <v>7</v>
      </c>
      <c r="M111" s="15" t="s">
        <v>68</v>
      </c>
      <c r="N111" s="15" t="s">
        <v>83</v>
      </c>
      <c r="O111" s="15" t="s">
        <v>952</v>
      </c>
      <c r="P111" s="15" t="s">
        <v>135</v>
      </c>
      <c r="Q111" s="15" t="s">
        <v>307</v>
      </c>
      <c r="R111" s="15" t="s">
        <v>135</v>
      </c>
      <c r="S111" s="15"/>
      <c r="T111" s="15"/>
      <c r="U111" s="3" t="s">
        <v>953</v>
      </c>
      <c r="V111" s="3" t="s">
        <v>954</v>
      </c>
      <c r="W111" s="3" t="s">
        <v>955</v>
      </c>
      <c r="X111" s="3" t="s">
        <v>956</v>
      </c>
      <c r="Y111" s="15" t="n">
        <v>0</v>
      </c>
      <c r="Z111" s="15" t="n">
        <v>0</v>
      </c>
      <c r="AA111" s="15" t="n">
        <v>1</v>
      </c>
      <c r="AB111" s="15" t="n">
        <v>1</v>
      </c>
      <c r="AC111" s="15" t="n">
        <v>0</v>
      </c>
      <c r="AD111" s="15" t="n">
        <v>0</v>
      </c>
      <c r="AE111" s="15" t="n">
        <v>0</v>
      </c>
      <c r="AF111" s="15" t="n">
        <v>1</v>
      </c>
      <c r="AG111" s="15" t="n">
        <v>0</v>
      </c>
      <c r="AH111" s="15" t="n">
        <v>1</v>
      </c>
    </row>
    <row r="112" customFormat="false" ht="46.25" hidden="false" customHeight="false" outlineLevel="0" collapsed="false">
      <c r="A112" s="15" t="s">
        <v>957</v>
      </c>
      <c r="B112" s="15" t="s">
        <v>37</v>
      </c>
      <c r="C112" s="15" t="s">
        <v>811</v>
      </c>
      <c r="D112" s="15" t="n">
        <v>54</v>
      </c>
      <c r="E112" s="15" t="s">
        <v>943</v>
      </c>
      <c r="F112" s="15" t="n">
        <v>2</v>
      </c>
      <c r="G112" s="15" t="s">
        <v>197</v>
      </c>
      <c r="H112" s="15" t="s">
        <v>142</v>
      </c>
      <c r="I112" s="3" t="s">
        <v>958</v>
      </c>
      <c r="J112" s="3" t="s">
        <v>959</v>
      </c>
      <c r="K112" s="15" t="s">
        <v>145</v>
      </c>
      <c r="L112" s="16" t="s">
        <v>7</v>
      </c>
      <c r="M112" s="15" t="s">
        <v>68</v>
      </c>
      <c r="N112" s="15" t="s">
        <v>82</v>
      </c>
      <c r="O112" s="15" t="s">
        <v>960</v>
      </c>
      <c r="P112" s="15" t="s">
        <v>135</v>
      </c>
      <c r="Q112" s="15" t="s">
        <v>136</v>
      </c>
      <c r="R112" s="15" t="s">
        <v>135</v>
      </c>
      <c r="S112" s="15"/>
      <c r="T112" s="15"/>
      <c r="U112" s="3" t="s">
        <v>961</v>
      </c>
      <c r="V112" s="3" t="s">
        <v>962</v>
      </c>
      <c r="W112" s="3" t="s">
        <v>963</v>
      </c>
      <c r="X112" s="3" t="s">
        <v>964</v>
      </c>
      <c r="Y112" s="15" t="n">
        <v>0</v>
      </c>
      <c r="Z112" s="15" t="n">
        <v>1</v>
      </c>
      <c r="AA112" s="15" t="n">
        <v>0</v>
      </c>
      <c r="AB112" s="15" t="n">
        <v>0</v>
      </c>
      <c r="AC112" s="15" t="n">
        <v>0</v>
      </c>
      <c r="AD112" s="15" t="n">
        <v>0</v>
      </c>
      <c r="AE112" s="15" t="n">
        <v>1</v>
      </c>
      <c r="AF112" s="15" t="n">
        <v>1</v>
      </c>
      <c r="AG112" s="15" t="n">
        <v>0</v>
      </c>
      <c r="AH112" s="15" t="n">
        <v>1</v>
      </c>
    </row>
    <row r="113" customFormat="false" ht="46.25" hidden="false" customHeight="false" outlineLevel="0" collapsed="false">
      <c r="A113" s="15" t="s">
        <v>965</v>
      </c>
      <c r="B113" s="15" t="s">
        <v>37</v>
      </c>
      <c r="C113" s="15" t="s">
        <v>811</v>
      </c>
      <c r="D113" s="15" t="n">
        <v>57</v>
      </c>
      <c r="E113" s="15" t="s">
        <v>966</v>
      </c>
      <c r="F113" s="15" t="n">
        <v>0</v>
      </c>
      <c r="G113" s="15" t="s">
        <v>129</v>
      </c>
      <c r="H113" s="15" t="s">
        <v>130</v>
      </c>
      <c r="I113" s="3" t="s">
        <v>967</v>
      </c>
      <c r="J113" s="3" t="s">
        <v>968</v>
      </c>
      <c r="K113" s="15" t="s">
        <v>133</v>
      </c>
      <c r="L113" s="16" t="s">
        <v>7</v>
      </c>
      <c r="M113" s="15" t="s">
        <v>68</v>
      </c>
      <c r="N113" s="15" t="s">
        <v>82</v>
      </c>
      <c r="O113" s="15" t="s">
        <v>271</v>
      </c>
      <c r="P113" s="15" t="s">
        <v>185</v>
      </c>
      <c r="Q113" s="15" t="s">
        <v>129</v>
      </c>
      <c r="R113" s="15" t="s">
        <v>135</v>
      </c>
      <c r="S113" s="15"/>
      <c r="T113" s="15"/>
      <c r="U113" s="3" t="s">
        <v>969</v>
      </c>
      <c r="V113" s="3" t="s">
        <v>970</v>
      </c>
      <c r="W113" s="3" t="s">
        <v>971</v>
      </c>
      <c r="X113" s="3" t="s">
        <v>972</v>
      </c>
      <c r="Y113" s="15" t="n">
        <v>0</v>
      </c>
      <c r="Z113" s="15" t="n">
        <v>1</v>
      </c>
      <c r="AA113" s="15" t="n">
        <v>0</v>
      </c>
      <c r="AB113" s="15" t="n">
        <v>1</v>
      </c>
      <c r="AC113" s="15" t="n">
        <v>0</v>
      </c>
      <c r="AD113" s="15" t="n">
        <v>0</v>
      </c>
      <c r="AE113" s="15" t="n">
        <v>0</v>
      </c>
      <c r="AF113" s="15" t="n">
        <v>0</v>
      </c>
      <c r="AG113" s="15" t="n">
        <v>0</v>
      </c>
      <c r="AH113" s="15" t="n">
        <v>0</v>
      </c>
    </row>
    <row r="114" customFormat="false" ht="46.25" hidden="false" customHeight="false" outlineLevel="0" collapsed="false">
      <c r="A114" s="15" t="s">
        <v>973</v>
      </c>
      <c r="B114" s="15" t="s">
        <v>37</v>
      </c>
      <c r="C114" s="15" t="s">
        <v>811</v>
      </c>
      <c r="D114" s="15" t="n">
        <v>57</v>
      </c>
      <c r="E114" s="15" t="s">
        <v>966</v>
      </c>
      <c r="F114" s="15" t="n">
        <v>1</v>
      </c>
      <c r="G114" s="15" t="s">
        <v>141</v>
      </c>
      <c r="H114" s="15" t="s">
        <v>142</v>
      </c>
      <c r="I114" s="3" t="s">
        <v>974</v>
      </c>
      <c r="J114" s="3" t="s">
        <v>975</v>
      </c>
      <c r="K114" s="15" t="s">
        <v>145</v>
      </c>
      <c r="L114" s="16" t="s">
        <v>7</v>
      </c>
      <c r="M114" s="15" t="s">
        <v>68</v>
      </c>
      <c r="N114" s="15" t="s">
        <v>82</v>
      </c>
      <c r="O114" s="15" t="s">
        <v>215</v>
      </c>
      <c r="P114" s="15" t="s">
        <v>135</v>
      </c>
      <c r="Q114" s="15" t="s">
        <v>136</v>
      </c>
      <c r="R114" s="15" t="s">
        <v>135</v>
      </c>
      <c r="S114" s="15"/>
      <c r="T114" s="15"/>
      <c r="U114" s="3" t="s">
        <v>976</v>
      </c>
      <c r="V114" s="3" t="s">
        <v>977</v>
      </c>
      <c r="W114" s="3" t="s">
        <v>978</v>
      </c>
      <c r="X114" s="3" t="s">
        <v>979</v>
      </c>
      <c r="Y114" s="15" t="n">
        <v>0</v>
      </c>
      <c r="Z114" s="15" t="n">
        <v>1</v>
      </c>
      <c r="AA114" s="15" t="n">
        <v>0</v>
      </c>
      <c r="AB114" s="15" t="n">
        <v>0</v>
      </c>
      <c r="AC114" s="15" t="n">
        <v>0</v>
      </c>
      <c r="AD114" s="15" t="n">
        <v>0</v>
      </c>
      <c r="AE114" s="15" t="n">
        <v>0</v>
      </c>
      <c r="AF114" s="15" t="n">
        <v>1</v>
      </c>
      <c r="AG114" s="15" t="n">
        <v>0</v>
      </c>
      <c r="AH114" s="15" t="n">
        <v>0</v>
      </c>
    </row>
    <row r="115" customFormat="false" ht="46.25" hidden="false" customHeight="false" outlineLevel="0" collapsed="false">
      <c r="A115" s="15" t="s">
        <v>980</v>
      </c>
      <c r="B115" s="15" t="s">
        <v>37</v>
      </c>
      <c r="C115" s="15" t="s">
        <v>811</v>
      </c>
      <c r="D115" s="15" t="n">
        <v>57</v>
      </c>
      <c r="E115" s="15" t="s">
        <v>966</v>
      </c>
      <c r="F115" s="15" t="n">
        <v>2</v>
      </c>
      <c r="G115" s="15" t="s">
        <v>197</v>
      </c>
      <c r="H115" s="15" t="s">
        <v>142</v>
      </c>
      <c r="I115" s="3" t="s">
        <v>981</v>
      </c>
      <c r="J115" s="3" t="s">
        <v>982</v>
      </c>
      <c r="K115" s="15" t="s">
        <v>133</v>
      </c>
      <c r="L115" s="17" t="s">
        <v>9</v>
      </c>
      <c r="M115" s="15" t="s">
        <v>70</v>
      </c>
      <c r="N115" s="15" t="s">
        <v>81</v>
      </c>
      <c r="O115" s="15" t="s">
        <v>866</v>
      </c>
      <c r="P115" s="15" t="s">
        <v>135</v>
      </c>
      <c r="Q115" s="15" t="s">
        <v>136</v>
      </c>
      <c r="R115" s="15" t="s">
        <v>135</v>
      </c>
      <c r="S115" s="15" t="s">
        <v>405</v>
      </c>
      <c r="T115" s="15" t="s">
        <v>390</v>
      </c>
      <c r="U115" s="3" t="s">
        <v>983</v>
      </c>
      <c r="V115" s="3" t="s">
        <v>984</v>
      </c>
      <c r="W115" s="3"/>
      <c r="X115" s="3"/>
      <c r="Y115" s="15" t="n">
        <v>1</v>
      </c>
      <c r="Z115" s="15" t="n">
        <v>1</v>
      </c>
      <c r="AA115" s="15" t="n">
        <v>0</v>
      </c>
      <c r="AB115" s="15" t="n">
        <v>0</v>
      </c>
      <c r="AC115" s="15" t="n">
        <v>1</v>
      </c>
      <c r="AD115" s="15" t="n">
        <v>0</v>
      </c>
      <c r="AE115" s="15" t="n">
        <v>0</v>
      </c>
      <c r="AF115" s="15" t="n">
        <v>0</v>
      </c>
      <c r="AG115" s="15" t="n">
        <v>0</v>
      </c>
      <c r="AH115" s="15" t="n">
        <v>0</v>
      </c>
    </row>
    <row r="116" customFormat="false" ht="23.85" hidden="false" customHeight="false" outlineLevel="0" collapsed="false">
      <c r="A116" s="15" t="s">
        <v>985</v>
      </c>
      <c r="B116" s="15" t="s">
        <v>37</v>
      </c>
      <c r="C116" s="15" t="s">
        <v>811</v>
      </c>
      <c r="D116" s="15" t="n">
        <v>65</v>
      </c>
      <c r="E116" s="15" t="s">
        <v>986</v>
      </c>
      <c r="F116" s="15" t="n">
        <v>0</v>
      </c>
      <c r="G116" s="15" t="s">
        <v>129</v>
      </c>
      <c r="H116" s="15" t="s">
        <v>130</v>
      </c>
      <c r="I116" s="3" t="s">
        <v>987</v>
      </c>
      <c r="J116" s="3" t="s">
        <v>988</v>
      </c>
      <c r="K116" s="15" t="s">
        <v>133</v>
      </c>
      <c r="L116" s="18" t="s">
        <v>5</v>
      </c>
      <c r="M116" s="15" t="s">
        <v>426</v>
      </c>
      <c r="N116" s="15" t="s">
        <v>426</v>
      </c>
      <c r="O116" s="15"/>
      <c r="P116" s="15" t="s">
        <v>185</v>
      </c>
      <c r="Q116" s="15" t="s">
        <v>129</v>
      </c>
      <c r="R116" s="15" t="s">
        <v>185</v>
      </c>
      <c r="S116" s="15"/>
      <c r="T116" s="15"/>
      <c r="U116" s="3" t="s">
        <v>989</v>
      </c>
      <c r="V116" s="3" t="s">
        <v>990</v>
      </c>
      <c r="W116" s="3"/>
      <c r="X116" s="3"/>
      <c r="Y116" s="15" t="n">
        <v>0</v>
      </c>
      <c r="Z116" s="15" t="n">
        <v>0</v>
      </c>
      <c r="AA116" s="15" t="n">
        <v>0</v>
      </c>
      <c r="AB116" s="15" t="n">
        <v>0</v>
      </c>
      <c r="AC116" s="15" t="n">
        <v>0</v>
      </c>
      <c r="AD116" s="15" t="n">
        <v>0</v>
      </c>
      <c r="AE116" s="15" t="n">
        <v>0</v>
      </c>
      <c r="AF116" s="15" t="n">
        <v>0</v>
      </c>
      <c r="AG116" s="15" t="n">
        <v>0</v>
      </c>
      <c r="AH116" s="15" t="n">
        <v>0</v>
      </c>
    </row>
    <row r="117" customFormat="false" ht="46.25" hidden="false" customHeight="false" outlineLevel="0" collapsed="false">
      <c r="A117" s="15" t="s">
        <v>991</v>
      </c>
      <c r="B117" s="15" t="s">
        <v>37</v>
      </c>
      <c r="C117" s="15" t="s">
        <v>811</v>
      </c>
      <c r="D117" s="15" t="n">
        <v>65</v>
      </c>
      <c r="E117" s="15" t="s">
        <v>986</v>
      </c>
      <c r="F117" s="15" t="n">
        <v>1</v>
      </c>
      <c r="G117" s="15" t="s">
        <v>141</v>
      </c>
      <c r="H117" s="15" t="s">
        <v>142</v>
      </c>
      <c r="I117" s="3" t="s">
        <v>992</v>
      </c>
      <c r="J117" s="3" t="s">
        <v>993</v>
      </c>
      <c r="K117" s="15" t="s">
        <v>145</v>
      </c>
      <c r="L117" s="16" t="s">
        <v>7</v>
      </c>
      <c r="M117" s="15" t="s">
        <v>66</v>
      </c>
      <c r="N117" s="15" t="s">
        <v>88</v>
      </c>
      <c r="O117" s="15" t="s">
        <v>88</v>
      </c>
      <c r="P117" s="15" t="s">
        <v>135</v>
      </c>
      <c r="Q117" s="15" t="s">
        <v>129</v>
      </c>
      <c r="R117" s="15" t="s">
        <v>185</v>
      </c>
      <c r="S117" s="15"/>
      <c r="T117" s="15"/>
      <c r="U117" s="3" t="s">
        <v>994</v>
      </c>
      <c r="V117" s="3" t="s">
        <v>995</v>
      </c>
      <c r="W117" s="3"/>
      <c r="X117" s="3" t="s">
        <v>996</v>
      </c>
      <c r="Y117" s="15" t="n">
        <v>0</v>
      </c>
      <c r="Z117" s="15" t="n">
        <v>0</v>
      </c>
      <c r="AA117" s="15" t="n">
        <v>0</v>
      </c>
      <c r="AB117" s="15" t="n">
        <v>0</v>
      </c>
      <c r="AC117" s="15" t="n">
        <v>0</v>
      </c>
      <c r="AD117" s="15" t="n">
        <v>0</v>
      </c>
      <c r="AE117" s="15" t="n">
        <v>0</v>
      </c>
      <c r="AF117" s="15" t="n">
        <v>1</v>
      </c>
      <c r="AG117" s="15" t="n">
        <v>0</v>
      </c>
      <c r="AH117" s="15" t="n">
        <v>0</v>
      </c>
    </row>
    <row r="118" customFormat="false" ht="35.05" hidden="false" customHeight="false" outlineLevel="0" collapsed="false">
      <c r="A118" s="15" t="s">
        <v>997</v>
      </c>
      <c r="B118" s="15" t="s">
        <v>37</v>
      </c>
      <c r="C118" s="15" t="s">
        <v>811</v>
      </c>
      <c r="D118" s="15" t="n">
        <v>65</v>
      </c>
      <c r="E118" s="15" t="s">
        <v>986</v>
      </c>
      <c r="F118" s="15" t="n">
        <v>2</v>
      </c>
      <c r="G118" s="15" t="s">
        <v>152</v>
      </c>
      <c r="H118" s="15" t="s">
        <v>142</v>
      </c>
      <c r="I118" s="3" t="s">
        <v>998</v>
      </c>
      <c r="J118" s="3" t="s">
        <v>999</v>
      </c>
      <c r="K118" s="15" t="s">
        <v>133</v>
      </c>
      <c r="L118" s="16" t="s">
        <v>7</v>
      </c>
      <c r="M118" s="15" t="s">
        <v>68</v>
      </c>
      <c r="N118" s="15" t="s">
        <v>82</v>
      </c>
      <c r="O118" s="15" t="s">
        <v>215</v>
      </c>
      <c r="P118" s="15" t="s">
        <v>135</v>
      </c>
      <c r="Q118" s="15" t="s">
        <v>129</v>
      </c>
      <c r="R118" s="15" t="s">
        <v>135</v>
      </c>
      <c r="S118" s="15"/>
      <c r="T118" s="15"/>
      <c r="U118" s="3" t="s">
        <v>1000</v>
      </c>
      <c r="V118" s="3" t="s">
        <v>1001</v>
      </c>
      <c r="W118" s="3"/>
      <c r="X118" s="3" t="s">
        <v>1002</v>
      </c>
      <c r="Y118" s="15" t="n">
        <v>0</v>
      </c>
      <c r="Z118" s="15" t="n">
        <v>1</v>
      </c>
      <c r="AA118" s="15" t="n">
        <v>0</v>
      </c>
      <c r="AB118" s="15" t="n">
        <v>0</v>
      </c>
      <c r="AC118" s="15" t="n">
        <v>0</v>
      </c>
      <c r="AD118" s="15" t="n">
        <v>0</v>
      </c>
      <c r="AE118" s="15" t="n">
        <v>0</v>
      </c>
      <c r="AF118" s="15" t="n">
        <v>1</v>
      </c>
      <c r="AG118" s="15" t="n">
        <v>0</v>
      </c>
      <c r="AH118" s="15" t="n">
        <v>0</v>
      </c>
    </row>
    <row r="119" customFormat="false" ht="35.05" hidden="false" customHeight="false" outlineLevel="0" collapsed="false">
      <c r="A119" s="15" t="s">
        <v>1003</v>
      </c>
      <c r="B119" s="15" t="s">
        <v>37</v>
      </c>
      <c r="C119" s="15" t="s">
        <v>811</v>
      </c>
      <c r="D119" s="15" t="n">
        <v>97</v>
      </c>
      <c r="E119" s="15" t="s">
        <v>1004</v>
      </c>
      <c r="F119" s="15" t="n">
        <v>0</v>
      </c>
      <c r="G119" s="15" t="s">
        <v>129</v>
      </c>
      <c r="H119" s="15" t="s">
        <v>130</v>
      </c>
      <c r="I119" s="3" t="s">
        <v>1005</v>
      </c>
      <c r="J119" s="3" t="s">
        <v>1006</v>
      </c>
      <c r="K119" s="15" t="s">
        <v>133</v>
      </c>
      <c r="L119" s="18" t="s">
        <v>5</v>
      </c>
      <c r="M119" s="15" t="s">
        <v>426</v>
      </c>
      <c r="N119" s="15" t="s">
        <v>426</v>
      </c>
      <c r="O119" s="15"/>
      <c r="P119" s="15" t="s">
        <v>185</v>
      </c>
      <c r="Q119" s="15" t="s">
        <v>129</v>
      </c>
      <c r="R119" s="15" t="s">
        <v>185</v>
      </c>
      <c r="S119" s="15"/>
      <c r="T119" s="15"/>
      <c r="U119" s="3" t="s">
        <v>1007</v>
      </c>
      <c r="V119" s="3" t="s">
        <v>1008</v>
      </c>
      <c r="W119" s="3"/>
      <c r="X119" s="3"/>
      <c r="Y119" s="15" t="n">
        <v>0</v>
      </c>
      <c r="Z119" s="15" t="n">
        <v>0</v>
      </c>
      <c r="AA119" s="15" t="n">
        <v>0</v>
      </c>
      <c r="AB119" s="15" t="n">
        <v>0</v>
      </c>
      <c r="AC119" s="15" t="n">
        <v>0</v>
      </c>
      <c r="AD119" s="15" t="n">
        <v>0</v>
      </c>
      <c r="AE119" s="15" t="n">
        <v>0</v>
      </c>
      <c r="AF119" s="15" t="n">
        <v>0</v>
      </c>
      <c r="AG119" s="15" t="n">
        <v>0</v>
      </c>
      <c r="AH119" s="15" t="n">
        <v>0</v>
      </c>
    </row>
    <row r="120" customFormat="false" ht="46.25" hidden="false" customHeight="false" outlineLevel="0" collapsed="false">
      <c r="A120" s="15" t="s">
        <v>1009</v>
      </c>
      <c r="B120" s="15" t="s">
        <v>37</v>
      </c>
      <c r="C120" s="15" t="s">
        <v>811</v>
      </c>
      <c r="D120" s="15" t="n">
        <v>97</v>
      </c>
      <c r="E120" s="15" t="s">
        <v>1004</v>
      </c>
      <c r="F120" s="15" t="n">
        <v>1</v>
      </c>
      <c r="G120" s="15" t="s">
        <v>197</v>
      </c>
      <c r="H120" s="15" t="s">
        <v>142</v>
      </c>
      <c r="I120" s="3" t="s">
        <v>1010</v>
      </c>
      <c r="J120" s="3" t="s">
        <v>1011</v>
      </c>
      <c r="K120" s="15" t="s">
        <v>145</v>
      </c>
      <c r="L120" s="16" t="s">
        <v>7</v>
      </c>
      <c r="M120" s="15" t="s">
        <v>68</v>
      </c>
      <c r="N120" s="15" t="s">
        <v>82</v>
      </c>
      <c r="O120" s="15" t="s">
        <v>1012</v>
      </c>
      <c r="P120" s="15" t="s">
        <v>135</v>
      </c>
      <c r="Q120" s="15" t="s">
        <v>136</v>
      </c>
      <c r="R120" s="15" t="s">
        <v>135</v>
      </c>
      <c r="S120" s="15"/>
      <c r="T120" s="15"/>
      <c r="U120" s="3" t="s">
        <v>1013</v>
      </c>
      <c r="V120" s="3" t="s">
        <v>1014</v>
      </c>
      <c r="W120" s="3" t="s">
        <v>1015</v>
      </c>
      <c r="X120" s="3" t="s">
        <v>1016</v>
      </c>
      <c r="Y120" s="15" t="n">
        <v>0</v>
      </c>
      <c r="Z120" s="15" t="n">
        <v>1</v>
      </c>
      <c r="AA120" s="15" t="n">
        <v>0</v>
      </c>
      <c r="AB120" s="15" t="n">
        <v>0</v>
      </c>
      <c r="AC120" s="15" t="n">
        <v>1</v>
      </c>
      <c r="AD120" s="15" t="n">
        <v>1</v>
      </c>
      <c r="AE120" s="15" t="n">
        <v>0</v>
      </c>
      <c r="AF120" s="15" t="n">
        <v>1</v>
      </c>
      <c r="AG120" s="15" t="n">
        <v>0</v>
      </c>
      <c r="AH120" s="15" t="n">
        <v>0</v>
      </c>
    </row>
    <row r="121" customFormat="false" ht="35.05" hidden="false" customHeight="false" outlineLevel="0" collapsed="false">
      <c r="A121" s="15" t="s">
        <v>1017</v>
      </c>
      <c r="B121" s="15" t="s">
        <v>37</v>
      </c>
      <c r="C121" s="15" t="s">
        <v>811</v>
      </c>
      <c r="D121" s="15" t="n">
        <v>97</v>
      </c>
      <c r="E121" s="15" t="s">
        <v>1004</v>
      </c>
      <c r="F121" s="15" t="n">
        <v>2</v>
      </c>
      <c r="G121" s="15" t="s">
        <v>141</v>
      </c>
      <c r="H121" s="15" t="s">
        <v>142</v>
      </c>
      <c r="I121" s="3" t="s">
        <v>1018</v>
      </c>
      <c r="J121" s="3" t="s">
        <v>1019</v>
      </c>
      <c r="K121" s="15" t="s">
        <v>133</v>
      </c>
      <c r="L121" s="16" t="s">
        <v>7</v>
      </c>
      <c r="M121" s="15" t="s">
        <v>68</v>
      </c>
      <c r="N121" s="15" t="s">
        <v>82</v>
      </c>
      <c r="O121" s="15" t="s">
        <v>134</v>
      </c>
      <c r="P121" s="15" t="s">
        <v>135</v>
      </c>
      <c r="Q121" s="15" t="s">
        <v>307</v>
      </c>
      <c r="R121" s="15" t="s">
        <v>135</v>
      </c>
      <c r="S121" s="15"/>
      <c r="T121" s="15"/>
      <c r="U121" s="3" t="s">
        <v>1020</v>
      </c>
      <c r="V121" s="3" t="s">
        <v>1021</v>
      </c>
      <c r="W121" s="3" t="s">
        <v>1022</v>
      </c>
      <c r="X121" s="3" t="s">
        <v>1023</v>
      </c>
      <c r="Y121" s="15" t="n">
        <v>0</v>
      </c>
      <c r="Z121" s="15" t="n">
        <v>1</v>
      </c>
      <c r="AA121" s="15" t="n">
        <v>0</v>
      </c>
      <c r="AB121" s="15" t="n">
        <v>0</v>
      </c>
      <c r="AC121" s="15" t="n">
        <v>0</v>
      </c>
      <c r="AD121" s="15" t="n">
        <v>1</v>
      </c>
      <c r="AE121" s="15" t="n">
        <v>0</v>
      </c>
      <c r="AF121" s="15" t="n">
        <v>1</v>
      </c>
      <c r="AG121" s="15" t="n">
        <v>0</v>
      </c>
      <c r="AH121" s="15" t="n">
        <v>0</v>
      </c>
    </row>
    <row r="122" customFormat="false" ht="46.25" hidden="false" customHeight="false" outlineLevel="0" collapsed="false">
      <c r="A122" s="15" t="s">
        <v>1024</v>
      </c>
      <c r="B122" s="15" t="s">
        <v>37</v>
      </c>
      <c r="C122" s="15" t="s">
        <v>811</v>
      </c>
      <c r="D122" s="15" t="n">
        <v>101</v>
      </c>
      <c r="E122" s="15" t="s">
        <v>1025</v>
      </c>
      <c r="F122" s="15" t="n">
        <v>0</v>
      </c>
      <c r="G122" s="15" t="s">
        <v>129</v>
      </c>
      <c r="H122" s="15" t="s">
        <v>130</v>
      </c>
      <c r="I122" s="3" t="s">
        <v>1026</v>
      </c>
      <c r="J122" s="3" t="s">
        <v>1027</v>
      </c>
      <c r="K122" s="15" t="s">
        <v>133</v>
      </c>
      <c r="L122" s="16" t="s">
        <v>7</v>
      </c>
      <c r="M122" s="15" t="s">
        <v>68</v>
      </c>
      <c r="N122" s="15" t="s">
        <v>82</v>
      </c>
      <c r="O122" s="15" t="s">
        <v>915</v>
      </c>
      <c r="P122" s="15" t="s">
        <v>185</v>
      </c>
      <c r="Q122" s="15" t="s">
        <v>129</v>
      </c>
      <c r="R122" s="15" t="s">
        <v>135</v>
      </c>
      <c r="S122" s="15"/>
      <c r="T122" s="15"/>
      <c r="U122" s="3" t="s">
        <v>1028</v>
      </c>
      <c r="V122" s="3" t="s">
        <v>1029</v>
      </c>
      <c r="W122" s="3" t="s">
        <v>1030</v>
      </c>
      <c r="X122" s="3" t="s">
        <v>1031</v>
      </c>
      <c r="Y122" s="15" t="n">
        <v>0</v>
      </c>
      <c r="Z122" s="15" t="n">
        <v>1</v>
      </c>
      <c r="AA122" s="15" t="n">
        <v>0</v>
      </c>
      <c r="AB122" s="15" t="n">
        <v>1</v>
      </c>
      <c r="AC122" s="15" t="n">
        <v>1</v>
      </c>
      <c r="AD122" s="15" t="n">
        <v>0</v>
      </c>
      <c r="AE122" s="15" t="n">
        <v>0</v>
      </c>
      <c r="AF122" s="15" t="n">
        <v>0</v>
      </c>
      <c r="AG122" s="15" t="n">
        <v>0</v>
      </c>
      <c r="AH122" s="15" t="n">
        <v>0</v>
      </c>
    </row>
    <row r="123" customFormat="false" ht="35.05" hidden="false" customHeight="false" outlineLevel="0" collapsed="false">
      <c r="A123" s="15" t="s">
        <v>1032</v>
      </c>
      <c r="B123" s="15" t="s">
        <v>37</v>
      </c>
      <c r="C123" s="15" t="s">
        <v>811</v>
      </c>
      <c r="D123" s="15" t="n">
        <v>101</v>
      </c>
      <c r="E123" s="15" t="s">
        <v>1025</v>
      </c>
      <c r="F123" s="15" t="n">
        <v>1</v>
      </c>
      <c r="G123" s="15" t="s">
        <v>141</v>
      </c>
      <c r="H123" s="15" t="s">
        <v>142</v>
      </c>
      <c r="I123" s="3" t="s">
        <v>1033</v>
      </c>
      <c r="J123" s="3" t="s">
        <v>1034</v>
      </c>
      <c r="K123" s="15" t="s">
        <v>133</v>
      </c>
      <c r="L123" s="16" t="s">
        <v>7</v>
      </c>
      <c r="M123" s="15" t="s">
        <v>68</v>
      </c>
      <c r="N123" s="15" t="s">
        <v>85</v>
      </c>
      <c r="O123" s="15" t="s">
        <v>733</v>
      </c>
      <c r="P123" s="15" t="s">
        <v>135</v>
      </c>
      <c r="Q123" s="15" t="s">
        <v>307</v>
      </c>
      <c r="R123" s="15" t="s">
        <v>135</v>
      </c>
      <c r="S123" s="15"/>
      <c r="T123" s="15"/>
      <c r="U123" s="3" t="s">
        <v>1035</v>
      </c>
      <c r="V123" s="3" t="s">
        <v>1036</v>
      </c>
      <c r="W123" s="3" t="s">
        <v>1037</v>
      </c>
      <c r="X123" s="3" t="s">
        <v>1038</v>
      </c>
      <c r="Y123" s="15" t="n">
        <v>0</v>
      </c>
      <c r="Z123" s="15" t="n">
        <v>1</v>
      </c>
      <c r="AA123" s="15" t="n">
        <v>0</v>
      </c>
      <c r="AB123" s="15" t="n">
        <v>0</v>
      </c>
      <c r="AC123" s="15" t="n">
        <v>1</v>
      </c>
      <c r="AD123" s="15" t="n">
        <v>0</v>
      </c>
      <c r="AE123" s="15" t="n">
        <v>0</v>
      </c>
      <c r="AF123" s="15" t="n">
        <v>1</v>
      </c>
      <c r="AG123" s="15" t="n">
        <v>0</v>
      </c>
      <c r="AH123" s="15" t="n">
        <v>0</v>
      </c>
    </row>
    <row r="124" customFormat="false" ht="46.25" hidden="false" customHeight="false" outlineLevel="0" collapsed="false">
      <c r="A124" s="15" t="s">
        <v>1039</v>
      </c>
      <c r="B124" s="15" t="s">
        <v>37</v>
      </c>
      <c r="C124" s="15" t="s">
        <v>811</v>
      </c>
      <c r="D124" s="15" t="n">
        <v>101</v>
      </c>
      <c r="E124" s="15" t="s">
        <v>1025</v>
      </c>
      <c r="F124" s="15" t="n">
        <v>2</v>
      </c>
      <c r="G124" s="15" t="s">
        <v>197</v>
      </c>
      <c r="H124" s="15" t="s">
        <v>142</v>
      </c>
      <c r="I124" s="3" t="s">
        <v>1040</v>
      </c>
      <c r="J124" s="3" t="s">
        <v>1041</v>
      </c>
      <c r="K124" s="15" t="s">
        <v>133</v>
      </c>
      <c r="L124" s="16" t="s">
        <v>7</v>
      </c>
      <c r="M124" s="15" t="s">
        <v>68</v>
      </c>
      <c r="N124" s="15" t="s">
        <v>82</v>
      </c>
      <c r="O124" s="15" t="s">
        <v>1042</v>
      </c>
      <c r="P124" s="15" t="s">
        <v>135</v>
      </c>
      <c r="Q124" s="15" t="s">
        <v>129</v>
      </c>
      <c r="R124" s="15" t="s">
        <v>135</v>
      </c>
      <c r="S124" s="15"/>
      <c r="T124" s="15"/>
      <c r="U124" s="3" t="s">
        <v>1043</v>
      </c>
      <c r="V124" s="3" t="s">
        <v>1044</v>
      </c>
      <c r="W124" s="3" t="s">
        <v>1045</v>
      </c>
      <c r="X124" s="3" t="s">
        <v>1046</v>
      </c>
      <c r="Y124" s="15" t="n">
        <v>0</v>
      </c>
      <c r="Z124" s="15" t="n">
        <v>1</v>
      </c>
      <c r="AA124" s="15" t="n">
        <v>0</v>
      </c>
      <c r="AB124" s="15" t="n">
        <v>1</v>
      </c>
      <c r="AC124" s="15" t="n">
        <v>1</v>
      </c>
      <c r="AD124" s="15" t="n">
        <v>0</v>
      </c>
      <c r="AE124" s="15" t="n">
        <v>0</v>
      </c>
      <c r="AF124" s="15" t="n">
        <v>1</v>
      </c>
      <c r="AG124" s="15" t="n">
        <v>0</v>
      </c>
      <c r="AH124" s="15" t="n">
        <v>0</v>
      </c>
    </row>
    <row r="125" customFormat="false" ht="57.45" hidden="false" customHeight="false" outlineLevel="0" collapsed="false">
      <c r="A125" s="15" t="s">
        <v>1047</v>
      </c>
      <c r="B125" s="15" t="s">
        <v>37</v>
      </c>
      <c r="C125" s="15" t="s">
        <v>811</v>
      </c>
      <c r="D125" s="15" t="n">
        <v>103</v>
      </c>
      <c r="E125" s="15" t="s">
        <v>1048</v>
      </c>
      <c r="F125" s="15" t="n">
        <v>0</v>
      </c>
      <c r="G125" s="15" t="s">
        <v>129</v>
      </c>
      <c r="H125" s="15" t="s">
        <v>130</v>
      </c>
      <c r="I125" s="3" t="s">
        <v>1049</v>
      </c>
      <c r="J125" s="3" t="s">
        <v>1050</v>
      </c>
      <c r="K125" s="15" t="s">
        <v>145</v>
      </c>
      <c r="L125" s="16" t="s">
        <v>7</v>
      </c>
      <c r="M125" s="15" t="s">
        <v>68</v>
      </c>
      <c r="N125" s="15" t="s">
        <v>82</v>
      </c>
      <c r="O125" s="15" t="s">
        <v>1051</v>
      </c>
      <c r="P125" s="15" t="s">
        <v>185</v>
      </c>
      <c r="Q125" s="15" t="s">
        <v>129</v>
      </c>
      <c r="R125" s="15" t="s">
        <v>135</v>
      </c>
      <c r="S125" s="15"/>
      <c r="T125" s="15"/>
      <c r="U125" s="3" t="s">
        <v>1052</v>
      </c>
      <c r="V125" s="3" t="s">
        <v>1053</v>
      </c>
      <c r="W125" s="3" t="s">
        <v>1054</v>
      </c>
      <c r="X125" s="3" t="s">
        <v>1055</v>
      </c>
      <c r="Y125" s="15" t="n">
        <v>0</v>
      </c>
      <c r="Z125" s="15" t="n">
        <v>1</v>
      </c>
      <c r="AA125" s="15" t="n">
        <v>0</v>
      </c>
      <c r="AB125" s="15" t="n">
        <v>0</v>
      </c>
      <c r="AC125" s="15" t="n">
        <v>1</v>
      </c>
      <c r="AD125" s="15" t="n">
        <v>0</v>
      </c>
      <c r="AE125" s="15" t="n">
        <v>0</v>
      </c>
      <c r="AF125" s="15" t="n">
        <v>0</v>
      </c>
      <c r="AG125" s="15" t="n">
        <v>0</v>
      </c>
      <c r="AH125" s="15" t="n">
        <v>1</v>
      </c>
    </row>
    <row r="126" customFormat="false" ht="57.45" hidden="false" customHeight="false" outlineLevel="0" collapsed="false">
      <c r="A126" s="15" t="s">
        <v>1056</v>
      </c>
      <c r="B126" s="15" t="s">
        <v>37</v>
      </c>
      <c r="C126" s="15" t="s">
        <v>811</v>
      </c>
      <c r="D126" s="15" t="n">
        <v>103</v>
      </c>
      <c r="E126" s="15" t="s">
        <v>1048</v>
      </c>
      <c r="F126" s="15" t="n">
        <v>1</v>
      </c>
      <c r="G126" s="15" t="s">
        <v>197</v>
      </c>
      <c r="H126" s="15" t="s">
        <v>142</v>
      </c>
      <c r="I126" s="3" t="s">
        <v>1057</v>
      </c>
      <c r="J126" s="3" t="s">
        <v>1058</v>
      </c>
      <c r="K126" s="15" t="s">
        <v>145</v>
      </c>
      <c r="L126" s="16" t="s">
        <v>7</v>
      </c>
      <c r="M126" s="15" t="s">
        <v>68</v>
      </c>
      <c r="N126" s="15" t="s">
        <v>82</v>
      </c>
      <c r="O126" s="15" t="s">
        <v>192</v>
      </c>
      <c r="P126" s="15" t="s">
        <v>135</v>
      </c>
      <c r="Q126" s="15" t="s">
        <v>129</v>
      </c>
      <c r="R126" s="15" t="s">
        <v>135</v>
      </c>
      <c r="S126" s="15"/>
      <c r="T126" s="15"/>
      <c r="U126" s="3" t="s">
        <v>1059</v>
      </c>
      <c r="V126" s="3" t="s">
        <v>1060</v>
      </c>
      <c r="W126" s="3" t="s">
        <v>1061</v>
      </c>
      <c r="X126" s="3" t="s">
        <v>1062</v>
      </c>
      <c r="Y126" s="15" t="n">
        <v>0</v>
      </c>
      <c r="Z126" s="15" t="n">
        <v>1</v>
      </c>
      <c r="AA126" s="15" t="n">
        <v>0</v>
      </c>
      <c r="AB126" s="15" t="n">
        <v>1</v>
      </c>
      <c r="AC126" s="15" t="n">
        <v>0</v>
      </c>
      <c r="AD126" s="15" t="n">
        <v>0</v>
      </c>
      <c r="AE126" s="15" t="n">
        <v>0</v>
      </c>
      <c r="AF126" s="15" t="n">
        <v>1</v>
      </c>
      <c r="AG126" s="15" t="n">
        <v>0</v>
      </c>
      <c r="AH126" s="15" t="n">
        <v>0</v>
      </c>
    </row>
    <row r="127" customFormat="false" ht="46.25" hidden="false" customHeight="false" outlineLevel="0" collapsed="false">
      <c r="A127" s="15" t="s">
        <v>1063</v>
      </c>
      <c r="B127" s="15" t="s">
        <v>37</v>
      </c>
      <c r="C127" s="15" t="s">
        <v>811</v>
      </c>
      <c r="D127" s="15" t="n">
        <v>103</v>
      </c>
      <c r="E127" s="15" t="s">
        <v>1048</v>
      </c>
      <c r="F127" s="15" t="n">
        <v>2</v>
      </c>
      <c r="G127" s="15" t="s">
        <v>141</v>
      </c>
      <c r="H127" s="15" t="s">
        <v>142</v>
      </c>
      <c r="I127" s="3" t="s">
        <v>1064</v>
      </c>
      <c r="J127" s="3" t="s">
        <v>1065</v>
      </c>
      <c r="K127" s="15" t="s">
        <v>133</v>
      </c>
      <c r="L127" s="16" t="s">
        <v>7</v>
      </c>
      <c r="M127" s="15" t="s">
        <v>68</v>
      </c>
      <c r="N127" s="15" t="s">
        <v>82</v>
      </c>
      <c r="O127" s="15" t="s">
        <v>192</v>
      </c>
      <c r="P127" s="15" t="s">
        <v>135</v>
      </c>
      <c r="Q127" s="15" t="s">
        <v>152</v>
      </c>
      <c r="R127" s="15" t="s">
        <v>135</v>
      </c>
      <c r="S127" s="15"/>
      <c r="T127" s="15"/>
      <c r="U127" s="3" t="s">
        <v>1066</v>
      </c>
      <c r="V127" s="3" t="s">
        <v>1067</v>
      </c>
      <c r="W127" s="3"/>
      <c r="X127" s="3" t="s">
        <v>1068</v>
      </c>
      <c r="Y127" s="15" t="n">
        <v>0</v>
      </c>
      <c r="Z127" s="15" t="n">
        <v>1</v>
      </c>
      <c r="AA127" s="15" t="n">
        <v>0</v>
      </c>
      <c r="AB127" s="15" t="n">
        <v>1</v>
      </c>
      <c r="AC127" s="15" t="n">
        <v>0</v>
      </c>
      <c r="AD127" s="15" t="n">
        <v>0</v>
      </c>
      <c r="AE127" s="15" t="n">
        <v>0</v>
      </c>
      <c r="AF127" s="15" t="n">
        <v>1</v>
      </c>
      <c r="AG127" s="15" t="n">
        <v>0</v>
      </c>
      <c r="AH127" s="15" t="n">
        <v>0</v>
      </c>
    </row>
    <row r="128" customFormat="false" ht="35.05" hidden="false" customHeight="false" outlineLevel="0" collapsed="false">
      <c r="A128" s="15" t="s">
        <v>1069</v>
      </c>
      <c r="B128" s="15" t="s">
        <v>37</v>
      </c>
      <c r="C128" s="15" t="s">
        <v>811</v>
      </c>
      <c r="D128" s="15" t="n">
        <v>122</v>
      </c>
      <c r="E128" s="15" t="s">
        <v>1070</v>
      </c>
      <c r="F128" s="15" t="n">
        <v>0</v>
      </c>
      <c r="G128" s="15" t="s">
        <v>152</v>
      </c>
      <c r="H128" s="15" t="s">
        <v>142</v>
      </c>
      <c r="I128" s="3" t="s">
        <v>1071</v>
      </c>
      <c r="J128" s="3" t="s">
        <v>1072</v>
      </c>
      <c r="K128" s="15" t="s">
        <v>133</v>
      </c>
      <c r="L128" s="16" t="s">
        <v>7</v>
      </c>
      <c r="M128" s="15" t="s">
        <v>68</v>
      </c>
      <c r="N128" s="15" t="s">
        <v>82</v>
      </c>
      <c r="O128" s="15" t="s">
        <v>349</v>
      </c>
      <c r="P128" s="15" t="s">
        <v>135</v>
      </c>
      <c r="Q128" s="15" t="s">
        <v>197</v>
      </c>
      <c r="R128" s="15" t="s">
        <v>135</v>
      </c>
      <c r="S128" s="15"/>
      <c r="T128" s="15"/>
      <c r="U128" s="3" t="s">
        <v>1073</v>
      </c>
      <c r="V128" s="3" t="s">
        <v>1074</v>
      </c>
      <c r="W128" s="3" t="s">
        <v>1075</v>
      </c>
      <c r="X128" s="3" t="s">
        <v>1076</v>
      </c>
      <c r="Y128" s="15" t="n">
        <v>0</v>
      </c>
      <c r="Z128" s="15" t="n">
        <v>1</v>
      </c>
      <c r="AA128" s="15" t="n">
        <v>0</v>
      </c>
      <c r="AB128" s="15" t="n">
        <v>0</v>
      </c>
      <c r="AC128" s="15" t="n">
        <v>1</v>
      </c>
      <c r="AD128" s="15" t="n">
        <v>0</v>
      </c>
      <c r="AE128" s="15" t="n">
        <v>0</v>
      </c>
      <c r="AF128" s="15" t="n">
        <v>1</v>
      </c>
      <c r="AG128" s="15" t="n">
        <v>0</v>
      </c>
      <c r="AH128" s="15" t="n">
        <v>1</v>
      </c>
    </row>
    <row r="129" customFormat="false" ht="35.05" hidden="false" customHeight="false" outlineLevel="0" collapsed="false">
      <c r="A129" s="15" t="s">
        <v>1077</v>
      </c>
      <c r="B129" s="15" t="s">
        <v>37</v>
      </c>
      <c r="C129" s="15" t="s">
        <v>811</v>
      </c>
      <c r="D129" s="15" t="n">
        <v>122</v>
      </c>
      <c r="E129" s="15" t="s">
        <v>1070</v>
      </c>
      <c r="F129" s="15" t="n">
        <v>1</v>
      </c>
      <c r="G129" s="15" t="s">
        <v>129</v>
      </c>
      <c r="H129" s="15" t="s">
        <v>130</v>
      </c>
      <c r="I129" s="3" t="s">
        <v>1078</v>
      </c>
      <c r="J129" s="3" t="s">
        <v>1079</v>
      </c>
      <c r="K129" s="15" t="s">
        <v>145</v>
      </c>
      <c r="L129" s="16" t="s">
        <v>7</v>
      </c>
      <c r="M129" s="15" t="s">
        <v>68</v>
      </c>
      <c r="N129" s="15" t="s">
        <v>82</v>
      </c>
      <c r="O129" s="15" t="s">
        <v>134</v>
      </c>
      <c r="P129" s="15" t="s">
        <v>135</v>
      </c>
      <c r="Q129" s="15" t="s">
        <v>136</v>
      </c>
      <c r="R129" s="15" t="s">
        <v>135</v>
      </c>
      <c r="S129" s="15"/>
      <c r="T129" s="15"/>
      <c r="U129" s="3" t="s">
        <v>1080</v>
      </c>
      <c r="V129" s="3" t="s">
        <v>1081</v>
      </c>
      <c r="W129" s="3"/>
      <c r="X129" s="3" t="s">
        <v>1082</v>
      </c>
      <c r="Y129" s="15" t="n">
        <v>0</v>
      </c>
      <c r="Z129" s="15" t="n">
        <v>1</v>
      </c>
      <c r="AA129" s="15" t="n">
        <v>0</v>
      </c>
      <c r="AB129" s="15" t="n">
        <v>0</v>
      </c>
      <c r="AC129" s="15" t="n">
        <v>0</v>
      </c>
      <c r="AD129" s="15" t="n">
        <v>1</v>
      </c>
      <c r="AE129" s="15" t="n">
        <v>0</v>
      </c>
      <c r="AF129" s="15" t="n">
        <v>1</v>
      </c>
      <c r="AG129" s="15" t="n">
        <v>0</v>
      </c>
      <c r="AH129" s="15" t="n">
        <v>0</v>
      </c>
    </row>
    <row r="130" customFormat="false" ht="35.05" hidden="false" customHeight="false" outlineLevel="0" collapsed="false">
      <c r="A130" s="15" t="s">
        <v>1083</v>
      </c>
      <c r="B130" s="15" t="s">
        <v>37</v>
      </c>
      <c r="C130" s="15" t="s">
        <v>811</v>
      </c>
      <c r="D130" s="15" t="n">
        <v>122</v>
      </c>
      <c r="E130" s="15" t="s">
        <v>1070</v>
      </c>
      <c r="F130" s="15" t="n">
        <v>2</v>
      </c>
      <c r="G130" s="15" t="s">
        <v>197</v>
      </c>
      <c r="H130" s="15" t="s">
        <v>142</v>
      </c>
      <c r="I130" s="3" t="s">
        <v>1084</v>
      </c>
      <c r="J130" s="3" t="s">
        <v>1085</v>
      </c>
      <c r="K130" s="15" t="s">
        <v>133</v>
      </c>
      <c r="L130" s="16" t="s">
        <v>7</v>
      </c>
      <c r="M130" s="15" t="s">
        <v>68</v>
      </c>
      <c r="N130" s="15" t="s">
        <v>82</v>
      </c>
      <c r="O130" s="15" t="s">
        <v>215</v>
      </c>
      <c r="P130" s="15" t="s">
        <v>135</v>
      </c>
      <c r="Q130" s="15" t="s">
        <v>129</v>
      </c>
      <c r="R130" s="15" t="s">
        <v>135</v>
      </c>
      <c r="S130" s="15"/>
      <c r="T130" s="15"/>
      <c r="U130" s="3" t="s">
        <v>1086</v>
      </c>
      <c r="V130" s="3" t="s">
        <v>1087</v>
      </c>
      <c r="W130" s="3"/>
      <c r="X130" s="3" t="s">
        <v>1088</v>
      </c>
      <c r="Y130" s="15" t="n">
        <v>0</v>
      </c>
      <c r="Z130" s="15" t="n">
        <v>1</v>
      </c>
      <c r="AA130" s="15" t="n">
        <v>0</v>
      </c>
      <c r="AB130" s="15" t="n">
        <v>0</v>
      </c>
      <c r="AC130" s="15" t="n">
        <v>0</v>
      </c>
      <c r="AD130" s="15" t="n">
        <v>0</v>
      </c>
      <c r="AE130" s="15" t="n">
        <v>0</v>
      </c>
      <c r="AF130" s="15" t="n">
        <v>1</v>
      </c>
      <c r="AG130" s="15" t="n">
        <v>0</v>
      </c>
      <c r="AH130" s="15" t="n">
        <v>0</v>
      </c>
    </row>
    <row r="131" customFormat="false" ht="35.05" hidden="false" customHeight="false" outlineLevel="0" collapsed="false">
      <c r="A131" s="15" t="s">
        <v>1089</v>
      </c>
      <c r="B131" s="15" t="s">
        <v>37</v>
      </c>
      <c r="C131" s="15" t="s">
        <v>811</v>
      </c>
      <c r="D131" s="15" t="n">
        <v>124</v>
      </c>
      <c r="E131" s="15" t="s">
        <v>1090</v>
      </c>
      <c r="F131" s="15" t="n">
        <v>0</v>
      </c>
      <c r="G131" s="15" t="s">
        <v>141</v>
      </c>
      <c r="H131" s="15" t="s">
        <v>142</v>
      </c>
      <c r="I131" s="3" t="s">
        <v>1091</v>
      </c>
      <c r="J131" s="3" t="s">
        <v>1092</v>
      </c>
      <c r="K131" s="15" t="s">
        <v>133</v>
      </c>
      <c r="L131" s="16" t="s">
        <v>7</v>
      </c>
      <c r="M131" s="15" t="s">
        <v>68</v>
      </c>
      <c r="N131" s="15" t="s">
        <v>82</v>
      </c>
      <c r="O131" s="15" t="s">
        <v>1093</v>
      </c>
      <c r="P131" s="15" t="s">
        <v>135</v>
      </c>
      <c r="Q131" s="15" t="s">
        <v>136</v>
      </c>
      <c r="R131" s="15" t="s">
        <v>135</v>
      </c>
      <c r="S131" s="15"/>
      <c r="T131" s="15"/>
      <c r="U131" s="3" t="s">
        <v>1094</v>
      </c>
      <c r="V131" s="3" t="s">
        <v>1095</v>
      </c>
      <c r="W131" s="3" t="s">
        <v>1096</v>
      </c>
      <c r="X131" s="3" t="s">
        <v>1097</v>
      </c>
      <c r="Y131" s="15" t="n">
        <v>0</v>
      </c>
      <c r="Z131" s="15" t="n">
        <v>1</v>
      </c>
      <c r="AA131" s="15" t="n">
        <v>0</v>
      </c>
      <c r="AB131" s="15" t="n">
        <v>0</v>
      </c>
      <c r="AC131" s="15" t="n">
        <v>0</v>
      </c>
      <c r="AD131" s="15" t="n">
        <v>1</v>
      </c>
      <c r="AE131" s="15" t="n">
        <v>0</v>
      </c>
      <c r="AF131" s="15" t="n">
        <v>1</v>
      </c>
      <c r="AG131" s="15" t="n">
        <v>0</v>
      </c>
      <c r="AH131" s="15" t="n">
        <v>0</v>
      </c>
    </row>
    <row r="132" customFormat="false" ht="23.85" hidden="false" customHeight="false" outlineLevel="0" collapsed="false">
      <c r="A132" s="15" t="s">
        <v>1098</v>
      </c>
      <c r="B132" s="15" t="s">
        <v>37</v>
      </c>
      <c r="C132" s="15" t="s">
        <v>811</v>
      </c>
      <c r="D132" s="15" t="n">
        <v>124</v>
      </c>
      <c r="E132" s="15" t="s">
        <v>1090</v>
      </c>
      <c r="F132" s="15" t="n">
        <v>1</v>
      </c>
      <c r="G132" s="15" t="s">
        <v>152</v>
      </c>
      <c r="H132" s="15" t="s">
        <v>142</v>
      </c>
      <c r="I132" s="3" t="s">
        <v>1099</v>
      </c>
      <c r="J132" s="3" t="s">
        <v>1100</v>
      </c>
      <c r="K132" s="15" t="s">
        <v>133</v>
      </c>
      <c r="L132" s="16" t="s">
        <v>7</v>
      </c>
      <c r="M132" s="15" t="s">
        <v>68</v>
      </c>
      <c r="N132" s="15" t="s">
        <v>82</v>
      </c>
      <c r="O132" s="15" t="s">
        <v>1093</v>
      </c>
      <c r="P132" s="15" t="s">
        <v>135</v>
      </c>
      <c r="Q132" s="15" t="s">
        <v>136</v>
      </c>
      <c r="R132" s="15" t="s">
        <v>135</v>
      </c>
      <c r="S132" s="15"/>
      <c r="T132" s="15"/>
      <c r="U132" s="3" t="s">
        <v>1101</v>
      </c>
      <c r="V132" s="3" t="s">
        <v>1102</v>
      </c>
      <c r="W132" s="3"/>
      <c r="X132" s="3" t="s">
        <v>1103</v>
      </c>
      <c r="Y132" s="15" t="n">
        <v>0</v>
      </c>
      <c r="Z132" s="15" t="n">
        <v>1</v>
      </c>
      <c r="AA132" s="15" t="n">
        <v>0</v>
      </c>
      <c r="AB132" s="15" t="n">
        <v>0</v>
      </c>
      <c r="AC132" s="15" t="n">
        <v>0</v>
      </c>
      <c r="AD132" s="15" t="n">
        <v>1</v>
      </c>
      <c r="AE132" s="15" t="n">
        <v>0</v>
      </c>
      <c r="AF132" s="15" t="n">
        <v>1</v>
      </c>
      <c r="AG132" s="15" t="n">
        <v>0</v>
      </c>
      <c r="AH132" s="15" t="n">
        <v>0</v>
      </c>
    </row>
    <row r="133" customFormat="false" ht="35.05" hidden="false" customHeight="false" outlineLevel="0" collapsed="false">
      <c r="A133" s="15" t="s">
        <v>1104</v>
      </c>
      <c r="B133" s="15" t="s">
        <v>37</v>
      </c>
      <c r="C133" s="15" t="s">
        <v>811</v>
      </c>
      <c r="D133" s="15" t="n">
        <v>124</v>
      </c>
      <c r="E133" s="15" t="s">
        <v>1090</v>
      </c>
      <c r="F133" s="15" t="n">
        <v>2</v>
      </c>
      <c r="G133" s="15" t="s">
        <v>129</v>
      </c>
      <c r="H133" s="15" t="s">
        <v>130</v>
      </c>
      <c r="I133" s="3" t="s">
        <v>1105</v>
      </c>
      <c r="J133" s="3" t="s">
        <v>1106</v>
      </c>
      <c r="K133" s="15" t="s">
        <v>145</v>
      </c>
      <c r="L133" s="16" t="s">
        <v>7</v>
      </c>
      <c r="M133" s="15" t="s">
        <v>68</v>
      </c>
      <c r="N133" s="15" t="s">
        <v>83</v>
      </c>
      <c r="O133" s="15" t="s">
        <v>1107</v>
      </c>
      <c r="P133" s="15" t="s">
        <v>135</v>
      </c>
      <c r="Q133" s="15" t="s">
        <v>307</v>
      </c>
      <c r="R133" s="15" t="s">
        <v>135</v>
      </c>
      <c r="S133" s="15"/>
      <c r="T133" s="15"/>
      <c r="U133" s="3" t="s">
        <v>1108</v>
      </c>
      <c r="V133" s="3" t="s">
        <v>1109</v>
      </c>
      <c r="W133" s="3" t="s">
        <v>1110</v>
      </c>
      <c r="X133" s="3" t="s">
        <v>1111</v>
      </c>
      <c r="Y133" s="15" t="n">
        <v>0</v>
      </c>
      <c r="Z133" s="15" t="n">
        <v>1</v>
      </c>
      <c r="AA133" s="15" t="n">
        <v>1</v>
      </c>
      <c r="AB133" s="15" t="n">
        <v>0</v>
      </c>
      <c r="AC133" s="15" t="n">
        <v>0</v>
      </c>
      <c r="AD133" s="15" t="n">
        <v>0</v>
      </c>
      <c r="AE133" s="15" t="n">
        <v>0</v>
      </c>
      <c r="AF133" s="15" t="n">
        <v>1</v>
      </c>
      <c r="AG133" s="15" t="n">
        <v>0</v>
      </c>
      <c r="AH133" s="15" t="n">
        <v>0</v>
      </c>
    </row>
    <row r="134" customFormat="false" ht="35.05" hidden="false" customHeight="false" outlineLevel="0" collapsed="false">
      <c r="A134" s="15" t="s">
        <v>1112</v>
      </c>
      <c r="B134" s="15" t="s">
        <v>37</v>
      </c>
      <c r="C134" s="15" t="s">
        <v>811</v>
      </c>
      <c r="D134" s="15" t="n">
        <v>125</v>
      </c>
      <c r="E134" s="15" t="s">
        <v>1113</v>
      </c>
      <c r="F134" s="15" t="n">
        <v>0</v>
      </c>
      <c r="G134" s="15" t="s">
        <v>141</v>
      </c>
      <c r="H134" s="15" t="s">
        <v>142</v>
      </c>
      <c r="I134" s="3" t="s">
        <v>1114</v>
      </c>
      <c r="J134" s="3" t="s">
        <v>1115</v>
      </c>
      <c r="K134" s="15" t="s">
        <v>133</v>
      </c>
      <c r="L134" s="16" t="s">
        <v>7</v>
      </c>
      <c r="M134" s="15" t="s">
        <v>68</v>
      </c>
      <c r="N134" s="15" t="s">
        <v>82</v>
      </c>
      <c r="O134" s="15" t="s">
        <v>1116</v>
      </c>
      <c r="P134" s="15" t="s">
        <v>135</v>
      </c>
      <c r="Q134" s="15" t="s">
        <v>307</v>
      </c>
      <c r="R134" s="15" t="s">
        <v>135</v>
      </c>
      <c r="S134" s="15"/>
      <c r="T134" s="15"/>
      <c r="U134" s="3" t="s">
        <v>1117</v>
      </c>
      <c r="V134" s="3" t="s">
        <v>1118</v>
      </c>
      <c r="W134" s="3" t="s">
        <v>1119</v>
      </c>
      <c r="X134" s="3" t="s">
        <v>1120</v>
      </c>
      <c r="Y134" s="15" t="n">
        <v>0</v>
      </c>
      <c r="Z134" s="15" t="n">
        <v>1</v>
      </c>
      <c r="AA134" s="15" t="n">
        <v>1</v>
      </c>
      <c r="AB134" s="15" t="n">
        <v>0</v>
      </c>
      <c r="AC134" s="15" t="n">
        <v>0</v>
      </c>
      <c r="AD134" s="15" t="n">
        <v>0</v>
      </c>
      <c r="AE134" s="15" t="n">
        <v>0</v>
      </c>
      <c r="AF134" s="15" t="n">
        <v>1</v>
      </c>
      <c r="AG134" s="15" t="n">
        <v>0</v>
      </c>
      <c r="AH134" s="15" t="n">
        <v>0</v>
      </c>
    </row>
    <row r="135" customFormat="false" ht="35.05" hidden="false" customHeight="false" outlineLevel="0" collapsed="false">
      <c r="A135" s="15" t="s">
        <v>1121</v>
      </c>
      <c r="B135" s="15" t="s">
        <v>37</v>
      </c>
      <c r="C135" s="15" t="s">
        <v>811</v>
      </c>
      <c r="D135" s="15" t="n">
        <v>125</v>
      </c>
      <c r="E135" s="15" t="s">
        <v>1113</v>
      </c>
      <c r="F135" s="15" t="n">
        <v>1</v>
      </c>
      <c r="G135" s="15" t="s">
        <v>197</v>
      </c>
      <c r="H135" s="15" t="s">
        <v>142</v>
      </c>
      <c r="I135" s="3" t="s">
        <v>1122</v>
      </c>
      <c r="J135" s="3" t="s">
        <v>1123</v>
      </c>
      <c r="K135" s="15" t="s">
        <v>145</v>
      </c>
      <c r="L135" s="16" t="s">
        <v>7</v>
      </c>
      <c r="M135" s="15" t="s">
        <v>68</v>
      </c>
      <c r="N135" s="15" t="s">
        <v>84</v>
      </c>
      <c r="O135" s="15" t="s">
        <v>1124</v>
      </c>
      <c r="P135" s="15" t="s">
        <v>135</v>
      </c>
      <c r="Q135" s="15" t="s">
        <v>129</v>
      </c>
      <c r="R135" s="15" t="s">
        <v>135</v>
      </c>
      <c r="S135" s="15"/>
      <c r="T135" s="15"/>
      <c r="U135" s="3" t="s">
        <v>1125</v>
      </c>
      <c r="V135" s="3" t="s">
        <v>1126</v>
      </c>
      <c r="W135" s="3" t="s">
        <v>1127</v>
      </c>
      <c r="X135" s="3" t="s">
        <v>1128</v>
      </c>
      <c r="Y135" s="15" t="n">
        <v>0</v>
      </c>
      <c r="Z135" s="15" t="n">
        <v>0</v>
      </c>
      <c r="AA135" s="15" t="n">
        <v>0</v>
      </c>
      <c r="AB135" s="15" t="n">
        <v>1</v>
      </c>
      <c r="AC135" s="15" t="n">
        <v>1</v>
      </c>
      <c r="AD135" s="15" t="n">
        <v>0</v>
      </c>
      <c r="AE135" s="15" t="n">
        <v>0</v>
      </c>
      <c r="AF135" s="15" t="n">
        <v>1</v>
      </c>
      <c r="AG135" s="15" t="n">
        <v>0</v>
      </c>
      <c r="AH135" s="15" t="n">
        <v>0</v>
      </c>
    </row>
    <row r="136" customFormat="false" ht="35.05" hidden="false" customHeight="false" outlineLevel="0" collapsed="false">
      <c r="A136" s="15" t="s">
        <v>1129</v>
      </c>
      <c r="B136" s="15" t="s">
        <v>37</v>
      </c>
      <c r="C136" s="15" t="s">
        <v>811</v>
      </c>
      <c r="D136" s="15" t="n">
        <v>125</v>
      </c>
      <c r="E136" s="15" t="s">
        <v>1113</v>
      </c>
      <c r="F136" s="15" t="n">
        <v>2</v>
      </c>
      <c r="G136" s="15" t="s">
        <v>129</v>
      </c>
      <c r="H136" s="15" t="s">
        <v>130</v>
      </c>
      <c r="I136" s="3" t="s">
        <v>1130</v>
      </c>
      <c r="J136" s="3" t="s">
        <v>1131</v>
      </c>
      <c r="K136" s="15" t="s">
        <v>133</v>
      </c>
      <c r="L136" s="17" t="s">
        <v>9</v>
      </c>
      <c r="M136" s="15" t="s">
        <v>70</v>
      </c>
      <c r="N136" s="15" t="s">
        <v>81</v>
      </c>
      <c r="O136" s="15" t="s">
        <v>340</v>
      </c>
      <c r="P136" s="15" t="s">
        <v>135</v>
      </c>
      <c r="Q136" s="15" t="s">
        <v>129</v>
      </c>
      <c r="R136" s="15" t="s">
        <v>135</v>
      </c>
      <c r="S136" s="15" t="s">
        <v>341</v>
      </c>
      <c r="T136" s="15" t="s">
        <v>390</v>
      </c>
      <c r="U136" s="3" t="s">
        <v>1132</v>
      </c>
      <c r="V136" s="3" t="s">
        <v>1133</v>
      </c>
      <c r="W136" s="3"/>
      <c r="X136" s="3"/>
      <c r="Y136" s="15" t="n">
        <v>1</v>
      </c>
      <c r="Z136" s="15" t="n">
        <v>0</v>
      </c>
      <c r="AA136" s="15" t="n">
        <v>0</v>
      </c>
      <c r="AB136" s="15" t="n">
        <v>0</v>
      </c>
      <c r="AC136" s="15" t="n">
        <v>0</v>
      </c>
      <c r="AD136" s="15" t="n">
        <v>0</v>
      </c>
      <c r="AE136" s="15" t="n">
        <v>0</v>
      </c>
      <c r="AF136" s="15" t="n">
        <v>0</v>
      </c>
      <c r="AG136" s="15" t="n">
        <v>0</v>
      </c>
      <c r="AH136" s="15" t="n">
        <v>1</v>
      </c>
    </row>
    <row r="137" customFormat="false" ht="35.05" hidden="false" customHeight="false" outlineLevel="0" collapsed="false">
      <c r="A137" s="15" t="s">
        <v>1134</v>
      </c>
      <c r="B137" s="15" t="s">
        <v>37</v>
      </c>
      <c r="C137" s="15" t="s">
        <v>1135</v>
      </c>
      <c r="D137" s="15" t="n">
        <v>13</v>
      </c>
      <c r="E137" s="15" t="s">
        <v>1136</v>
      </c>
      <c r="F137" s="15" t="n">
        <v>0</v>
      </c>
      <c r="G137" s="15" t="s">
        <v>129</v>
      </c>
      <c r="H137" s="15" t="s">
        <v>130</v>
      </c>
      <c r="I137" s="3" t="s">
        <v>1137</v>
      </c>
      <c r="J137" s="3" t="s">
        <v>1138</v>
      </c>
      <c r="K137" s="15" t="s">
        <v>133</v>
      </c>
      <c r="L137" s="16" t="s">
        <v>7</v>
      </c>
      <c r="M137" s="15" t="s">
        <v>68</v>
      </c>
      <c r="N137" s="15" t="s">
        <v>82</v>
      </c>
      <c r="O137" s="15" t="s">
        <v>215</v>
      </c>
      <c r="P137" s="15" t="s">
        <v>135</v>
      </c>
      <c r="Q137" s="15" t="s">
        <v>197</v>
      </c>
      <c r="R137" s="15" t="s">
        <v>135</v>
      </c>
      <c r="S137" s="15"/>
      <c r="T137" s="15"/>
      <c r="U137" s="3" t="s">
        <v>1139</v>
      </c>
      <c r="V137" s="3" t="s">
        <v>1140</v>
      </c>
      <c r="W137" s="3" t="s">
        <v>1141</v>
      </c>
      <c r="X137" s="3" t="s">
        <v>1142</v>
      </c>
      <c r="Y137" s="15" t="n">
        <v>0</v>
      </c>
      <c r="Z137" s="15" t="n">
        <v>1</v>
      </c>
      <c r="AA137" s="15" t="n">
        <v>0</v>
      </c>
      <c r="AB137" s="15" t="n">
        <v>0</v>
      </c>
      <c r="AC137" s="15" t="n">
        <v>0</v>
      </c>
      <c r="AD137" s="15" t="n">
        <v>0</v>
      </c>
      <c r="AE137" s="15" t="n">
        <v>0</v>
      </c>
      <c r="AF137" s="15" t="n">
        <v>1</v>
      </c>
      <c r="AG137" s="15" t="n">
        <v>0</v>
      </c>
      <c r="AH137" s="15" t="n">
        <v>0</v>
      </c>
    </row>
    <row r="138" customFormat="false" ht="46.25" hidden="false" customHeight="false" outlineLevel="0" collapsed="false">
      <c r="A138" s="15" t="s">
        <v>1143</v>
      </c>
      <c r="B138" s="15" t="s">
        <v>37</v>
      </c>
      <c r="C138" s="15" t="s">
        <v>1135</v>
      </c>
      <c r="D138" s="15" t="n">
        <v>13</v>
      </c>
      <c r="E138" s="15" t="s">
        <v>1136</v>
      </c>
      <c r="F138" s="15" t="n">
        <v>1</v>
      </c>
      <c r="G138" s="15" t="s">
        <v>197</v>
      </c>
      <c r="H138" s="15" t="s">
        <v>142</v>
      </c>
      <c r="I138" s="3" t="s">
        <v>1144</v>
      </c>
      <c r="J138" s="3" t="s">
        <v>1145</v>
      </c>
      <c r="K138" s="15" t="s">
        <v>145</v>
      </c>
      <c r="L138" s="17" t="s">
        <v>9</v>
      </c>
      <c r="M138" s="15" t="s">
        <v>70</v>
      </c>
      <c r="N138" s="15" t="s">
        <v>81</v>
      </c>
      <c r="O138" s="15" t="s">
        <v>1146</v>
      </c>
      <c r="P138" s="15" t="s">
        <v>135</v>
      </c>
      <c r="Q138" s="15" t="s">
        <v>129</v>
      </c>
      <c r="R138" s="15" t="s">
        <v>135</v>
      </c>
      <c r="S138" s="15" t="s">
        <v>405</v>
      </c>
      <c r="T138" s="15" t="s">
        <v>390</v>
      </c>
      <c r="U138" s="3" t="s">
        <v>1147</v>
      </c>
      <c r="V138" s="3" t="s">
        <v>1148</v>
      </c>
      <c r="W138" s="3"/>
      <c r="X138" s="3"/>
      <c r="Y138" s="15" t="n">
        <v>1</v>
      </c>
      <c r="Z138" s="15" t="n">
        <v>1</v>
      </c>
      <c r="AA138" s="15" t="n">
        <v>0</v>
      </c>
      <c r="AB138" s="15" t="n">
        <v>0</v>
      </c>
      <c r="AC138" s="15" t="n">
        <v>0</v>
      </c>
      <c r="AD138" s="15" t="n">
        <v>0</v>
      </c>
      <c r="AE138" s="15" t="n">
        <v>0</v>
      </c>
      <c r="AF138" s="15" t="n">
        <v>0</v>
      </c>
      <c r="AG138" s="15" t="n">
        <v>0</v>
      </c>
      <c r="AH138" s="15" t="n">
        <v>0</v>
      </c>
    </row>
    <row r="139" customFormat="false" ht="35.05" hidden="false" customHeight="false" outlineLevel="0" collapsed="false">
      <c r="A139" s="15" t="s">
        <v>1149</v>
      </c>
      <c r="B139" s="15" t="s">
        <v>37</v>
      </c>
      <c r="C139" s="15" t="s">
        <v>1135</v>
      </c>
      <c r="D139" s="15" t="n">
        <v>13</v>
      </c>
      <c r="E139" s="15" t="s">
        <v>1136</v>
      </c>
      <c r="F139" s="15" t="n">
        <v>2</v>
      </c>
      <c r="G139" s="15" t="s">
        <v>141</v>
      </c>
      <c r="H139" s="15" t="s">
        <v>142</v>
      </c>
      <c r="I139" s="3" t="s">
        <v>1150</v>
      </c>
      <c r="J139" s="3" t="s">
        <v>1151</v>
      </c>
      <c r="K139" s="15" t="s">
        <v>133</v>
      </c>
      <c r="L139" s="16" t="s">
        <v>7</v>
      </c>
      <c r="M139" s="15" t="s">
        <v>68</v>
      </c>
      <c r="N139" s="15" t="s">
        <v>84</v>
      </c>
      <c r="O139" s="15" t="s">
        <v>1152</v>
      </c>
      <c r="P139" s="15" t="s">
        <v>185</v>
      </c>
      <c r="Q139" s="15" t="s">
        <v>141</v>
      </c>
      <c r="R139" s="15" t="s">
        <v>135</v>
      </c>
      <c r="S139" s="15"/>
      <c r="T139" s="15"/>
      <c r="U139" s="3" t="s">
        <v>1153</v>
      </c>
      <c r="V139" s="3" t="s">
        <v>1154</v>
      </c>
      <c r="W139" s="3"/>
      <c r="X139" s="3" t="s">
        <v>1155</v>
      </c>
      <c r="Y139" s="15" t="n">
        <v>0</v>
      </c>
      <c r="Z139" s="15" t="n">
        <v>1</v>
      </c>
      <c r="AA139" s="15" t="n">
        <v>0</v>
      </c>
      <c r="AB139" s="15" t="n">
        <v>1</v>
      </c>
      <c r="AC139" s="15" t="n">
        <v>0</v>
      </c>
      <c r="AD139" s="15" t="n">
        <v>0</v>
      </c>
      <c r="AE139" s="15" t="n">
        <v>0</v>
      </c>
      <c r="AF139" s="15" t="n">
        <v>0</v>
      </c>
      <c r="AG139" s="15" t="n">
        <v>0</v>
      </c>
      <c r="AH139" s="15" t="n">
        <v>0</v>
      </c>
    </row>
    <row r="140" customFormat="false" ht="46.25" hidden="false" customHeight="false" outlineLevel="0" collapsed="false">
      <c r="A140" s="15" t="s">
        <v>1156</v>
      </c>
      <c r="B140" s="15" t="s">
        <v>37</v>
      </c>
      <c r="C140" s="15" t="s">
        <v>1135</v>
      </c>
      <c r="D140" s="15" t="n">
        <v>18</v>
      </c>
      <c r="E140" s="15" t="s">
        <v>1157</v>
      </c>
      <c r="F140" s="15" t="n">
        <v>0</v>
      </c>
      <c r="G140" s="15" t="s">
        <v>129</v>
      </c>
      <c r="H140" s="15" t="s">
        <v>130</v>
      </c>
      <c r="I140" s="3" t="s">
        <v>1158</v>
      </c>
      <c r="J140" s="3" t="s">
        <v>1159</v>
      </c>
      <c r="K140" s="15" t="s">
        <v>133</v>
      </c>
      <c r="L140" s="16" t="s">
        <v>7</v>
      </c>
      <c r="M140" s="15" t="s">
        <v>68</v>
      </c>
      <c r="N140" s="15" t="s">
        <v>82</v>
      </c>
      <c r="O140" s="15" t="s">
        <v>82</v>
      </c>
      <c r="P140" s="15" t="s">
        <v>185</v>
      </c>
      <c r="Q140" s="15" t="s">
        <v>129</v>
      </c>
      <c r="R140" s="15" t="s">
        <v>135</v>
      </c>
      <c r="S140" s="15"/>
      <c r="T140" s="15"/>
      <c r="U140" s="3" t="s">
        <v>1160</v>
      </c>
      <c r="V140" s="3" t="s">
        <v>1161</v>
      </c>
      <c r="W140" s="3"/>
      <c r="X140" s="3" t="s">
        <v>1162</v>
      </c>
      <c r="Y140" s="15" t="n">
        <v>0</v>
      </c>
      <c r="Z140" s="15" t="n">
        <v>1</v>
      </c>
      <c r="AA140" s="15" t="n">
        <v>0</v>
      </c>
      <c r="AB140" s="15" t="n">
        <v>0</v>
      </c>
      <c r="AC140" s="15" t="n">
        <v>0</v>
      </c>
      <c r="AD140" s="15" t="n">
        <v>0</v>
      </c>
      <c r="AE140" s="15" t="n">
        <v>0</v>
      </c>
      <c r="AF140" s="15" t="n">
        <v>0</v>
      </c>
      <c r="AG140" s="15" t="n">
        <v>0</v>
      </c>
      <c r="AH140" s="15" t="n">
        <v>0</v>
      </c>
    </row>
    <row r="141" customFormat="false" ht="46.25" hidden="false" customHeight="false" outlineLevel="0" collapsed="false">
      <c r="A141" s="15" t="s">
        <v>1163</v>
      </c>
      <c r="B141" s="15" t="s">
        <v>37</v>
      </c>
      <c r="C141" s="15" t="s">
        <v>1135</v>
      </c>
      <c r="D141" s="15" t="n">
        <v>18</v>
      </c>
      <c r="E141" s="15" t="s">
        <v>1157</v>
      </c>
      <c r="F141" s="15" t="n">
        <v>1</v>
      </c>
      <c r="G141" s="15" t="s">
        <v>197</v>
      </c>
      <c r="H141" s="15" t="s">
        <v>142</v>
      </c>
      <c r="I141" s="3" t="s">
        <v>1164</v>
      </c>
      <c r="J141" s="3" t="s">
        <v>1165</v>
      </c>
      <c r="K141" s="15" t="s">
        <v>145</v>
      </c>
      <c r="L141" s="17" t="s">
        <v>9</v>
      </c>
      <c r="M141" s="15" t="s">
        <v>70</v>
      </c>
      <c r="N141" s="15" t="s">
        <v>81</v>
      </c>
      <c r="O141" s="15" t="s">
        <v>81</v>
      </c>
      <c r="P141" s="15" t="s">
        <v>135</v>
      </c>
      <c r="Q141" s="15" t="s">
        <v>129</v>
      </c>
      <c r="R141" s="15" t="s">
        <v>135</v>
      </c>
      <c r="S141" s="15" t="s">
        <v>1166</v>
      </c>
      <c r="T141" s="15" t="s">
        <v>390</v>
      </c>
      <c r="U141" s="3" t="s">
        <v>1167</v>
      </c>
      <c r="V141" s="3" t="s">
        <v>1168</v>
      </c>
      <c r="W141" s="3"/>
      <c r="X141" s="3"/>
      <c r="Y141" s="15" t="n">
        <v>1</v>
      </c>
      <c r="Z141" s="15" t="n">
        <v>0</v>
      </c>
      <c r="AA141" s="15" t="n">
        <v>0</v>
      </c>
      <c r="AB141" s="15" t="n">
        <v>0</v>
      </c>
      <c r="AC141" s="15" t="n">
        <v>0</v>
      </c>
      <c r="AD141" s="15" t="n">
        <v>0</v>
      </c>
      <c r="AE141" s="15" t="n">
        <v>0</v>
      </c>
      <c r="AF141" s="15" t="n">
        <v>0</v>
      </c>
      <c r="AG141" s="15" t="n">
        <v>0</v>
      </c>
      <c r="AH141" s="15" t="n">
        <v>0</v>
      </c>
    </row>
    <row r="142" customFormat="false" ht="23.85" hidden="false" customHeight="false" outlineLevel="0" collapsed="false">
      <c r="A142" s="15" t="s">
        <v>1169</v>
      </c>
      <c r="B142" s="15" t="s">
        <v>37</v>
      </c>
      <c r="C142" s="15" t="s">
        <v>1135</v>
      </c>
      <c r="D142" s="15" t="n">
        <v>18</v>
      </c>
      <c r="E142" s="15" t="s">
        <v>1157</v>
      </c>
      <c r="F142" s="15" t="n">
        <v>2</v>
      </c>
      <c r="G142" s="15" t="s">
        <v>307</v>
      </c>
      <c r="H142" s="15" t="s">
        <v>308</v>
      </c>
      <c r="I142" s="3" t="s">
        <v>1170</v>
      </c>
      <c r="J142" s="3" t="s">
        <v>1171</v>
      </c>
      <c r="K142" s="15" t="s">
        <v>133</v>
      </c>
      <c r="L142" s="16" t="s">
        <v>7</v>
      </c>
      <c r="M142" s="15" t="s">
        <v>66</v>
      </c>
      <c r="N142" s="15" t="s">
        <v>88</v>
      </c>
      <c r="O142" s="15" t="s">
        <v>88</v>
      </c>
      <c r="P142" s="15" t="s">
        <v>135</v>
      </c>
      <c r="Q142" s="15" t="s">
        <v>129</v>
      </c>
      <c r="R142" s="15" t="s">
        <v>185</v>
      </c>
      <c r="S142" s="15"/>
      <c r="T142" s="15"/>
      <c r="U142" s="3" t="s">
        <v>1172</v>
      </c>
      <c r="V142" s="3" t="s">
        <v>1173</v>
      </c>
      <c r="W142" s="3" t="s">
        <v>1174</v>
      </c>
      <c r="X142" s="3" t="s">
        <v>1175</v>
      </c>
      <c r="Y142" s="15" t="n">
        <v>0</v>
      </c>
      <c r="Z142" s="15" t="n">
        <v>0</v>
      </c>
      <c r="AA142" s="15" t="n">
        <v>0</v>
      </c>
      <c r="AB142" s="15" t="n">
        <v>0</v>
      </c>
      <c r="AC142" s="15" t="n">
        <v>0</v>
      </c>
      <c r="AD142" s="15" t="n">
        <v>0</v>
      </c>
      <c r="AE142" s="15" t="n">
        <v>0</v>
      </c>
      <c r="AF142" s="15" t="n">
        <v>1</v>
      </c>
      <c r="AG142" s="15" t="n">
        <v>0</v>
      </c>
      <c r="AH142" s="15" t="n">
        <v>0</v>
      </c>
    </row>
    <row r="143" customFormat="false" ht="46.25" hidden="false" customHeight="false" outlineLevel="0" collapsed="false">
      <c r="A143" s="15" t="s">
        <v>1176</v>
      </c>
      <c r="B143" s="15" t="s">
        <v>37</v>
      </c>
      <c r="C143" s="15" t="s">
        <v>1135</v>
      </c>
      <c r="D143" s="15" t="n">
        <v>21</v>
      </c>
      <c r="E143" s="15" t="s">
        <v>1177</v>
      </c>
      <c r="F143" s="15" t="n">
        <v>0</v>
      </c>
      <c r="G143" s="15" t="s">
        <v>197</v>
      </c>
      <c r="H143" s="15" t="s">
        <v>142</v>
      </c>
      <c r="I143" s="3" t="s">
        <v>1178</v>
      </c>
      <c r="J143" s="3" t="s">
        <v>1179</v>
      </c>
      <c r="K143" s="15" t="s">
        <v>133</v>
      </c>
      <c r="L143" s="16" t="s">
        <v>7</v>
      </c>
      <c r="M143" s="15" t="s">
        <v>68</v>
      </c>
      <c r="N143" s="15" t="s">
        <v>82</v>
      </c>
      <c r="O143" s="15" t="s">
        <v>239</v>
      </c>
      <c r="P143" s="15" t="s">
        <v>135</v>
      </c>
      <c r="Q143" s="15" t="s">
        <v>307</v>
      </c>
      <c r="R143" s="15" t="s">
        <v>135</v>
      </c>
      <c r="S143" s="15"/>
      <c r="T143" s="15"/>
      <c r="U143" s="3" t="s">
        <v>1180</v>
      </c>
      <c r="V143" s="3" t="s">
        <v>1181</v>
      </c>
      <c r="W143" s="3" t="s">
        <v>1182</v>
      </c>
      <c r="X143" s="3" t="s">
        <v>1183</v>
      </c>
      <c r="Y143" s="15" t="n">
        <v>0</v>
      </c>
      <c r="Z143" s="15" t="n">
        <v>1</v>
      </c>
      <c r="AA143" s="15" t="n">
        <v>0</v>
      </c>
      <c r="AB143" s="15" t="n">
        <v>0</v>
      </c>
      <c r="AC143" s="15" t="n">
        <v>0</v>
      </c>
      <c r="AD143" s="15" t="n">
        <v>0</v>
      </c>
      <c r="AE143" s="15" t="n">
        <v>0</v>
      </c>
      <c r="AF143" s="15" t="n">
        <v>1</v>
      </c>
      <c r="AG143" s="15" t="n">
        <v>0</v>
      </c>
      <c r="AH143" s="15" t="n">
        <v>1</v>
      </c>
    </row>
    <row r="144" customFormat="false" ht="46.25" hidden="false" customHeight="false" outlineLevel="0" collapsed="false">
      <c r="A144" s="15" t="s">
        <v>1184</v>
      </c>
      <c r="B144" s="15" t="s">
        <v>37</v>
      </c>
      <c r="C144" s="15" t="s">
        <v>1135</v>
      </c>
      <c r="D144" s="15" t="n">
        <v>21</v>
      </c>
      <c r="E144" s="15" t="s">
        <v>1177</v>
      </c>
      <c r="F144" s="15" t="n">
        <v>1</v>
      </c>
      <c r="G144" s="15" t="s">
        <v>307</v>
      </c>
      <c r="H144" s="15" t="s">
        <v>308</v>
      </c>
      <c r="I144" s="3" t="s">
        <v>1185</v>
      </c>
      <c r="J144" s="3" t="s">
        <v>1186</v>
      </c>
      <c r="K144" s="15" t="s">
        <v>145</v>
      </c>
      <c r="L144" s="16" t="s">
        <v>7</v>
      </c>
      <c r="M144" s="15" t="s">
        <v>68</v>
      </c>
      <c r="N144" s="15" t="s">
        <v>83</v>
      </c>
      <c r="O144" s="15" t="s">
        <v>1187</v>
      </c>
      <c r="P144" s="15" t="s">
        <v>185</v>
      </c>
      <c r="Q144" s="15" t="s">
        <v>307</v>
      </c>
      <c r="R144" s="15" t="s">
        <v>135</v>
      </c>
      <c r="S144" s="15"/>
      <c r="T144" s="15"/>
      <c r="U144" s="3" t="s">
        <v>1188</v>
      </c>
      <c r="V144" s="3" t="s">
        <v>1189</v>
      </c>
      <c r="W144" s="3" t="s">
        <v>1190</v>
      </c>
      <c r="X144" s="3" t="s">
        <v>1191</v>
      </c>
      <c r="Y144" s="15" t="n">
        <v>0</v>
      </c>
      <c r="Z144" s="15" t="n">
        <v>1</v>
      </c>
      <c r="AA144" s="15" t="n">
        <v>1</v>
      </c>
      <c r="AB144" s="15" t="n">
        <v>0</v>
      </c>
      <c r="AC144" s="15" t="n">
        <v>1</v>
      </c>
      <c r="AD144" s="15" t="n">
        <v>0</v>
      </c>
      <c r="AE144" s="15" t="n">
        <v>0</v>
      </c>
      <c r="AF144" s="15" t="n">
        <v>0</v>
      </c>
      <c r="AG144" s="15" t="n">
        <v>0</v>
      </c>
      <c r="AH144" s="15" t="n">
        <v>1</v>
      </c>
    </row>
    <row r="145" customFormat="false" ht="46.25" hidden="false" customHeight="false" outlineLevel="0" collapsed="false">
      <c r="A145" s="15" t="s">
        <v>1192</v>
      </c>
      <c r="B145" s="15" t="s">
        <v>37</v>
      </c>
      <c r="C145" s="15" t="s">
        <v>1135</v>
      </c>
      <c r="D145" s="15" t="n">
        <v>21</v>
      </c>
      <c r="E145" s="15" t="s">
        <v>1177</v>
      </c>
      <c r="F145" s="15" t="n">
        <v>2</v>
      </c>
      <c r="G145" s="15" t="s">
        <v>129</v>
      </c>
      <c r="H145" s="15" t="s">
        <v>130</v>
      </c>
      <c r="I145" s="3" t="s">
        <v>1193</v>
      </c>
      <c r="J145" s="3" t="s">
        <v>1194</v>
      </c>
      <c r="K145" s="15" t="s">
        <v>133</v>
      </c>
      <c r="L145" s="16" t="s">
        <v>7</v>
      </c>
      <c r="M145" s="15" t="s">
        <v>68</v>
      </c>
      <c r="N145" s="15" t="s">
        <v>84</v>
      </c>
      <c r="O145" s="15" t="s">
        <v>529</v>
      </c>
      <c r="P145" s="15" t="s">
        <v>185</v>
      </c>
      <c r="Q145" s="15" t="s">
        <v>129</v>
      </c>
      <c r="R145" s="15" t="s">
        <v>135</v>
      </c>
      <c r="S145" s="15"/>
      <c r="T145" s="15"/>
      <c r="U145" s="3" t="s">
        <v>1195</v>
      </c>
      <c r="V145" s="3" t="s">
        <v>1196</v>
      </c>
      <c r="W145" s="3" t="s">
        <v>1197</v>
      </c>
      <c r="X145" s="3" t="s">
        <v>1198</v>
      </c>
      <c r="Y145" s="15" t="n">
        <v>0</v>
      </c>
      <c r="Z145" s="15" t="n">
        <v>0</v>
      </c>
      <c r="AA145" s="15" t="n">
        <v>0</v>
      </c>
      <c r="AB145" s="15" t="n">
        <v>1</v>
      </c>
      <c r="AC145" s="15" t="n">
        <v>0</v>
      </c>
      <c r="AD145" s="15" t="n">
        <v>0</v>
      </c>
      <c r="AE145" s="15" t="n">
        <v>0</v>
      </c>
      <c r="AF145" s="15" t="n">
        <v>0</v>
      </c>
      <c r="AG145" s="15" t="n">
        <v>0</v>
      </c>
      <c r="AH145" s="15" t="n">
        <v>1</v>
      </c>
    </row>
    <row r="146" customFormat="false" ht="35.05" hidden="false" customHeight="false" outlineLevel="0" collapsed="false">
      <c r="A146" s="15" t="s">
        <v>1199</v>
      </c>
      <c r="B146" s="15" t="s">
        <v>37</v>
      </c>
      <c r="C146" s="15" t="s">
        <v>1135</v>
      </c>
      <c r="D146" s="15" t="n">
        <v>36</v>
      </c>
      <c r="E146" s="15" t="s">
        <v>1200</v>
      </c>
      <c r="F146" s="15" t="n">
        <v>0</v>
      </c>
      <c r="G146" s="15" t="s">
        <v>129</v>
      </c>
      <c r="H146" s="15" t="s">
        <v>130</v>
      </c>
      <c r="I146" s="3" t="s">
        <v>1201</v>
      </c>
      <c r="J146" s="3" t="s">
        <v>1202</v>
      </c>
      <c r="K146" s="15" t="s">
        <v>133</v>
      </c>
      <c r="L146" s="16" t="s">
        <v>7</v>
      </c>
      <c r="M146" s="15" t="s">
        <v>66</v>
      </c>
      <c r="N146" s="15" t="s">
        <v>90</v>
      </c>
      <c r="O146" s="15" t="s">
        <v>893</v>
      </c>
      <c r="P146" s="15" t="s">
        <v>185</v>
      </c>
      <c r="Q146" s="15" t="s">
        <v>129</v>
      </c>
      <c r="R146" s="15" t="s">
        <v>135</v>
      </c>
      <c r="S146" s="15"/>
      <c r="T146" s="15"/>
      <c r="U146" s="3" t="s">
        <v>1203</v>
      </c>
      <c r="V146" s="3" t="s">
        <v>1204</v>
      </c>
      <c r="W146" s="3" t="s">
        <v>1205</v>
      </c>
      <c r="X146" s="3" t="s">
        <v>1206</v>
      </c>
      <c r="Y146" s="15" t="n">
        <v>0</v>
      </c>
      <c r="Z146" s="15" t="n">
        <v>0</v>
      </c>
      <c r="AA146" s="15" t="n">
        <v>0</v>
      </c>
      <c r="AB146" s="15" t="n">
        <v>0</v>
      </c>
      <c r="AC146" s="15" t="n">
        <v>0</v>
      </c>
      <c r="AD146" s="15" t="n">
        <v>1</v>
      </c>
      <c r="AE146" s="15" t="n">
        <v>0</v>
      </c>
      <c r="AF146" s="15" t="n">
        <v>0</v>
      </c>
      <c r="AG146" s="15" t="n">
        <v>0</v>
      </c>
      <c r="AH146" s="15" t="n">
        <v>1</v>
      </c>
    </row>
    <row r="147" customFormat="false" ht="46.25" hidden="false" customHeight="false" outlineLevel="0" collapsed="false">
      <c r="A147" s="15" t="s">
        <v>1207</v>
      </c>
      <c r="B147" s="15" t="s">
        <v>37</v>
      </c>
      <c r="C147" s="15" t="s">
        <v>1135</v>
      </c>
      <c r="D147" s="15" t="n">
        <v>36</v>
      </c>
      <c r="E147" s="15" t="s">
        <v>1200</v>
      </c>
      <c r="F147" s="15" t="n">
        <v>1</v>
      </c>
      <c r="G147" s="15" t="s">
        <v>152</v>
      </c>
      <c r="H147" s="15" t="s">
        <v>142</v>
      </c>
      <c r="I147" s="3" t="s">
        <v>1208</v>
      </c>
      <c r="J147" s="3" t="s">
        <v>1209</v>
      </c>
      <c r="K147" s="15" t="s">
        <v>145</v>
      </c>
      <c r="L147" s="16" t="s">
        <v>7</v>
      </c>
      <c r="M147" s="15" t="s">
        <v>68</v>
      </c>
      <c r="N147" s="15" t="s">
        <v>85</v>
      </c>
      <c r="O147" s="15" t="s">
        <v>483</v>
      </c>
      <c r="P147" s="15" t="s">
        <v>135</v>
      </c>
      <c r="Q147" s="15" t="s">
        <v>129</v>
      </c>
      <c r="R147" s="15" t="s">
        <v>135</v>
      </c>
      <c r="S147" s="15"/>
      <c r="T147" s="15"/>
      <c r="U147" s="3" t="s">
        <v>1210</v>
      </c>
      <c r="V147" s="3" t="s">
        <v>1211</v>
      </c>
      <c r="W147" s="3" t="s">
        <v>1212</v>
      </c>
      <c r="X147" s="3" t="s">
        <v>1213</v>
      </c>
      <c r="Y147" s="15" t="n">
        <v>0</v>
      </c>
      <c r="Z147" s="15" t="n">
        <v>0</v>
      </c>
      <c r="AA147" s="15" t="n">
        <v>0</v>
      </c>
      <c r="AB147" s="15" t="n">
        <v>0</v>
      </c>
      <c r="AC147" s="15" t="n">
        <v>1</v>
      </c>
      <c r="AD147" s="15" t="n">
        <v>0</v>
      </c>
      <c r="AE147" s="15" t="n">
        <v>0</v>
      </c>
      <c r="AF147" s="15" t="n">
        <v>1</v>
      </c>
      <c r="AG147" s="15" t="n">
        <v>0</v>
      </c>
      <c r="AH147" s="15" t="n">
        <v>1</v>
      </c>
    </row>
    <row r="148" customFormat="false" ht="35.05" hidden="false" customHeight="false" outlineLevel="0" collapsed="false">
      <c r="A148" s="15" t="s">
        <v>1214</v>
      </c>
      <c r="B148" s="15" t="s">
        <v>37</v>
      </c>
      <c r="C148" s="15" t="s">
        <v>1135</v>
      </c>
      <c r="D148" s="15" t="n">
        <v>36</v>
      </c>
      <c r="E148" s="15" t="s">
        <v>1200</v>
      </c>
      <c r="F148" s="15" t="n">
        <v>2</v>
      </c>
      <c r="G148" s="15" t="s">
        <v>197</v>
      </c>
      <c r="H148" s="15" t="s">
        <v>142</v>
      </c>
      <c r="I148" s="3" t="s">
        <v>1215</v>
      </c>
      <c r="J148" s="3" t="s">
        <v>1216</v>
      </c>
      <c r="K148" s="15" t="s">
        <v>133</v>
      </c>
      <c r="L148" s="16" t="s">
        <v>7</v>
      </c>
      <c r="M148" s="15" t="s">
        <v>68</v>
      </c>
      <c r="N148" s="15" t="s">
        <v>82</v>
      </c>
      <c r="O148" s="15" t="s">
        <v>1217</v>
      </c>
      <c r="P148" s="15" t="s">
        <v>185</v>
      </c>
      <c r="Q148" s="15" t="s">
        <v>197</v>
      </c>
      <c r="R148" s="15" t="s">
        <v>135</v>
      </c>
      <c r="S148" s="15"/>
      <c r="T148" s="15"/>
      <c r="U148" s="3" t="s">
        <v>1218</v>
      </c>
      <c r="V148" s="3" t="s">
        <v>1219</v>
      </c>
      <c r="W148" s="3" t="s">
        <v>1220</v>
      </c>
      <c r="X148" s="3" t="s">
        <v>1221</v>
      </c>
      <c r="Y148" s="15" t="n">
        <v>0</v>
      </c>
      <c r="Z148" s="15" t="n">
        <v>1</v>
      </c>
      <c r="AA148" s="15" t="n">
        <v>0</v>
      </c>
      <c r="AB148" s="15" t="n">
        <v>0</v>
      </c>
      <c r="AC148" s="15" t="n">
        <v>0</v>
      </c>
      <c r="AD148" s="15" t="n">
        <v>1</v>
      </c>
      <c r="AE148" s="15" t="n">
        <v>0</v>
      </c>
      <c r="AF148" s="15" t="n">
        <v>0</v>
      </c>
      <c r="AG148" s="15" t="n">
        <v>0</v>
      </c>
      <c r="AH148" s="15" t="n">
        <v>1</v>
      </c>
    </row>
    <row r="149" customFormat="false" ht="46.25" hidden="false" customHeight="false" outlineLevel="0" collapsed="false">
      <c r="A149" s="15" t="s">
        <v>1222</v>
      </c>
      <c r="B149" s="15" t="s">
        <v>37</v>
      </c>
      <c r="C149" s="15" t="s">
        <v>1135</v>
      </c>
      <c r="D149" s="15" t="n">
        <v>40</v>
      </c>
      <c r="E149" s="15" t="s">
        <v>1223</v>
      </c>
      <c r="F149" s="15" t="n">
        <v>0</v>
      </c>
      <c r="G149" s="15" t="s">
        <v>129</v>
      </c>
      <c r="H149" s="15" t="s">
        <v>130</v>
      </c>
      <c r="I149" s="3" t="s">
        <v>1224</v>
      </c>
      <c r="J149" s="3" t="s">
        <v>1225</v>
      </c>
      <c r="K149" s="15" t="s">
        <v>133</v>
      </c>
      <c r="L149" s="17" t="s">
        <v>9</v>
      </c>
      <c r="M149" s="15" t="s">
        <v>70</v>
      </c>
      <c r="N149" s="15" t="s">
        <v>81</v>
      </c>
      <c r="O149" s="15" t="s">
        <v>340</v>
      </c>
      <c r="P149" s="15" t="s">
        <v>135</v>
      </c>
      <c r="Q149" s="15" t="s">
        <v>197</v>
      </c>
      <c r="R149" s="15" t="s">
        <v>135</v>
      </c>
      <c r="S149" s="15" t="s">
        <v>341</v>
      </c>
      <c r="T149" s="15" t="s">
        <v>390</v>
      </c>
      <c r="U149" s="3" t="s">
        <v>1226</v>
      </c>
      <c r="V149" s="3" t="s">
        <v>1227</v>
      </c>
      <c r="W149" s="3"/>
      <c r="X149" s="3"/>
      <c r="Y149" s="15" t="n">
        <v>1</v>
      </c>
      <c r="Z149" s="15" t="n">
        <v>0</v>
      </c>
      <c r="AA149" s="15" t="n">
        <v>0</v>
      </c>
      <c r="AB149" s="15" t="n">
        <v>0</v>
      </c>
      <c r="AC149" s="15" t="n">
        <v>0</v>
      </c>
      <c r="AD149" s="15" t="n">
        <v>0</v>
      </c>
      <c r="AE149" s="15" t="n">
        <v>0</v>
      </c>
      <c r="AF149" s="15" t="n">
        <v>0</v>
      </c>
      <c r="AG149" s="15" t="n">
        <v>0</v>
      </c>
      <c r="AH149" s="15" t="n">
        <v>1</v>
      </c>
    </row>
    <row r="150" customFormat="false" ht="46.25" hidden="false" customHeight="false" outlineLevel="0" collapsed="false">
      <c r="A150" s="15" t="s">
        <v>1228</v>
      </c>
      <c r="B150" s="15" t="s">
        <v>37</v>
      </c>
      <c r="C150" s="15" t="s">
        <v>1135</v>
      </c>
      <c r="D150" s="15" t="n">
        <v>40</v>
      </c>
      <c r="E150" s="15" t="s">
        <v>1223</v>
      </c>
      <c r="F150" s="15" t="n">
        <v>1</v>
      </c>
      <c r="G150" s="15" t="s">
        <v>152</v>
      </c>
      <c r="H150" s="15" t="s">
        <v>142</v>
      </c>
      <c r="I150" s="3" t="s">
        <v>1229</v>
      </c>
      <c r="J150" s="3" t="s">
        <v>1230</v>
      </c>
      <c r="K150" s="15" t="s">
        <v>145</v>
      </c>
      <c r="L150" s="16" t="s">
        <v>7</v>
      </c>
      <c r="M150" s="15" t="s">
        <v>68</v>
      </c>
      <c r="N150" s="15" t="s">
        <v>82</v>
      </c>
      <c r="O150" s="15" t="s">
        <v>1217</v>
      </c>
      <c r="P150" s="15" t="s">
        <v>185</v>
      </c>
      <c r="Q150" s="15" t="s">
        <v>152</v>
      </c>
      <c r="R150" s="15" t="s">
        <v>135</v>
      </c>
      <c r="S150" s="15"/>
      <c r="T150" s="15"/>
      <c r="U150" s="3" t="s">
        <v>1231</v>
      </c>
      <c r="V150" s="3" t="s">
        <v>1232</v>
      </c>
      <c r="W150" s="3" t="s">
        <v>1233</v>
      </c>
      <c r="X150" s="3" t="s">
        <v>1234</v>
      </c>
      <c r="Y150" s="15" t="n">
        <v>0</v>
      </c>
      <c r="Z150" s="15" t="n">
        <v>1</v>
      </c>
      <c r="AA150" s="15" t="n">
        <v>0</v>
      </c>
      <c r="AB150" s="15" t="n">
        <v>0</v>
      </c>
      <c r="AC150" s="15" t="n">
        <v>0</v>
      </c>
      <c r="AD150" s="15" t="n">
        <v>1</v>
      </c>
      <c r="AE150" s="15" t="n">
        <v>0</v>
      </c>
      <c r="AF150" s="15" t="n">
        <v>0</v>
      </c>
      <c r="AG150" s="15" t="n">
        <v>0</v>
      </c>
      <c r="AH150" s="15" t="n">
        <v>1</v>
      </c>
    </row>
    <row r="151" customFormat="false" ht="46.25" hidden="false" customHeight="false" outlineLevel="0" collapsed="false">
      <c r="A151" s="15" t="s">
        <v>1235</v>
      </c>
      <c r="B151" s="15" t="s">
        <v>37</v>
      </c>
      <c r="C151" s="15" t="s">
        <v>1135</v>
      </c>
      <c r="D151" s="15" t="n">
        <v>40</v>
      </c>
      <c r="E151" s="15" t="s">
        <v>1223</v>
      </c>
      <c r="F151" s="15" t="n">
        <v>2</v>
      </c>
      <c r="G151" s="15" t="s">
        <v>197</v>
      </c>
      <c r="H151" s="15" t="s">
        <v>142</v>
      </c>
      <c r="I151" s="3" t="s">
        <v>1236</v>
      </c>
      <c r="J151" s="3" t="s">
        <v>1237</v>
      </c>
      <c r="K151" s="15" t="s">
        <v>133</v>
      </c>
      <c r="L151" s="16" t="s">
        <v>7</v>
      </c>
      <c r="M151" s="15" t="s">
        <v>68</v>
      </c>
      <c r="N151" s="15" t="s">
        <v>87</v>
      </c>
      <c r="O151" s="15" t="s">
        <v>1238</v>
      </c>
      <c r="P151" s="15" t="s">
        <v>135</v>
      </c>
      <c r="Q151" s="15" t="s">
        <v>129</v>
      </c>
      <c r="R151" s="15" t="s">
        <v>135</v>
      </c>
      <c r="S151" s="15"/>
      <c r="T151" s="15"/>
      <c r="U151" s="3" t="s">
        <v>1239</v>
      </c>
      <c r="V151" s="3" t="s">
        <v>1240</v>
      </c>
      <c r="W151" s="3" t="s">
        <v>1241</v>
      </c>
      <c r="X151" s="3" t="s">
        <v>1242</v>
      </c>
      <c r="Y151" s="15" t="n">
        <v>0</v>
      </c>
      <c r="Z151" s="15" t="n">
        <v>0</v>
      </c>
      <c r="AA151" s="15" t="n">
        <v>0</v>
      </c>
      <c r="AB151" s="15" t="n">
        <v>0</v>
      </c>
      <c r="AC151" s="15" t="n">
        <v>0</v>
      </c>
      <c r="AD151" s="15" t="n">
        <v>0</v>
      </c>
      <c r="AE151" s="15" t="n">
        <v>1</v>
      </c>
      <c r="AF151" s="15" t="n">
        <v>1</v>
      </c>
      <c r="AG151" s="15" t="n">
        <v>0</v>
      </c>
      <c r="AH151" s="15" t="n">
        <v>1</v>
      </c>
    </row>
    <row r="152" customFormat="false" ht="46.25" hidden="false" customHeight="false" outlineLevel="0" collapsed="false">
      <c r="A152" s="15" t="s">
        <v>1243</v>
      </c>
      <c r="B152" s="15" t="s">
        <v>37</v>
      </c>
      <c r="C152" s="15" t="s">
        <v>1135</v>
      </c>
      <c r="D152" s="15" t="n">
        <v>43</v>
      </c>
      <c r="E152" s="15" t="s">
        <v>1244</v>
      </c>
      <c r="F152" s="15" t="n">
        <v>0</v>
      </c>
      <c r="G152" s="15" t="s">
        <v>197</v>
      </c>
      <c r="H152" s="15" t="s">
        <v>142</v>
      </c>
      <c r="I152" s="3" t="s">
        <v>1245</v>
      </c>
      <c r="J152" s="3" t="s">
        <v>1246</v>
      </c>
      <c r="K152" s="15" t="s">
        <v>133</v>
      </c>
      <c r="L152" s="16" t="s">
        <v>7</v>
      </c>
      <c r="M152" s="15" t="s">
        <v>68</v>
      </c>
      <c r="N152" s="15" t="s">
        <v>82</v>
      </c>
      <c r="O152" s="15" t="s">
        <v>1247</v>
      </c>
      <c r="P152" s="15" t="s">
        <v>135</v>
      </c>
      <c r="Q152" s="15" t="s">
        <v>129</v>
      </c>
      <c r="R152" s="15" t="s">
        <v>135</v>
      </c>
      <c r="S152" s="15"/>
      <c r="T152" s="15"/>
      <c r="U152" s="3" t="s">
        <v>1248</v>
      </c>
      <c r="V152" s="3" t="s">
        <v>1249</v>
      </c>
      <c r="W152" s="3" t="s">
        <v>1250</v>
      </c>
      <c r="X152" s="3" t="s">
        <v>1251</v>
      </c>
      <c r="Y152" s="15" t="n">
        <v>0</v>
      </c>
      <c r="Z152" s="15" t="n">
        <v>1</v>
      </c>
      <c r="AA152" s="15" t="n">
        <v>0</v>
      </c>
      <c r="AB152" s="15" t="n">
        <v>0</v>
      </c>
      <c r="AC152" s="15" t="n">
        <v>1</v>
      </c>
      <c r="AD152" s="15" t="n">
        <v>0</v>
      </c>
      <c r="AE152" s="15" t="n">
        <v>0</v>
      </c>
      <c r="AF152" s="15" t="n">
        <v>1</v>
      </c>
      <c r="AG152" s="15" t="n">
        <v>0</v>
      </c>
      <c r="AH152" s="15" t="n">
        <v>1</v>
      </c>
    </row>
    <row r="153" customFormat="false" ht="35.05" hidden="false" customHeight="false" outlineLevel="0" collapsed="false">
      <c r="A153" s="15" t="s">
        <v>1252</v>
      </c>
      <c r="B153" s="15" t="s">
        <v>37</v>
      </c>
      <c r="C153" s="15" t="s">
        <v>1135</v>
      </c>
      <c r="D153" s="15" t="n">
        <v>43</v>
      </c>
      <c r="E153" s="15" t="s">
        <v>1244</v>
      </c>
      <c r="F153" s="15" t="n">
        <v>1</v>
      </c>
      <c r="G153" s="15" t="s">
        <v>129</v>
      </c>
      <c r="H153" s="15" t="s">
        <v>130</v>
      </c>
      <c r="I153" s="3" t="s">
        <v>1253</v>
      </c>
      <c r="J153" s="3" t="s">
        <v>1254</v>
      </c>
      <c r="K153" s="15" t="s">
        <v>145</v>
      </c>
      <c r="L153" s="16" t="s">
        <v>7</v>
      </c>
      <c r="M153" s="15" t="s">
        <v>68</v>
      </c>
      <c r="N153" s="15" t="s">
        <v>85</v>
      </c>
      <c r="O153" s="15" t="s">
        <v>1255</v>
      </c>
      <c r="P153" s="15" t="s">
        <v>185</v>
      </c>
      <c r="Q153" s="15" t="s">
        <v>129</v>
      </c>
      <c r="R153" s="15" t="s">
        <v>135</v>
      </c>
      <c r="S153" s="15"/>
      <c r="T153" s="15"/>
      <c r="U153" s="3" t="s">
        <v>1256</v>
      </c>
      <c r="V153" s="3" t="s">
        <v>1257</v>
      </c>
      <c r="W153" s="3" t="s">
        <v>1258</v>
      </c>
      <c r="X153" s="3" t="s">
        <v>1259</v>
      </c>
      <c r="Y153" s="15" t="n">
        <v>0</v>
      </c>
      <c r="Z153" s="15" t="n">
        <v>0</v>
      </c>
      <c r="AA153" s="15" t="n">
        <v>0</v>
      </c>
      <c r="AB153" s="15" t="n">
        <v>1</v>
      </c>
      <c r="AC153" s="15" t="n">
        <v>1</v>
      </c>
      <c r="AD153" s="15" t="n">
        <v>0</v>
      </c>
      <c r="AE153" s="15" t="n">
        <v>0</v>
      </c>
      <c r="AF153" s="15" t="n">
        <v>0</v>
      </c>
      <c r="AG153" s="15" t="n">
        <v>0</v>
      </c>
      <c r="AH153" s="15" t="n">
        <v>1</v>
      </c>
    </row>
    <row r="154" customFormat="false" ht="46.25" hidden="false" customHeight="false" outlineLevel="0" collapsed="false">
      <c r="A154" s="15" t="s">
        <v>1260</v>
      </c>
      <c r="B154" s="15" t="s">
        <v>37</v>
      </c>
      <c r="C154" s="15" t="s">
        <v>1135</v>
      </c>
      <c r="D154" s="15" t="n">
        <v>43</v>
      </c>
      <c r="E154" s="15" t="s">
        <v>1244</v>
      </c>
      <c r="F154" s="15" t="n">
        <v>2</v>
      </c>
      <c r="G154" s="15" t="s">
        <v>141</v>
      </c>
      <c r="H154" s="15" t="s">
        <v>142</v>
      </c>
      <c r="I154" s="3" t="s">
        <v>1261</v>
      </c>
      <c r="J154" s="3" t="s">
        <v>1262</v>
      </c>
      <c r="K154" s="15" t="s">
        <v>133</v>
      </c>
      <c r="L154" s="16" t="s">
        <v>7</v>
      </c>
      <c r="M154" s="15" t="s">
        <v>68</v>
      </c>
      <c r="N154" s="15" t="s">
        <v>82</v>
      </c>
      <c r="O154" s="15" t="s">
        <v>1116</v>
      </c>
      <c r="P154" s="15" t="s">
        <v>135</v>
      </c>
      <c r="Q154" s="15" t="s">
        <v>307</v>
      </c>
      <c r="R154" s="15" t="s">
        <v>135</v>
      </c>
      <c r="S154" s="15"/>
      <c r="T154" s="15"/>
      <c r="U154" s="3" t="s">
        <v>1263</v>
      </c>
      <c r="V154" s="3" t="s">
        <v>1264</v>
      </c>
      <c r="W154" s="3" t="s">
        <v>1265</v>
      </c>
      <c r="X154" s="3" t="s">
        <v>1266</v>
      </c>
      <c r="Y154" s="15" t="n">
        <v>0</v>
      </c>
      <c r="Z154" s="15" t="n">
        <v>1</v>
      </c>
      <c r="AA154" s="15" t="n">
        <v>1</v>
      </c>
      <c r="AB154" s="15" t="n">
        <v>0</v>
      </c>
      <c r="AC154" s="15" t="n">
        <v>0</v>
      </c>
      <c r="AD154" s="15" t="n">
        <v>0</v>
      </c>
      <c r="AE154" s="15" t="n">
        <v>0</v>
      </c>
      <c r="AF154" s="15" t="n">
        <v>1</v>
      </c>
      <c r="AG154" s="15" t="n">
        <v>0</v>
      </c>
      <c r="AH154" s="15" t="n">
        <v>0</v>
      </c>
    </row>
    <row r="155" customFormat="false" ht="35.05" hidden="false" customHeight="false" outlineLevel="0" collapsed="false">
      <c r="A155" s="15" t="s">
        <v>1267</v>
      </c>
      <c r="B155" s="15" t="s">
        <v>37</v>
      </c>
      <c r="C155" s="15" t="s">
        <v>1135</v>
      </c>
      <c r="D155" s="15" t="n">
        <v>44</v>
      </c>
      <c r="E155" s="15" t="s">
        <v>1268</v>
      </c>
      <c r="F155" s="15" t="n">
        <v>0</v>
      </c>
      <c r="G155" s="15" t="s">
        <v>307</v>
      </c>
      <c r="H155" s="15" t="s">
        <v>308</v>
      </c>
      <c r="I155" s="3" t="s">
        <v>1269</v>
      </c>
      <c r="J155" s="3" t="s">
        <v>1270</v>
      </c>
      <c r="K155" s="15" t="s">
        <v>133</v>
      </c>
      <c r="L155" s="16" t="s">
        <v>7</v>
      </c>
      <c r="M155" s="15" t="s">
        <v>66</v>
      </c>
      <c r="N155" s="15" t="s">
        <v>88</v>
      </c>
      <c r="O155" s="15" t="s">
        <v>231</v>
      </c>
      <c r="P155" s="15" t="s">
        <v>135</v>
      </c>
      <c r="Q155" s="15" t="s">
        <v>129</v>
      </c>
      <c r="R155" s="15" t="s">
        <v>185</v>
      </c>
      <c r="S155" s="15"/>
      <c r="T155" s="15"/>
      <c r="U155" s="3" t="s">
        <v>1271</v>
      </c>
      <c r="V155" s="3" t="s">
        <v>1272</v>
      </c>
      <c r="W155" s="3" t="s">
        <v>1273</v>
      </c>
      <c r="X155" s="3" t="s">
        <v>1274</v>
      </c>
      <c r="Y155" s="15" t="n">
        <v>0</v>
      </c>
      <c r="Z155" s="15" t="n">
        <v>0</v>
      </c>
      <c r="AA155" s="15" t="n">
        <v>0</v>
      </c>
      <c r="AB155" s="15" t="n">
        <v>0</v>
      </c>
      <c r="AC155" s="15" t="n">
        <v>0</v>
      </c>
      <c r="AD155" s="15" t="n">
        <v>0</v>
      </c>
      <c r="AE155" s="15" t="n">
        <v>0</v>
      </c>
      <c r="AF155" s="15" t="n">
        <v>1</v>
      </c>
      <c r="AG155" s="15" t="n">
        <v>0</v>
      </c>
      <c r="AH155" s="15" t="n">
        <v>1</v>
      </c>
    </row>
    <row r="156" customFormat="false" ht="35.05" hidden="false" customHeight="false" outlineLevel="0" collapsed="false">
      <c r="A156" s="15" t="s">
        <v>1275</v>
      </c>
      <c r="B156" s="15" t="s">
        <v>37</v>
      </c>
      <c r="C156" s="15" t="s">
        <v>1135</v>
      </c>
      <c r="D156" s="15" t="n">
        <v>44</v>
      </c>
      <c r="E156" s="15" t="s">
        <v>1268</v>
      </c>
      <c r="F156" s="15" t="n">
        <v>1</v>
      </c>
      <c r="G156" s="15" t="s">
        <v>129</v>
      </c>
      <c r="H156" s="15" t="s">
        <v>130</v>
      </c>
      <c r="I156" s="3" t="s">
        <v>1276</v>
      </c>
      <c r="J156" s="3" t="s">
        <v>1277</v>
      </c>
      <c r="K156" s="15" t="s">
        <v>145</v>
      </c>
      <c r="L156" s="16" t="s">
        <v>7</v>
      </c>
      <c r="M156" s="15" t="s">
        <v>66</v>
      </c>
      <c r="N156" s="15" t="s">
        <v>90</v>
      </c>
      <c r="O156" s="15" t="s">
        <v>293</v>
      </c>
      <c r="P156" s="15" t="s">
        <v>185</v>
      </c>
      <c r="Q156" s="15" t="s">
        <v>129</v>
      </c>
      <c r="R156" s="15" t="s">
        <v>135</v>
      </c>
      <c r="S156" s="15"/>
      <c r="T156" s="15"/>
      <c r="U156" s="3" t="s">
        <v>1271</v>
      </c>
      <c r="V156" s="3" t="s">
        <v>1278</v>
      </c>
      <c r="W156" s="3" t="s">
        <v>1279</v>
      </c>
      <c r="X156" s="3" t="s">
        <v>1274</v>
      </c>
      <c r="Y156" s="15" t="n">
        <v>0</v>
      </c>
      <c r="Z156" s="15" t="n">
        <v>0</v>
      </c>
      <c r="AA156" s="15" t="n">
        <v>0</v>
      </c>
      <c r="AB156" s="15" t="n">
        <v>0</v>
      </c>
      <c r="AC156" s="15" t="n">
        <v>0</v>
      </c>
      <c r="AD156" s="15" t="n">
        <v>0</v>
      </c>
      <c r="AE156" s="15" t="n">
        <v>1</v>
      </c>
      <c r="AF156" s="15" t="n">
        <v>0</v>
      </c>
      <c r="AG156" s="15" t="n">
        <v>0</v>
      </c>
      <c r="AH156" s="15" t="n">
        <v>1</v>
      </c>
    </row>
    <row r="157" customFormat="false" ht="46.25" hidden="false" customHeight="false" outlineLevel="0" collapsed="false">
      <c r="A157" s="15" t="s">
        <v>1280</v>
      </c>
      <c r="B157" s="15" t="s">
        <v>37</v>
      </c>
      <c r="C157" s="15" t="s">
        <v>1135</v>
      </c>
      <c r="D157" s="15" t="n">
        <v>44</v>
      </c>
      <c r="E157" s="15" t="s">
        <v>1268</v>
      </c>
      <c r="F157" s="15" t="n">
        <v>2</v>
      </c>
      <c r="G157" s="15" t="s">
        <v>197</v>
      </c>
      <c r="H157" s="15" t="s">
        <v>142</v>
      </c>
      <c r="I157" s="3" t="s">
        <v>1281</v>
      </c>
      <c r="J157" s="3" t="s">
        <v>1282</v>
      </c>
      <c r="K157" s="15" t="s">
        <v>133</v>
      </c>
      <c r="L157" s="17" t="s">
        <v>9</v>
      </c>
      <c r="M157" s="15" t="s">
        <v>70</v>
      </c>
      <c r="N157" s="15" t="s">
        <v>81</v>
      </c>
      <c r="O157" s="15" t="s">
        <v>81</v>
      </c>
      <c r="P157" s="15" t="s">
        <v>135</v>
      </c>
      <c r="Q157" s="15" t="s">
        <v>129</v>
      </c>
      <c r="R157" s="15" t="s">
        <v>135</v>
      </c>
      <c r="S157" s="15" t="s">
        <v>326</v>
      </c>
      <c r="T157" s="15" t="s">
        <v>327</v>
      </c>
      <c r="U157" s="3" t="s">
        <v>1283</v>
      </c>
      <c r="V157" s="3" t="s">
        <v>1284</v>
      </c>
      <c r="W157" s="3"/>
      <c r="X157" s="3"/>
      <c r="Y157" s="15" t="n">
        <v>1</v>
      </c>
      <c r="Z157" s="15" t="n">
        <v>0</v>
      </c>
      <c r="AA157" s="15" t="n">
        <v>0</v>
      </c>
      <c r="AB157" s="15" t="n">
        <v>0</v>
      </c>
      <c r="AC157" s="15" t="n">
        <v>0</v>
      </c>
      <c r="AD157" s="15" t="n">
        <v>0</v>
      </c>
      <c r="AE157" s="15" t="n">
        <v>0</v>
      </c>
      <c r="AF157" s="15" t="n">
        <v>0</v>
      </c>
      <c r="AG157" s="15" t="n">
        <v>0</v>
      </c>
      <c r="AH157" s="15" t="n">
        <v>0</v>
      </c>
    </row>
    <row r="158" customFormat="false" ht="35.05" hidden="false" customHeight="false" outlineLevel="0" collapsed="false">
      <c r="A158" s="15" t="s">
        <v>1285</v>
      </c>
      <c r="B158" s="15" t="s">
        <v>37</v>
      </c>
      <c r="C158" s="15" t="s">
        <v>1135</v>
      </c>
      <c r="D158" s="15" t="n">
        <v>47</v>
      </c>
      <c r="E158" s="15" t="s">
        <v>1286</v>
      </c>
      <c r="F158" s="15" t="n">
        <v>0</v>
      </c>
      <c r="G158" s="15" t="s">
        <v>129</v>
      </c>
      <c r="H158" s="15" t="s">
        <v>130</v>
      </c>
      <c r="I158" s="3" t="s">
        <v>1287</v>
      </c>
      <c r="J158" s="3" t="s">
        <v>1288</v>
      </c>
      <c r="K158" s="15" t="s">
        <v>133</v>
      </c>
      <c r="L158" s="16" t="s">
        <v>7</v>
      </c>
      <c r="M158" s="15" t="s">
        <v>68</v>
      </c>
      <c r="N158" s="15" t="s">
        <v>82</v>
      </c>
      <c r="O158" s="15" t="s">
        <v>606</v>
      </c>
      <c r="P158" s="15" t="s">
        <v>185</v>
      </c>
      <c r="Q158" s="15" t="s">
        <v>129</v>
      </c>
      <c r="R158" s="15" t="s">
        <v>135</v>
      </c>
      <c r="S158" s="15"/>
      <c r="T158" s="15"/>
      <c r="U158" s="3" t="s">
        <v>1289</v>
      </c>
      <c r="V158" s="3" t="s">
        <v>1290</v>
      </c>
      <c r="W158" s="3" t="s">
        <v>1291</v>
      </c>
      <c r="X158" s="3" t="s">
        <v>1292</v>
      </c>
      <c r="Y158" s="15" t="n">
        <v>0</v>
      </c>
      <c r="Z158" s="15" t="n">
        <v>1</v>
      </c>
      <c r="AA158" s="15" t="n">
        <v>0</v>
      </c>
      <c r="AB158" s="15" t="n">
        <v>0</v>
      </c>
      <c r="AC158" s="15" t="n">
        <v>1</v>
      </c>
      <c r="AD158" s="15" t="n">
        <v>0</v>
      </c>
      <c r="AE158" s="15" t="n">
        <v>0</v>
      </c>
      <c r="AF158" s="15" t="n">
        <v>0</v>
      </c>
      <c r="AG158" s="15" t="n">
        <v>0</v>
      </c>
      <c r="AH158" s="15" t="n">
        <v>0</v>
      </c>
    </row>
    <row r="159" customFormat="false" ht="46.25" hidden="false" customHeight="false" outlineLevel="0" collapsed="false">
      <c r="A159" s="15" t="s">
        <v>1293</v>
      </c>
      <c r="B159" s="15" t="s">
        <v>37</v>
      </c>
      <c r="C159" s="15" t="s">
        <v>1135</v>
      </c>
      <c r="D159" s="15" t="n">
        <v>47</v>
      </c>
      <c r="E159" s="15" t="s">
        <v>1286</v>
      </c>
      <c r="F159" s="15" t="n">
        <v>1</v>
      </c>
      <c r="G159" s="15" t="s">
        <v>141</v>
      </c>
      <c r="H159" s="15" t="s">
        <v>142</v>
      </c>
      <c r="I159" s="3" t="s">
        <v>1294</v>
      </c>
      <c r="J159" s="3" t="s">
        <v>1295</v>
      </c>
      <c r="K159" s="15" t="s">
        <v>145</v>
      </c>
      <c r="L159" s="16" t="s">
        <v>7</v>
      </c>
      <c r="M159" s="15" t="s">
        <v>68</v>
      </c>
      <c r="N159" s="15" t="s">
        <v>82</v>
      </c>
      <c r="O159" s="15" t="s">
        <v>349</v>
      </c>
      <c r="P159" s="15" t="s">
        <v>135</v>
      </c>
      <c r="Q159" s="15" t="s">
        <v>129</v>
      </c>
      <c r="R159" s="15" t="s">
        <v>135</v>
      </c>
      <c r="S159" s="15"/>
      <c r="T159" s="15"/>
      <c r="U159" s="3" t="s">
        <v>1296</v>
      </c>
      <c r="V159" s="3" t="s">
        <v>1297</v>
      </c>
      <c r="W159" s="3" t="s">
        <v>1298</v>
      </c>
      <c r="X159" s="3" t="s">
        <v>1299</v>
      </c>
      <c r="Y159" s="15" t="n">
        <v>0</v>
      </c>
      <c r="Z159" s="15" t="n">
        <v>1</v>
      </c>
      <c r="AA159" s="15" t="n">
        <v>0</v>
      </c>
      <c r="AB159" s="15" t="n">
        <v>0</v>
      </c>
      <c r="AC159" s="15" t="n">
        <v>1</v>
      </c>
      <c r="AD159" s="15" t="n">
        <v>0</v>
      </c>
      <c r="AE159" s="15" t="n">
        <v>0</v>
      </c>
      <c r="AF159" s="15" t="n">
        <v>1</v>
      </c>
      <c r="AG159" s="15" t="n">
        <v>0</v>
      </c>
      <c r="AH159" s="15" t="n">
        <v>1</v>
      </c>
    </row>
    <row r="160" customFormat="false" ht="79.85" hidden="false" customHeight="false" outlineLevel="0" collapsed="false">
      <c r="A160" s="15" t="s">
        <v>1300</v>
      </c>
      <c r="B160" s="15" t="s">
        <v>37</v>
      </c>
      <c r="C160" s="15" t="s">
        <v>1135</v>
      </c>
      <c r="D160" s="15" t="n">
        <v>47</v>
      </c>
      <c r="E160" s="15" t="s">
        <v>1286</v>
      </c>
      <c r="F160" s="15" t="n">
        <v>2</v>
      </c>
      <c r="G160" s="15" t="s">
        <v>197</v>
      </c>
      <c r="H160" s="15" t="s">
        <v>142</v>
      </c>
      <c r="I160" s="3" t="s">
        <v>1301</v>
      </c>
      <c r="J160" s="3" t="s">
        <v>1302</v>
      </c>
      <c r="K160" s="15" t="s">
        <v>133</v>
      </c>
      <c r="L160" s="16" t="s">
        <v>7</v>
      </c>
      <c r="M160" s="15" t="s">
        <v>68</v>
      </c>
      <c r="N160" s="15" t="s">
        <v>90</v>
      </c>
      <c r="O160" s="15" t="s">
        <v>1303</v>
      </c>
      <c r="P160" s="15" t="s">
        <v>135</v>
      </c>
      <c r="Q160" s="15" t="s">
        <v>129</v>
      </c>
      <c r="R160" s="15" t="s">
        <v>135</v>
      </c>
      <c r="S160" s="15"/>
      <c r="T160" s="15"/>
      <c r="U160" s="3" t="s">
        <v>1304</v>
      </c>
      <c r="V160" s="3" t="s">
        <v>1305</v>
      </c>
      <c r="W160" s="3" t="s">
        <v>1306</v>
      </c>
      <c r="X160" s="3" t="s">
        <v>1307</v>
      </c>
      <c r="Y160" s="15" t="n">
        <v>0</v>
      </c>
      <c r="Z160" s="15" t="n">
        <v>1</v>
      </c>
      <c r="AA160" s="15" t="n">
        <v>0</v>
      </c>
      <c r="AB160" s="15" t="n">
        <v>0</v>
      </c>
      <c r="AC160" s="15" t="n">
        <v>0</v>
      </c>
      <c r="AD160" s="15" t="n">
        <v>0</v>
      </c>
      <c r="AE160" s="15" t="n">
        <v>0</v>
      </c>
      <c r="AF160" s="15" t="n">
        <v>1</v>
      </c>
      <c r="AG160" s="15" t="n">
        <v>0</v>
      </c>
      <c r="AH160" s="15" t="n">
        <v>1</v>
      </c>
    </row>
    <row r="161" customFormat="false" ht="35.05" hidden="false" customHeight="false" outlineLevel="0" collapsed="false">
      <c r="A161" s="15" t="s">
        <v>1308</v>
      </c>
      <c r="B161" s="15" t="s">
        <v>37</v>
      </c>
      <c r="C161" s="15" t="s">
        <v>1135</v>
      </c>
      <c r="D161" s="15" t="n">
        <v>48</v>
      </c>
      <c r="E161" s="15" t="s">
        <v>1309</v>
      </c>
      <c r="F161" s="15" t="n">
        <v>0</v>
      </c>
      <c r="G161" s="15" t="s">
        <v>141</v>
      </c>
      <c r="H161" s="15" t="s">
        <v>142</v>
      </c>
      <c r="I161" s="3" t="s">
        <v>1310</v>
      </c>
      <c r="J161" s="3" t="s">
        <v>1311</v>
      </c>
      <c r="K161" s="15" t="s">
        <v>133</v>
      </c>
      <c r="L161" s="16" t="s">
        <v>7</v>
      </c>
      <c r="M161" s="15" t="s">
        <v>68</v>
      </c>
      <c r="N161" s="15" t="s">
        <v>85</v>
      </c>
      <c r="O161" s="15" t="s">
        <v>1312</v>
      </c>
      <c r="P161" s="15" t="s">
        <v>135</v>
      </c>
      <c r="Q161" s="15" t="s">
        <v>129</v>
      </c>
      <c r="R161" s="15" t="s">
        <v>135</v>
      </c>
      <c r="S161" s="15"/>
      <c r="T161" s="15"/>
      <c r="U161" s="3" t="s">
        <v>1313</v>
      </c>
      <c r="V161" s="3" t="s">
        <v>1314</v>
      </c>
      <c r="W161" s="3" t="s">
        <v>1315</v>
      </c>
      <c r="X161" s="3" t="s">
        <v>1316</v>
      </c>
      <c r="Y161" s="15" t="n">
        <v>0</v>
      </c>
      <c r="Z161" s="15" t="n">
        <v>0</v>
      </c>
      <c r="AA161" s="15" t="n">
        <v>0</v>
      </c>
      <c r="AB161" s="15" t="n">
        <v>0</v>
      </c>
      <c r="AC161" s="15" t="n">
        <v>1</v>
      </c>
      <c r="AD161" s="15" t="n">
        <v>0</v>
      </c>
      <c r="AE161" s="15" t="n">
        <v>0</v>
      </c>
      <c r="AF161" s="15" t="n">
        <v>1</v>
      </c>
      <c r="AG161" s="15" t="n">
        <v>1</v>
      </c>
      <c r="AH161" s="15" t="n">
        <v>0</v>
      </c>
    </row>
    <row r="162" customFormat="false" ht="35.05" hidden="false" customHeight="false" outlineLevel="0" collapsed="false">
      <c r="A162" s="15" t="s">
        <v>1317</v>
      </c>
      <c r="B162" s="15" t="s">
        <v>37</v>
      </c>
      <c r="C162" s="15" t="s">
        <v>1135</v>
      </c>
      <c r="D162" s="15" t="n">
        <v>48</v>
      </c>
      <c r="E162" s="15" t="s">
        <v>1309</v>
      </c>
      <c r="F162" s="15" t="n">
        <v>1</v>
      </c>
      <c r="G162" s="15" t="s">
        <v>197</v>
      </c>
      <c r="H162" s="15" t="s">
        <v>142</v>
      </c>
      <c r="I162" s="3" t="s">
        <v>1318</v>
      </c>
      <c r="J162" s="3" t="s">
        <v>1319</v>
      </c>
      <c r="K162" s="15" t="s">
        <v>145</v>
      </c>
      <c r="L162" s="17" t="s">
        <v>9</v>
      </c>
      <c r="M162" s="15" t="s">
        <v>70</v>
      </c>
      <c r="N162" s="15" t="s">
        <v>81</v>
      </c>
      <c r="O162" s="15" t="s">
        <v>81</v>
      </c>
      <c r="P162" s="15" t="s">
        <v>135</v>
      </c>
      <c r="Q162" s="15" t="s">
        <v>129</v>
      </c>
      <c r="R162" s="15" t="s">
        <v>135</v>
      </c>
      <c r="S162" s="15" t="s">
        <v>326</v>
      </c>
      <c r="T162" s="15" t="s">
        <v>327</v>
      </c>
      <c r="U162" s="3" t="s">
        <v>1320</v>
      </c>
      <c r="V162" s="3" t="s">
        <v>1321</v>
      </c>
      <c r="W162" s="3"/>
      <c r="X162" s="3"/>
      <c r="Y162" s="15" t="n">
        <v>1</v>
      </c>
      <c r="Z162" s="15" t="n">
        <v>0</v>
      </c>
      <c r="AA162" s="15" t="n">
        <v>0</v>
      </c>
      <c r="AB162" s="15" t="n">
        <v>0</v>
      </c>
      <c r="AC162" s="15" t="n">
        <v>0</v>
      </c>
      <c r="AD162" s="15" t="n">
        <v>0</v>
      </c>
      <c r="AE162" s="15" t="n">
        <v>0</v>
      </c>
      <c r="AF162" s="15" t="n">
        <v>0</v>
      </c>
      <c r="AG162" s="15" t="n">
        <v>0</v>
      </c>
      <c r="AH162" s="15" t="n">
        <v>0</v>
      </c>
    </row>
    <row r="163" customFormat="false" ht="35.05" hidden="false" customHeight="false" outlineLevel="0" collapsed="false">
      <c r="A163" s="15" t="s">
        <v>1322</v>
      </c>
      <c r="B163" s="15" t="s">
        <v>37</v>
      </c>
      <c r="C163" s="15" t="s">
        <v>1135</v>
      </c>
      <c r="D163" s="15" t="n">
        <v>48</v>
      </c>
      <c r="E163" s="15" t="s">
        <v>1309</v>
      </c>
      <c r="F163" s="15" t="n">
        <v>2</v>
      </c>
      <c r="G163" s="15" t="s">
        <v>129</v>
      </c>
      <c r="H163" s="15" t="s">
        <v>130</v>
      </c>
      <c r="I163" s="3" t="s">
        <v>1323</v>
      </c>
      <c r="J163" s="3" t="s">
        <v>1324</v>
      </c>
      <c r="K163" s="15" t="s">
        <v>133</v>
      </c>
      <c r="L163" s="16" t="s">
        <v>7</v>
      </c>
      <c r="M163" s="15" t="s">
        <v>68</v>
      </c>
      <c r="N163" s="15" t="s">
        <v>82</v>
      </c>
      <c r="O163" s="15" t="s">
        <v>1325</v>
      </c>
      <c r="P163" s="15" t="s">
        <v>185</v>
      </c>
      <c r="Q163" s="15" t="s">
        <v>129</v>
      </c>
      <c r="R163" s="15" t="s">
        <v>135</v>
      </c>
      <c r="S163" s="15"/>
      <c r="T163" s="15"/>
      <c r="U163" s="3" t="s">
        <v>1326</v>
      </c>
      <c r="V163" s="3" t="s">
        <v>1327</v>
      </c>
      <c r="W163" s="3"/>
      <c r="X163" s="3" t="s">
        <v>1328</v>
      </c>
      <c r="Y163" s="15" t="n">
        <v>0</v>
      </c>
      <c r="Z163" s="15" t="n">
        <v>1</v>
      </c>
      <c r="AA163" s="15" t="n">
        <v>0</v>
      </c>
      <c r="AB163" s="15" t="n">
        <v>1</v>
      </c>
      <c r="AC163" s="15" t="n">
        <v>0</v>
      </c>
      <c r="AD163" s="15" t="n">
        <v>0</v>
      </c>
      <c r="AE163" s="15" t="n">
        <v>1</v>
      </c>
      <c r="AF163" s="15" t="n">
        <v>0</v>
      </c>
      <c r="AG163" s="15" t="n">
        <v>0</v>
      </c>
      <c r="AH163" s="15" t="n">
        <v>0</v>
      </c>
    </row>
    <row r="164" customFormat="false" ht="35.05" hidden="false" customHeight="false" outlineLevel="0" collapsed="false">
      <c r="A164" s="15" t="s">
        <v>1329</v>
      </c>
      <c r="B164" s="15" t="s">
        <v>37</v>
      </c>
      <c r="C164" s="15" t="s">
        <v>1135</v>
      </c>
      <c r="D164" s="15" t="n">
        <v>49</v>
      </c>
      <c r="E164" s="15" t="s">
        <v>1330</v>
      </c>
      <c r="F164" s="15" t="n">
        <v>0</v>
      </c>
      <c r="G164" s="15" t="s">
        <v>129</v>
      </c>
      <c r="H164" s="15" t="s">
        <v>130</v>
      </c>
      <c r="I164" s="3" t="s">
        <v>1331</v>
      </c>
      <c r="J164" s="3" t="s">
        <v>1332</v>
      </c>
      <c r="K164" s="15" t="s">
        <v>133</v>
      </c>
      <c r="L164" s="16" t="s">
        <v>7</v>
      </c>
      <c r="M164" s="15" t="s">
        <v>66</v>
      </c>
      <c r="N164" s="15" t="s">
        <v>85</v>
      </c>
      <c r="O164" s="15" t="s">
        <v>85</v>
      </c>
      <c r="P164" s="15" t="s">
        <v>185</v>
      </c>
      <c r="Q164" s="15" t="s">
        <v>129</v>
      </c>
      <c r="R164" s="15" t="s">
        <v>135</v>
      </c>
      <c r="S164" s="15"/>
      <c r="T164" s="15"/>
      <c r="U164" s="3" t="s">
        <v>1333</v>
      </c>
      <c r="V164" s="3" t="s">
        <v>1334</v>
      </c>
      <c r="W164" s="3" t="s">
        <v>1335</v>
      </c>
      <c r="X164" s="3" t="s">
        <v>1336</v>
      </c>
      <c r="Y164" s="15" t="n">
        <v>0</v>
      </c>
      <c r="Z164" s="15" t="n">
        <v>0</v>
      </c>
      <c r="AA164" s="15" t="n">
        <v>0</v>
      </c>
      <c r="AB164" s="15" t="n">
        <v>0</v>
      </c>
      <c r="AC164" s="15" t="n">
        <v>1</v>
      </c>
      <c r="AD164" s="15" t="n">
        <v>0</v>
      </c>
      <c r="AE164" s="15" t="n">
        <v>0</v>
      </c>
      <c r="AF164" s="15" t="n">
        <v>0</v>
      </c>
      <c r="AG164" s="15" t="n">
        <v>0</v>
      </c>
      <c r="AH164" s="15" t="n">
        <v>0</v>
      </c>
    </row>
    <row r="165" customFormat="false" ht="46.25" hidden="false" customHeight="false" outlineLevel="0" collapsed="false">
      <c r="A165" s="15" t="s">
        <v>1337</v>
      </c>
      <c r="B165" s="15" t="s">
        <v>37</v>
      </c>
      <c r="C165" s="15" t="s">
        <v>1135</v>
      </c>
      <c r="D165" s="15" t="n">
        <v>49</v>
      </c>
      <c r="E165" s="15" t="s">
        <v>1330</v>
      </c>
      <c r="F165" s="15" t="n">
        <v>1</v>
      </c>
      <c r="G165" s="15" t="s">
        <v>307</v>
      </c>
      <c r="H165" s="15" t="s">
        <v>308</v>
      </c>
      <c r="I165" s="3" t="s">
        <v>1338</v>
      </c>
      <c r="J165" s="3" t="s">
        <v>1339</v>
      </c>
      <c r="K165" s="15" t="s">
        <v>145</v>
      </c>
      <c r="L165" s="16" t="s">
        <v>7</v>
      </c>
      <c r="M165" s="15" t="s">
        <v>68</v>
      </c>
      <c r="N165" s="15" t="s">
        <v>82</v>
      </c>
      <c r="O165" s="15" t="s">
        <v>215</v>
      </c>
      <c r="P165" s="15" t="s">
        <v>135</v>
      </c>
      <c r="Q165" s="15" t="s">
        <v>129</v>
      </c>
      <c r="R165" s="15" t="s">
        <v>135</v>
      </c>
      <c r="S165" s="15"/>
      <c r="T165" s="15"/>
      <c r="U165" s="3" t="s">
        <v>1340</v>
      </c>
      <c r="V165" s="3" t="s">
        <v>1341</v>
      </c>
      <c r="W165" s="3" t="s">
        <v>1342</v>
      </c>
      <c r="X165" s="3" t="s">
        <v>1343</v>
      </c>
      <c r="Y165" s="15" t="n">
        <v>0</v>
      </c>
      <c r="Z165" s="15" t="n">
        <v>1</v>
      </c>
      <c r="AA165" s="15" t="n">
        <v>0</v>
      </c>
      <c r="AB165" s="15" t="n">
        <v>0</v>
      </c>
      <c r="AC165" s="15" t="n">
        <v>0</v>
      </c>
      <c r="AD165" s="15" t="n">
        <v>0</v>
      </c>
      <c r="AE165" s="15" t="n">
        <v>0</v>
      </c>
      <c r="AF165" s="15" t="n">
        <v>1</v>
      </c>
      <c r="AG165" s="15" t="n">
        <v>0</v>
      </c>
      <c r="AH165" s="15" t="n">
        <v>0</v>
      </c>
    </row>
    <row r="166" customFormat="false" ht="35.05" hidden="false" customHeight="false" outlineLevel="0" collapsed="false">
      <c r="A166" s="15" t="s">
        <v>1344</v>
      </c>
      <c r="B166" s="15" t="s">
        <v>37</v>
      </c>
      <c r="C166" s="15" t="s">
        <v>1135</v>
      </c>
      <c r="D166" s="15" t="n">
        <v>49</v>
      </c>
      <c r="E166" s="15" t="s">
        <v>1330</v>
      </c>
      <c r="F166" s="15" t="n">
        <v>2</v>
      </c>
      <c r="G166" s="15" t="s">
        <v>197</v>
      </c>
      <c r="H166" s="15" t="s">
        <v>142</v>
      </c>
      <c r="I166" s="3" t="s">
        <v>1345</v>
      </c>
      <c r="J166" s="3" t="s">
        <v>1346</v>
      </c>
      <c r="K166" s="15" t="s">
        <v>133</v>
      </c>
      <c r="L166" s="16" t="s">
        <v>7</v>
      </c>
      <c r="M166" s="15" t="s">
        <v>68</v>
      </c>
      <c r="N166" s="15" t="s">
        <v>82</v>
      </c>
      <c r="O166" s="15" t="s">
        <v>239</v>
      </c>
      <c r="P166" s="15" t="s">
        <v>135</v>
      </c>
      <c r="Q166" s="15" t="s">
        <v>136</v>
      </c>
      <c r="R166" s="15" t="s">
        <v>135</v>
      </c>
      <c r="S166" s="15"/>
      <c r="T166" s="15"/>
      <c r="U166" s="3" t="s">
        <v>1347</v>
      </c>
      <c r="V166" s="3" t="s">
        <v>1348</v>
      </c>
      <c r="W166" s="3" t="s">
        <v>1349</v>
      </c>
      <c r="X166" s="3" t="s">
        <v>1350</v>
      </c>
      <c r="Y166" s="15" t="n">
        <v>0</v>
      </c>
      <c r="Z166" s="15" t="n">
        <v>1</v>
      </c>
      <c r="AA166" s="15" t="n">
        <v>0</v>
      </c>
      <c r="AB166" s="15" t="n">
        <v>0</v>
      </c>
      <c r="AC166" s="15" t="n">
        <v>0</v>
      </c>
      <c r="AD166" s="15" t="n">
        <v>0</v>
      </c>
      <c r="AE166" s="15" t="n">
        <v>0</v>
      </c>
      <c r="AF166" s="15" t="n">
        <v>1</v>
      </c>
      <c r="AG166" s="15" t="n">
        <v>0</v>
      </c>
      <c r="AH166" s="15" t="n">
        <v>1</v>
      </c>
    </row>
    <row r="167" customFormat="false" ht="35.05" hidden="false" customHeight="false" outlineLevel="0" collapsed="false">
      <c r="A167" s="15" t="s">
        <v>1351</v>
      </c>
      <c r="B167" s="15" t="s">
        <v>37</v>
      </c>
      <c r="C167" s="15" t="s">
        <v>1135</v>
      </c>
      <c r="D167" s="15" t="n">
        <v>52</v>
      </c>
      <c r="E167" s="15" t="s">
        <v>1352</v>
      </c>
      <c r="F167" s="15" t="n">
        <v>0</v>
      </c>
      <c r="G167" s="15" t="s">
        <v>129</v>
      </c>
      <c r="H167" s="15" t="s">
        <v>130</v>
      </c>
      <c r="I167" s="3" t="s">
        <v>1353</v>
      </c>
      <c r="J167" s="3" t="s">
        <v>1354</v>
      </c>
      <c r="K167" s="15" t="s">
        <v>133</v>
      </c>
      <c r="L167" s="16" t="s">
        <v>7</v>
      </c>
      <c r="M167" s="15" t="s">
        <v>68</v>
      </c>
      <c r="N167" s="15" t="s">
        <v>82</v>
      </c>
      <c r="O167" s="15" t="s">
        <v>606</v>
      </c>
      <c r="P167" s="15" t="s">
        <v>185</v>
      </c>
      <c r="Q167" s="15" t="s">
        <v>129</v>
      </c>
      <c r="R167" s="15" t="s">
        <v>135</v>
      </c>
      <c r="S167" s="15"/>
      <c r="T167" s="15"/>
      <c r="U167" s="3" t="s">
        <v>1355</v>
      </c>
      <c r="V167" s="3" t="s">
        <v>1356</v>
      </c>
      <c r="W167" s="3" t="s">
        <v>1357</v>
      </c>
      <c r="X167" s="3" t="s">
        <v>1358</v>
      </c>
      <c r="Y167" s="15" t="n">
        <v>0</v>
      </c>
      <c r="Z167" s="15" t="n">
        <v>1</v>
      </c>
      <c r="AA167" s="15" t="n">
        <v>0</v>
      </c>
      <c r="AB167" s="15" t="n">
        <v>0</v>
      </c>
      <c r="AC167" s="15" t="n">
        <v>1</v>
      </c>
      <c r="AD167" s="15" t="n">
        <v>0</v>
      </c>
      <c r="AE167" s="15" t="n">
        <v>0</v>
      </c>
      <c r="AF167" s="15" t="n">
        <v>0</v>
      </c>
      <c r="AG167" s="15" t="n">
        <v>0</v>
      </c>
      <c r="AH167" s="15" t="n">
        <v>0</v>
      </c>
    </row>
    <row r="168" customFormat="false" ht="46.25" hidden="false" customHeight="false" outlineLevel="0" collapsed="false">
      <c r="A168" s="15" t="s">
        <v>1359</v>
      </c>
      <c r="B168" s="15" t="s">
        <v>37</v>
      </c>
      <c r="C168" s="15" t="s">
        <v>1135</v>
      </c>
      <c r="D168" s="15" t="n">
        <v>52</v>
      </c>
      <c r="E168" s="15" t="s">
        <v>1352</v>
      </c>
      <c r="F168" s="15" t="n">
        <v>1</v>
      </c>
      <c r="G168" s="15" t="s">
        <v>141</v>
      </c>
      <c r="H168" s="15" t="s">
        <v>142</v>
      </c>
      <c r="I168" s="3" t="s">
        <v>1360</v>
      </c>
      <c r="J168" s="3" t="s">
        <v>1361</v>
      </c>
      <c r="K168" s="15" t="s">
        <v>145</v>
      </c>
      <c r="L168" s="16" t="s">
        <v>7</v>
      </c>
      <c r="M168" s="15" t="s">
        <v>68</v>
      </c>
      <c r="N168" s="15" t="s">
        <v>82</v>
      </c>
      <c r="O168" s="15" t="s">
        <v>192</v>
      </c>
      <c r="P168" s="15" t="s">
        <v>135</v>
      </c>
      <c r="Q168" s="15" t="s">
        <v>129</v>
      </c>
      <c r="R168" s="15" t="s">
        <v>135</v>
      </c>
      <c r="S168" s="15"/>
      <c r="T168" s="15"/>
      <c r="U168" s="3" t="s">
        <v>1362</v>
      </c>
      <c r="V168" s="3" t="s">
        <v>1363</v>
      </c>
      <c r="W168" s="3" t="s">
        <v>1364</v>
      </c>
      <c r="X168" s="3" t="s">
        <v>1365</v>
      </c>
      <c r="Y168" s="15" t="n">
        <v>0</v>
      </c>
      <c r="Z168" s="15" t="n">
        <v>1</v>
      </c>
      <c r="AA168" s="15" t="n">
        <v>0</v>
      </c>
      <c r="AB168" s="15" t="n">
        <v>1</v>
      </c>
      <c r="AC168" s="15" t="n">
        <v>0</v>
      </c>
      <c r="AD168" s="15" t="n">
        <v>0</v>
      </c>
      <c r="AE168" s="15" t="n">
        <v>0</v>
      </c>
      <c r="AF168" s="15" t="n">
        <v>1</v>
      </c>
      <c r="AG168" s="15" t="n">
        <v>0</v>
      </c>
      <c r="AH168" s="15" t="n">
        <v>0</v>
      </c>
    </row>
    <row r="169" customFormat="false" ht="35.05" hidden="false" customHeight="false" outlineLevel="0" collapsed="false">
      <c r="A169" s="15" t="s">
        <v>1366</v>
      </c>
      <c r="B169" s="15" t="s">
        <v>37</v>
      </c>
      <c r="C169" s="15" t="s">
        <v>1135</v>
      </c>
      <c r="D169" s="15" t="n">
        <v>52</v>
      </c>
      <c r="E169" s="15" t="s">
        <v>1352</v>
      </c>
      <c r="F169" s="15" t="n">
        <v>2</v>
      </c>
      <c r="G169" s="15" t="s">
        <v>197</v>
      </c>
      <c r="H169" s="15" t="s">
        <v>142</v>
      </c>
      <c r="I169" s="3" t="s">
        <v>1367</v>
      </c>
      <c r="J169" s="3" t="s">
        <v>1368</v>
      </c>
      <c r="K169" s="15" t="s">
        <v>133</v>
      </c>
      <c r="L169" s="16" t="s">
        <v>7</v>
      </c>
      <c r="M169" s="15" t="s">
        <v>68</v>
      </c>
      <c r="N169" s="15" t="s">
        <v>84</v>
      </c>
      <c r="O169" s="15" t="s">
        <v>256</v>
      </c>
      <c r="P169" s="15" t="s">
        <v>135</v>
      </c>
      <c r="Q169" s="15" t="s">
        <v>129</v>
      </c>
      <c r="R169" s="15" t="s">
        <v>135</v>
      </c>
      <c r="S169" s="15"/>
      <c r="T169" s="15"/>
      <c r="U169" s="3" t="s">
        <v>1369</v>
      </c>
      <c r="V169" s="3" t="s">
        <v>1370</v>
      </c>
      <c r="W169" s="3" t="s">
        <v>1371</v>
      </c>
      <c r="X169" s="3" t="s">
        <v>1372</v>
      </c>
      <c r="Y169" s="15" t="n">
        <v>0</v>
      </c>
      <c r="Z169" s="15" t="n">
        <v>1</v>
      </c>
      <c r="AA169" s="15" t="n">
        <v>0</v>
      </c>
      <c r="AB169" s="15" t="n">
        <v>1</v>
      </c>
      <c r="AC169" s="15" t="n">
        <v>0</v>
      </c>
      <c r="AD169" s="15" t="n">
        <v>0</v>
      </c>
      <c r="AE169" s="15" t="n">
        <v>0</v>
      </c>
      <c r="AF169" s="15" t="n">
        <v>1</v>
      </c>
      <c r="AG169" s="15" t="n">
        <v>0</v>
      </c>
      <c r="AH169" s="15" t="n">
        <v>0</v>
      </c>
    </row>
    <row r="170" customFormat="false" ht="46.25" hidden="false" customHeight="false" outlineLevel="0" collapsed="false">
      <c r="A170" s="15" t="s">
        <v>1373</v>
      </c>
      <c r="B170" s="15" t="s">
        <v>37</v>
      </c>
      <c r="C170" s="15" t="s">
        <v>1135</v>
      </c>
      <c r="D170" s="15" t="n">
        <v>55</v>
      </c>
      <c r="E170" s="15" t="s">
        <v>1374</v>
      </c>
      <c r="F170" s="15" t="n">
        <v>0</v>
      </c>
      <c r="G170" s="15" t="s">
        <v>129</v>
      </c>
      <c r="H170" s="15" t="s">
        <v>130</v>
      </c>
      <c r="I170" s="3" t="s">
        <v>1375</v>
      </c>
      <c r="J170" s="3" t="s">
        <v>1376</v>
      </c>
      <c r="K170" s="15" t="s">
        <v>133</v>
      </c>
      <c r="L170" s="16" t="s">
        <v>7</v>
      </c>
      <c r="M170" s="15" t="s">
        <v>68</v>
      </c>
      <c r="N170" s="15" t="s">
        <v>84</v>
      </c>
      <c r="O170" s="15" t="s">
        <v>1377</v>
      </c>
      <c r="P170" s="15" t="s">
        <v>185</v>
      </c>
      <c r="Q170" s="15" t="s">
        <v>129</v>
      </c>
      <c r="R170" s="15" t="s">
        <v>135</v>
      </c>
      <c r="S170" s="15"/>
      <c r="T170" s="15"/>
      <c r="U170" s="3" t="s">
        <v>1378</v>
      </c>
      <c r="V170" s="3" t="s">
        <v>1379</v>
      </c>
      <c r="W170" s="3" t="s">
        <v>1380</v>
      </c>
      <c r="X170" s="3" t="s">
        <v>1381</v>
      </c>
      <c r="Y170" s="15" t="n">
        <v>0</v>
      </c>
      <c r="Z170" s="15" t="n">
        <v>0</v>
      </c>
      <c r="AA170" s="15" t="n">
        <v>0</v>
      </c>
      <c r="AB170" s="15" t="n">
        <v>1</v>
      </c>
      <c r="AC170" s="15" t="n">
        <v>1</v>
      </c>
      <c r="AD170" s="15" t="n">
        <v>0</v>
      </c>
      <c r="AE170" s="15" t="n">
        <v>0</v>
      </c>
      <c r="AF170" s="15" t="n">
        <v>0</v>
      </c>
      <c r="AG170" s="15" t="n">
        <v>0</v>
      </c>
      <c r="AH170" s="15" t="n">
        <v>0</v>
      </c>
    </row>
    <row r="171" customFormat="false" ht="35.05" hidden="false" customHeight="false" outlineLevel="0" collapsed="false">
      <c r="A171" s="15" t="s">
        <v>1382</v>
      </c>
      <c r="B171" s="15" t="s">
        <v>37</v>
      </c>
      <c r="C171" s="15" t="s">
        <v>1135</v>
      </c>
      <c r="D171" s="15" t="n">
        <v>55</v>
      </c>
      <c r="E171" s="15" t="s">
        <v>1374</v>
      </c>
      <c r="F171" s="15" t="n">
        <v>1</v>
      </c>
      <c r="G171" s="15" t="s">
        <v>197</v>
      </c>
      <c r="H171" s="15" t="s">
        <v>142</v>
      </c>
      <c r="I171" s="3" t="s">
        <v>1383</v>
      </c>
      <c r="J171" s="3" t="s">
        <v>1384</v>
      </c>
      <c r="K171" s="15" t="s">
        <v>145</v>
      </c>
      <c r="L171" s="16" t="s">
        <v>7</v>
      </c>
      <c r="M171" s="15" t="s">
        <v>66</v>
      </c>
      <c r="N171" s="15" t="s">
        <v>90</v>
      </c>
      <c r="O171" s="15" t="s">
        <v>90</v>
      </c>
      <c r="P171" s="15" t="s">
        <v>185</v>
      </c>
      <c r="Q171" s="15" t="s">
        <v>197</v>
      </c>
      <c r="R171" s="15" t="s">
        <v>185</v>
      </c>
      <c r="S171" s="15"/>
      <c r="T171" s="15"/>
      <c r="U171" s="3" t="s">
        <v>1385</v>
      </c>
      <c r="V171" s="3" t="s">
        <v>1386</v>
      </c>
      <c r="W171" s="3" t="s">
        <v>1387</v>
      </c>
      <c r="X171" s="3" t="s">
        <v>1388</v>
      </c>
      <c r="Y171" s="15" t="n">
        <v>0</v>
      </c>
      <c r="Z171" s="15" t="n">
        <v>0</v>
      </c>
      <c r="AA171" s="15" t="n">
        <v>0</v>
      </c>
      <c r="AB171" s="15" t="n">
        <v>0</v>
      </c>
      <c r="AC171" s="15" t="n">
        <v>0</v>
      </c>
      <c r="AD171" s="15" t="n">
        <v>0</v>
      </c>
      <c r="AE171" s="15" t="n">
        <v>0</v>
      </c>
      <c r="AF171" s="15" t="n">
        <v>0</v>
      </c>
      <c r="AG171" s="15" t="n">
        <v>0</v>
      </c>
      <c r="AH171" s="15" t="n">
        <v>1</v>
      </c>
    </row>
    <row r="172" customFormat="false" ht="46.25" hidden="false" customHeight="false" outlineLevel="0" collapsed="false">
      <c r="A172" s="15" t="s">
        <v>1389</v>
      </c>
      <c r="B172" s="15" t="s">
        <v>37</v>
      </c>
      <c r="C172" s="15" t="s">
        <v>1135</v>
      </c>
      <c r="D172" s="15" t="n">
        <v>55</v>
      </c>
      <c r="E172" s="15" t="s">
        <v>1374</v>
      </c>
      <c r="F172" s="15" t="n">
        <v>2</v>
      </c>
      <c r="G172" s="15" t="s">
        <v>141</v>
      </c>
      <c r="H172" s="15" t="s">
        <v>142</v>
      </c>
      <c r="I172" s="3" t="s">
        <v>1390</v>
      </c>
      <c r="J172" s="3" t="s">
        <v>1391</v>
      </c>
      <c r="K172" s="15" t="s">
        <v>133</v>
      </c>
      <c r="L172" s="16" t="s">
        <v>7</v>
      </c>
      <c r="M172" s="15" t="s">
        <v>66</v>
      </c>
      <c r="N172" s="15" t="s">
        <v>88</v>
      </c>
      <c r="O172" s="15" t="s">
        <v>1392</v>
      </c>
      <c r="P172" s="15" t="s">
        <v>135</v>
      </c>
      <c r="Q172" s="15" t="s">
        <v>129</v>
      </c>
      <c r="R172" s="15" t="s">
        <v>135</v>
      </c>
      <c r="S172" s="15"/>
      <c r="T172" s="15"/>
      <c r="U172" s="3" t="s">
        <v>1393</v>
      </c>
      <c r="V172" s="3" t="s">
        <v>1394</v>
      </c>
      <c r="W172" s="3" t="s">
        <v>1395</v>
      </c>
      <c r="X172" s="3" t="s">
        <v>1396</v>
      </c>
      <c r="Y172" s="15" t="n">
        <v>0</v>
      </c>
      <c r="Z172" s="15" t="n">
        <v>0</v>
      </c>
      <c r="AA172" s="15" t="n">
        <v>0</v>
      </c>
      <c r="AB172" s="15" t="n">
        <v>0</v>
      </c>
      <c r="AC172" s="15" t="n">
        <v>1</v>
      </c>
      <c r="AD172" s="15" t="n">
        <v>0</v>
      </c>
      <c r="AE172" s="15" t="n">
        <v>1</v>
      </c>
      <c r="AF172" s="15" t="n">
        <v>1</v>
      </c>
      <c r="AG172" s="15" t="n">
        <v>0</v>
      </c>
      <c r="AH172" s="15" t="n">
        <v>0</v>
      </c>
    </row>
    <row r="173" customFormat="false" ht="57.45" hidden="false" customHeight="false" outlineLevel="0" collapsed="false">
      <c r="A173" s="15" t="s">
        <v>1397</v>
      </c>
      <c r="B173" s="15" t="s">
        <v>37</v>
      </c>
      <c r="C173" s="15" t="s">
        <v>1135</v>
      </c>
      <c r="D173" s="15" t="n">
        <v>66</v>
      </c>
      <c r="E173" s="15" t="s">
        <v>1398</v>
      </c>
      <c r="F173" s="15" t="n">
        <v>0</v>
      </c>
      <c r="G173" s="15" t="s">
        <v>129</v>
      </c>
      <c r="H173" s="15" t="s">
        <v>130</v>
      </c>
      <c r="I173" s="3" t="s">
        <v>1399</v>
      </c>
      <c r="J173" s="3" t="s">
        <v>1400</v>
      </c>
      <c r="K173" s="15" t="s">
        <v>145</v>
      </c>
      <c r="L173" s="16" t="s">
        <v>7</v>
      </c>
      <c r="M173" s="15" t="s">
        <v>68</v>
      </c>
      <c r="N173" s="15" t="s">
        <v>82</v>
      </c>
      <c r="O173" s="15" t="s">
        <v>215</v>
      </c>
      <c r="P173" s="15" t="s">
        <v>135</v>
      </c>
      <c r="Q173" s="15" t="s">
        <v>136</v>
      </c>
      <c r="R173" s="15" t="s">
        <v>135</v>
      </c>
      <c r="S173" s="15"/>
      <c r="T173" s="15"/>
      <c r="U173" s="3" t="s">
        <v>1401</v>
      </c>
      <c r="V173" s="3" t="s">
        <v>1402</v>
      </c>
      <c r="W173" s="3"/>
      <c r="X173" s="3" t="s">
        <v>1403</v>
      </c>
      <c r="Y173" s="15" t="n">
        <v>0</v>
      </c>
      <c r="Z173" s="15" t="n">
        <v>1</v>
      </c>
      <c r="AA173" s="15" t="n">
        <v>0</v>
      </c>
      <c r="AB173" s="15" t="n">
        <v>0</v>
      </c>
      <c r="AC173" s="15" t="n">
        <v>0</v>
      </c>
      <c r="AD173" s="15" t="n">
        <v>0</v>
      </c>
      <c r="AE173" s="15" t="n">
        <v>0</v>
      </c>
      <c r="AF173" s="15" t="n">
        <v>1</v>
      </c>
      <c r="AG173" s="15" t="n">
        <v>0</v>
      </c>
      <c r="AH173" s="15" t="n">
        <v>0</v>
      </c>
    </row>
    <row r="174" customFormat="false" ht="46.25" hidden="false" customHeight="false" outlineLevel="0" collapsed="false">
      <c r="A174" s="15" t="s">
        <v>1404</v>
      </c>
      <c r="B174" s="15" t="s">
        <v>37</v>
      </c>
      <c r="C174" s="15" t="s">
        <v>1135</v>
      </c>
      <c r="D174" s="15" t="n">
        <v>66</v>
      </c>
      <c r="E174" s="15" t="s">
        <v>1398</v>
      </c>
      <c r="F174" s="15" t="n">
        <v>1</v>
      </c>
      <c r="G174" s="15" t="s">
        <v>141</v>
      </c>
      <c r="H174" s="15" t="s">
        <v>142</v>
      </c>
      <c r="I174" s="3" t="s">
        <v>1405</v>
      </c>
      <c r="J174" s="3" t="s">
        <v>1406</v>
      </c>
      <c r="K174" s="15" t="s">
        <v>133</v>
      </c>
      <c r="L174" s="16" t="s">
        <v>7</v>
      </c>
      <c r="M174" s="15" t="s">
        <v>68</v>
      </c>
      <c r="N174" s="15" t="s">
        <v>82</v>
      </c>
      <c r="O174" s="15" t="s">
        <v>222</v>
      </c>
      <c r="P174" s="15" t="s">
        <v>135</v>
      </c>
      <c r="Q174" s="15" t="s">
        <v>136</v>
      </c>
      <c r="R174" s="15" t="s">
        <v>135</v>
      </c>
      <c r="S174" s="15"/>
      <c r="T174" s="15"/>
      <c r="U174" s="3" t="s">
        <v>1407</v>
      </c>
      <c r="V174" s="3" t="s">
        <v>1408</v>
      </c>
      <c r="W174" s="3" t="s">
        <v>1409</v>
      </c>
      <c r="X174" s="3" t="s">
        <v>1410</v>
      </c>
      <c r="Y174" s="15" t="n">
        <v>0</v>
      </c>
      <c r="Z174" s="15" t="n">
        <v>1</v>
      </c>
      <c r="AA174" s="15" t="n">
        <v>0</v>
      </c>
      <c r="AB174" s="15" t="n">
        <v>0</v>
      </c>
      <c r="AC174" s="15" t="n">
        <v>0</v>
      </c>
      <c r="AD174" s="15" t="n">
        <v>0</v>
      </c>
      <c r="AE174" s="15" t="n">
        <v>0</v>
      </c>
      <c r="AF174" s="15" t="n">
        <v>1</v>
      </c>
      <c r="AG174" s="15" t="n">
        <v>0</v>
      </c>
      <c r="AH174" s="15" t="n">
        <v>1</v>
      </c>
    </row>
    <row r="175" customFormat="false" ht="35.05" hidden="false" customHeight="false" outlineLevel="0" collapsed="false">
      <c r="A175" s="15" t="s">
        <v>1411</v>
      </c>
      <c r="B175" s="15" t="s">
        <v>37</v>
      </c>
      <c r="C175" s="15" t="s">
        <v>1135</v>
      </c>
      <c r="D175" s="15" t="n">
        <v>66</v>
      </c>
      <c r="E175" s="15" t="s">
        <v>1398</v>
      </c>
      <c r="F175" s="15" t="n">
        <v>2</v>
      </c>
      <c r="G175" s="15" t="s">
        <v>197</v>
      </c>
      <c r="H175" s="15" t="s">
        <v>142</v>
      </c>
      <c r="I175" s="3" t="s">
        <v>1412</v>
      </c>
      <c r="J175" s="3" t="s">
        <v>1413</v>
      </c>
      <c r="K175" s="15" t="s">
        <v>145</v>
      </c>
      <c r="L175" s="16" t="s">
        <v>7</v>
      </c>
      <c r="M175" s="15" t="s">
        <v>68</v>
      </c>
      <c r="N175" s="15" t="s">
        <v>82</v>
      </c>
      <c r="O175" s="15" t="s">
        <v>222</v>
      </c>
      <c r="P175" s="15" t="s">
        <v>135</v>
      </c>
      <c r="Q175" s="15" t="s">
        <v>136</v>
      </c>
      <c r="R175" s="15" t="s">
        <v>135</v>
      </c>
      <c r="S175" s="15"/>
      <c r="T175" s="15"/>
      <c r="U175" s="3" t="s">
        <v>1414</v>
      </c>
      <c r="V175" s="3" t="s">
        <v>1415</v>
      </c>
      <c r="W175" s="3" t="s">
        <v>1416</v>
      </c>
      <c r="X175" s="3" t="s">
        <v>1417</v>
      </c>
      <c r="Y175" s="15" t="n">
        <v>0</v>
      </c>
      <c r="Z175" s="15" t="n">
        <v>1</v>
      </c>
      <c r="AA175" s="15" t="n">
        <v>0</v>
      </c>
      <c r="AB175" s="15" t="n">
        <v>0</v>
      </c>
      <c r="AC175" s="15" t="n">
        <v>0</v>
      </c>
      <c r="AD175" s="15" t="n">
        <v>0</v>
      </c>
      <c r="AE175" s="15" t="n">
        <v>0</v>
      </c>
      <c r="AF175" s="15" t="n">
        <v>1</v>
      </c>
      <c r="AG175" s="15" t="n">
        <v>0</v>
      </c>
      <c r="AH175" s="15" t="n">
        <v>1</v>
      </c>
    </row>
    <row r="176" customFormat="false" ht="46.25" hidden="false" customHeight="false" outlineLevel="0" collapsed="false">
      <c r="A176" s="15" t="s">
        <v>1418</v>
      </c>
      <c r="B176" s="15" t="s">
        <v>37</v>
      </c>
      <c r="C176" s="15" t="s">
        <v>1135</v>
      </c>
      <c r="D176" s="15" t="n">
        <v>67</v>
      </c>
      <c r="E176" s="15" t="s">
        <v>1419</v>
      </c>
      <c r="F176" s="15" t="n">
        <v>0</v>
      </c>
      <c r="G176" s="15" t="s">
        <v>307</v>
      </c>
      <c r="H176" s="15" t="s">
        <v>308</v>
      </c>
      <c r="I176" s="3" t="s">
        <v>1420</v>
      </c>
      <c r="J176" s="3" t="s">
        <v>1421</v>
      </c>
      <c r="K176" s="15" t="s">
        <v>133</v>
      </c>
      <c r="L176" s="16" t="s">
        <v>7</v>
      </c>
      <c r="M176" s="15" t="s">
        <v>68</v>
      </c>
      <c r="N176" s="15" t="s">
        <v>82</v>
      </c>
      <c r="O176" s="15" t="s">
        <v>176</v>
      </c>
      <c r="P176" s="15" t="s">
        <v>135</v>
      </c>
      <c r="Q176" s="15" t="s">
        <v>136</v>
      </c>
      <c r="R176" s="15" t="s">
        <v>135</v>
      </c>
      <c r="S176" s="15"/>
      <c r="T176" s="15"/>
      <c r="U176" s="3" t="s">
        <v>1422</v>
      </c>
      <c r="V176" s="3" t="s">
        <v>1423</v>
      </c>
      <c r="W176" s="3" t="s">
        <v>1424</v>
      </c>
      <c r="X176" s="3" t="s">
        <v>1425</v>
      </c>
      <c r="Y176" s="15" t="n">
        <v>0</v>
      </c>
      <c r="Z176" s="15" t="n">
        <v>1</v>
      </c>
      <c r="AA176" s="15" t="n">
        <v>0</v>
      </c>
      <c r="AB176" s="15" t="n">
        <v>0</v>
      </c>
      <c r="AC176" s="15" t="n">
        <v>1</v>
      </c>
      <c r="AD176" s="15" t="n">
        <v>0</v>
      </c>
      <c r="AE176" s="15" t="n">
        <v>0</v>
      </c>
      <c r="AF176" s="15" t="n">
        <v>1</v>
      </c>
      <c r="AG176" s="15" t="n">
        <v>0</v>
      </c>
      <c r="AH176" s="15" t="n">
        <v>0</v>
      </c>
    </row>
    <row r="177" customFormat="false" ht="35.05" hidden="false" customHeight="false" outlineLevel="0" collapsed="false">
      <c r="A177" s="15" t="s">
        <v>1426</v>
      </c>
      <c r="B177" s="15" t="s">
        <v>37</v>
      </c>
      <c r="C177" s="15" t="s">
        <v>1135</v>
      </c>
      <c r="D177" s="15" t="n">
        <v>67</v>
      </c>
      <c r="E177" s="15" t="s">
        <v>1419</v>
      </c>
      <c r="F177" s="15" t="n">
        <v>1</v>
      </c>
      <c r="G177" s="15" t="s">
        <v>152</v>
      </c>
      <c r="H177" s="15" t="s">
        <v>142</v>
      </c>
      <c r="I177" s="3" t="s">
        <v>1427</v>
      </c>
      <c r="J177" s="3" t="s">
        <v>1428</v>
      </c>
      <c r="K177" s="15" t="s">
        <v>145</v>
      </c>
      <c r="L177" s="16" t="s">
        <v>7</v>
      </c>
      <c r="M177" s="15" t="s">
        <v>68</v>
      </c>
      <c r="N177" s="15" t="s">
        <v>82</v>
      </c>
      <c r="O177" s="15" t="s">
        <v>176</v>
      </c>
      <c r="P177" s="15" t="s">
        <v>135</v>
      </c>
      <c r="Q177" s="15" t="s">
        <v>307</v>
      </c>
      <c r="R177" s="15" t="s">
        <v>135</v>
      </c>
      <c r="S177" s="15"/>
      <c r="T177" s="15"/>
      <c r="U177" s="3" t="s">
        <v>1429</v>
      </c>
      <c r="V177" s="3" t="s">
        <v>1430</v>
      </c>
      <c r="W177" s="3" t="s">
        <v>1431</v>
      </c>
      <c r="X177" s="3" t="s">
        <v>1432</v>
      </c>
      <c r="Y177" s="15" t="n">
        <v>0</v>
      </c>
      <c r="Z177" s="15" t="n">
        <v>1</v>
      </c>
      <c r="AA177" s="15" t="n">
        <v>0</v>
      </c>
      <c r="AB177" s="15" t="n">
        <v>0</v>
      </c>
      <c r="AC177" s="15" t="n">
        <v>1</v>
      </c>
      <c r="AD177" s="15" t="n">
        <v>0</v>
      </c>
      <c r="AE177" s="15" t="n">
        <v>0</v>
      </c>
      <c r="AF177" s="15" t="n">
        <v>1</v>
      </c>
      <c r="AG177" s="15" t="n">
        <v>0</v>
      </c>
      <c r="AH177" s="15" t="n">
        <v>0</v>
      </c>
    </row>
    <row r="178" customFormat="false" ht="35.05" hidden="false" customHeight="false" outlineLevel="0" collapsed="false">
      <c r="A178" s="15" t="s">
        <v>1433</v>
      </c>
      <c r="B178" s="15" t="s">
        <v>37</v>
      </c>
      <c r="C178" s="15" t="s">
        <v>1135</v>
      </c>
      <c r="D178" s="15" t="n">
        <v>67</v>
      </c>
      <c r="E178" s="15" t="s">
        <v>1419</v>
      </c>
      <c r="F178" s="15" t="n">
        <v>2</v>
      </c>
      <c r="G178" s="15" t="s">
        <v>136</v>
      </c>
      <c r="H178" s="15" t="s">
        <v>308</v>
      </c>
      <c r="I178" s="3" t="s">
        <v>1434</v>
      </c>
      <c r="J178" s="3" t="s">
        <v>1435</v>
      </c>
      <c r="K178" s="15" t="s">
        <v>133</v>
      </c>
      <c r="L178" s="16" t="s">
        <v>7</v>
      </c>
      <c r="M178" s="15" t="s">
        <v>68</v>
      </c>
      <c r="N178" s="15" t="s">
        <v>82</v>
      </c>
      <c r="O178" s="15" t="s">
        <v>606</v>
      </c>
      <c r="P178" s="15" t="s">
        <v>185</v>
      </c>
      <c r="Q178" s="15" t="s">
        <v>136</v>
      </c>
      <c r="R178" s="15" t="s">
        <v>135</v>
      </c>
      <c r="S178" s="15"/>
      <c r="T178" s="15"/>
      <c r="U178" s="3" t="s">
        <v>1436</v>
      </c>
      <c r="V178" s="3" t="s">
        <v>1437</v>
      </c>
      <c r="W178" s="3"/>
      <c r="X178" s="3" t="s">
        <v>1438</v>
      </c>
      <c r="Y178" s="15" t="n">
        <v>0</v>
      </c>
      <c r="Z178" s="15" t="n">
        <v>1</v>
      </c>
      <c r="AA178" s="15" t="n">
        <v>0</v>
      </c>
      <c r="AB178" s="15" t="n">
        <v>0</v>
      </c>
      <c r="AC178" s="15" t="n">
        <v>1</v>
      </c>
      <c r="AD178" s="15" t="n">
        <v>0</v>
      </c>
      <c r="AE178" s="15" t="n">
        <v>0</v>
      </c>
      <c r="AF178" s="15" t="n">
        <v>0</v>
      </c>
      <c r="AG178" s="15" t="n">
        <v>0</v>
      </c>
      <c r="AH178" s="15" t="n">
        <v>0</v>
      </c>
    </row>
    <row r="179" customFormat="false" ht="68.65" hidden="false" customHeight="false" outlineLevel="0" collapsed="false">
      <c r="A179" s="15" t="s">
        <v>1439</v>
      </c>
      <c r="B179" s="15" t="s">
        <v>37</v>
      </c>
      <c r="C179" s="15" t="s">
        <v>1440</v>
      </c>
      <c r="D179" s="15" t="n">
        <v>31</v>
      </c>
      <c r="E179" s="15" t="s">
        <v>1441</v>
      </c>
      <c r="F179" s="15" t="n">
        <v>0</v>
      </c>
      <c r="G179" s="15" t="s">
        <v>129</v>
      </c>
      <c r="H179" s="15" t="s">
        <v>130</v>
      </c>
      <c r="I179" s="3" t="s">
        <v>1442</v>
      </c>
      <c r="J179" s="3" t="s">
        <v>1443</v>
      </c>
      <c r="K179" s="15" t="s">
        <v>145</v>
      </c>
      <c r="L179" s="17" t="s">
        <v>9</v>
      </c>
      <c r="M179" s="15" t="s">
        <v>70</v>
      </c>
      <c r="N179" s="15" t="s">
        <v>81</v>
      </c>
      <c r="O179" s="15" t="s">
        <v>81</v>
      </c>
      <c r="P179" s="15" t="s">
        <v>135</v>
      </c>
      <c r="Q179" s="15" t="s">
        <v>129</v>
      </c>
      <c r="R179" s="15" t="s">
        <v>135</v>
      </c>
      <c r="S179" s="15" t="s">
        <v>405</v>
      </c>
      <c r="T179" s="15" t="s">
        <v>342</v>
      </c>
      <c r="U179" s="3" t="s">
        <v>1444</v>
      </c>
      <c r="V179" s="3" t="s">
        <v>1445</v>
      </c>
      <c r="W179" s="3"/>
      <c r="X179" s="3"/>
      <c r="Y179" s="15" t="n">
        <v>1</v>
      </c>
      <c r="Z179" s="15" t="n">
        <v>0</v>
      </c>
      <c r="AA179" s="15" t="n">
        <v>0</v>
      </c>
      <c r="AB179" s="15" t="n">
        <v>0</v>
      </c>
      <c r="AC179" s="15" t="n">
        <v>0</v>
      </c>
      <c r="AD179" s="15" t="n">
        <v>0</v>
      </c>
      <c r="AE179" s="15" t="n">
        <v>0</v>
      </c>
      <c r="AF179" s="15" t="n">
        <v>0</v>
      </c>
      <c r="AG179" s="15" t="n">
        <v>0</v>
      </c>
      <c r="AH179" s="15" t="n">
        <v>0</v>
      </c>
    </row>
    <row r="180" customFormat="false" ht="57.45" hidden="false" customHeight="false" outlineLevel="0" collapsed="false">
      <c r="A180" s="15" t="s">
        <v>1446</v>
      </c>
      <c r="B180" s="15" t="s">
        <v>37</v>
      </c>
      <c r="C180" s="15" t="s">
        <v>1440</v>
      </c>
      <c r="D180" s="15" t="n">
        <v>31</v>
      </c>
      <c r="E180" s="15" t="s">
        <v>1441</v>
      </c>
      <c r="F180" s="15" t="n">
        <v>1</v>
      </c>
      <c r="G180" s="15" t="s">
        <v>141</v>
      </c>
      <c r="H180" s="15" t="s">
        <v>142</v>
      </c>
      <c r="I180" s="3" t="s">
        <v>1447</v>
      </c>
      <c r="J180" s="3" t="s">
        <v>1448</v>
      </c>
      <c r="K180" s="15" t="s">
        <v>145</v>
      </c>
      <c r="L180" s="17" t="s">
        <v>9</v>
      </c>
      <c r="M180" s="15" t="s">
        <v>70</v>
      </c>
      <c r="N180" s="15" t="s">
        <v>81</v>
      </c>
      <c r="O180" s="15" t="s">
        <v>1449</v>
      </c>
      <c r="P180" s="15" t="s">
        <v>135</v>
      </c>
      <c r="Q180" s="15" t="s">
        <v>129</v>
      </c>
      <c r="R180" s="15" t="s">
        <v>135</v>
      </c>
      <c r="S180" s="15" t="s">
        <v>398</v>
      </c>
      <c r="T180" s="15" t="s">
        <v>390</v>
      </c>
      <c r="U180" s="3" t="s">
        <v>1450</v>
      </c>
      <c r="V180" s="3" t="s">
        <v>1451</v>
      </c>
      <c r="W180" s="3"/>
      <c r="X180" s="3"/>
      <c r="Y180" s="15" t="n">
        <v>1</v>
      </c>
      <c r="Z180" s="15" t="n">
        <v>1</v>
      </c>
      <c r="AA180" s="15" t="n">
        <v>0</v>
      </c>
      <c r="AB180" s="15" t="n">
        <v>0</v>
      </c>
      <c r="AC180" s="15" t="n">
        <v>0</v>
      </c>
      <c r="AD180" s="15" t="n">
        <v>0</v>
      </c>
      <c r="AE180" s="15" t="n">
        <v>0</v>
      </c>
      <c r="AF180" s="15" t="n">
        <v>0</v>
      </c>
      <c r="AG180" s="15" t="n">
        <v>0</v>
      </c>
      <c r="AH180" s="15" t="n">
        <v>1</v>
      </c>
    </row>
    <row r="181" customFormat="false" ht="68.65" hidden="false" customHeight="false" outlineLevel="0" collapsed="false">
      <c r="A181" s="15" t="s">
        <v>1452</v>
      </c>
      <c r="B181" s="15" t="s">
        <v>37</v>
      </c>
      <c r="C181" s="15" t="s">
        <v>1440</v>
      </c>
      <c r="D181" s="15" t="n">
        <v>31</v>
      </c>
      <c r="E181" s="15" t="s">
        <v>1441</v>
      </c>
      <c r="F181" s="15" t="n">
        <v>2</v>
      </c>
      <c r="G181" s="15" t="s">
        <v>152</v>
      </c>
      <c r="H181" s="15" t="s">
        <v>142</v>
      </c>
      <c r="I181" s="3" t="s">
        <v>1442</v>
      </c>
      <c r="J181" s="3" t="s">
        <v>1443</v>
      </c>
      <c r="K181" s="15" t="s">
        <v>133</v>
      </c>
      <c r="L181" s="17" t="s">
        <v>9</v>
      </c>
      <c r="M181" s="15" t="s">
        <v>70</v>
      </c>
      <c r="N181" s="15" t="s">
        <v>81</v>
      </c>
      <c r="O181" s="15" t="s">
        <v>81</v>
      </c>
      <c r="P181" s="15" t="s">
        <v>135</v>
      </c>
      <c r="Q181" s="15" t="s">
        <v>129</v>
      </c>
      <c r="R181" s="15" t="s">
        <v>135</v>
      </c>
      <c r="S181" s="15" t="s">
        <v>405</v>
      </c>
      <c r="T181" s="15" t="s">
        <v>342</v>
      </c>
      <c r="U181" s="3" t="s">
        <v>1453</v>
      </c>
      <c r="V181" s="3" t="s">
        <v>1454</v>
      </c>
      <c r="W181" s="3"/>
      <c r="X181" s="3"/>
      <c r="Y181" s="15" t="n">
        <v>1</v>
      </c>
      <c r="Z181" s="15" t="n">
        <v>0</v>
      </c>
      <c r="AA181" s="15" t="n">
        <v>0</v>
      </c>
      <c r="AB181" s="15" t="n">
        <v>0</v>
      </c>
      <c r="AC181" s="15" t="n">
        <v>0</v>
      </c>
      <c r="AD181" s="15" t="n">
        <v>0</v>
      </c>
      <c r="AE181" s="15" t="n">
        <v>0</v>
      </c>
      <c r="AF181" s="15" t="n">
        <v>0</v>
      </c>
      <c r="AG181" s="15" t="n">
        <v>0</v>
      </c>
      <c r="AH181" s="15" t="n">
        <v>0</v>
      </c>
    </row>
    <row r="182" customFormat="false" ht="46.25" hidden="false" customHeight="false" outlineLevel="0" collapsed="false">
      <c r="A182" s="15" t="s">
        <v>1455</v>
      </c>
      <c r="B182" s="15" t="s">
        <v>37</v>
      </c>
      <c r="C182" s="15" t="s">
        <v>1440</v>
      </c>
      <c r="D182" s="15" t="n">
        <v>33</v>
      </c>
      <c r="E182" s="15" t="s">
        <v>1456</v>
      </c>
      <c r="F182" s="15" t="n">
        <v>0</v>
      </c>
      <c r="G182" s="15" t="s">
        <v>129</v>
      </c>
      <c r="H182" s="15" t="s">
        <v>130</v>
      </c>
      <c r="I182" s="3" t="s">
        <v>1457</v>
      </c>
      <c r="J182" s="3" t="s">
        <v>1458</v>
      </c>
      <c r="K182" s="15" t="s">
        <v>133</v>
      </c>
      <c r="L182" s="16" t="s">
        <v>7</v>
      </c>
      <c r="M182" s="15" t="s">
        <v>68</v>
      </c>
      <c r="N182" s="15" t="s">
        <v>82</v>
      </c>
      <c r="O182" s="15" t="s">
        <v>1459</v>
      </c>
      <c r="P182" s="15" t="s">
        <v>185</v>
      </c>
      <c r="Q182" s="15" t="s">
        <v>129</v>
      </c>
      <c r="R182" s="15" t="s">
        <v>135</v>
      </c>
      <c r="S182" s="15"/>
      <c r="T182" s="15"/>
      <c r="U182" s="3" t="s">
        <v>1460</v>
      </c>
      <c r="V182" s="3" t="s">
        <v>1461</v>
      </c>
      <c r="W182" s="3" t="s">
        <v>1462</v>
      </c>
      <c r="X182" s="3" t="s">
        <v>1463</v>
      </c>
      <c r="Y182" s="15" t="n">
        <v>0</v>
      </c>
      <c r="Z182" s="15" t="n">
        <v>1</v>
      </c>
      <c r="AA182" s="15" t="n">
        <v>0</v>
      </c>
      <c r="AB182" s="15" t="n">
        <v>0</v>
      </c>
      <c r="AC182" s="15" t="n">
        <v>1</v>
      </c>
      <c r="AD182" s="15" t="n">
        <v>0</v>
      </c>
      <c r="AE182" s="15" t="n">
        <v>0</v>
      </c>
      <c r="AF182" s="15" t="n">
        <v>0</v>
      </c>
      <c r="AG182" s="15" t="n">
        <v>0</v>
      </c>
      <c r="AH182" s="15" t="n">
        <v>1</v>
      </c>
    </row>
    <row r="183" customFormat="false" ht="57.45" hidden="false" customHeight="false" outlineLevel="0" collapsed="false">
      <c r="A183" s="15" t="s">
        <v>1464</v>
      </c>
      <c r="B183" s="15" t="s">
        <v>37</v>
      </c>
      <c r="C183" s="15" t="s">
        <v>1440</v>
      </c>
      <c r="D183" s="15" t="n">
        <v>33</v>
      </c>
      <c r="E183" s="15" t="s">
        <v>1456</v>
      </c>
      <c r="F183" s="15" t="n">
        <v>1</v>
      </c>
      <c r="G183" s="15" t="s">
        <v>197</v>
      </c>
      <c r="H183" s="15" t="s">
        <v>142</v>
      </c>
      <c r="I183" s="3" t="s">
        <v>1465</v>
      </c>
      <c r="J183" s="3" t="s">
        <v>1466</v>
      </c>
      <c r="K183" s="15" t="s">
        <v>145</v>
      </c>
      <c r="L183" s="16" t="s">
        <v>7</v>
      </c>
      <c r="M183" s="15" t="s">
        <v>68</v>
      </c>
      <c r="N183" s="15" t="s">
        <v>82</v>
      </c>
      <c r="O183" s="15" t="s">
        <v>1467</v>
      </c>
      <c r="P183" s="15" t="s">
        <v>135</v>
      </c>
      <c r="Q183" s="15" t="s">
        <v>307</v>
      </c>
      <c r="R183" s="15" t="s">
        <v>135</v>
      </c>
      <c r="S183" s="15"/>
      <c r="T183" s="15"/>
      <c r="U183" s="3" t="s">
        <v>1468</v>
      </c>
      <c r="V183" s="3" t="s">
        <v>1469</v>
      </c>
      <c r="W183" s="3" t="s">
        <v>1470</v>
      </c>
      <c r="X183" s="3" t="s">
        <v>1471</v>
      </c>
      <c r="Y183" s="15" t="n">
        <v>1</v>
      </c>
      <c r="Z183" s="15" t="n">
        <v>1</v>
      </c>
      <c r="AA183" s="15" t="n">
        <v>0</v>
      </c>
      <c r="AB183" s="15" t="n">
        <v>0</v>
      </c>
      <c r="AC183" s="15" t="n">
        <v>0</v>
      </c>
      <c r="AD183" s="15" t="n">
        <v>0</v>
      </c>
      <c r="AE183" s="15" t="n">
        <v>0</v>
      </c>
      <c r="AF183" s="15" t="n">
        <v>1</v>
      </c>
      <c r="AG183" s="15" t="n">
        <v>0</v>
      </c>
      <c r="AH183" s="15" t="n">
        <v>0</v>
      </c>
    </row>
    <row r="184" customFormat="false" ht="35.05" hidden="false" customHeight="false" outlineLevel="0" collapsed="false">
      <c r="A184" s="15" t="s">
        <v>1472</v>
      </c>
      <c r="B184" s="15" t="s">
        <v>37</v>
      </c>
      <c r="C184" s="15" t="s">
        <v>1440</v>
      </c>
      <c r="D184" s="15" t="n">
        <v>33</v>
      </c>
      <c r="E184" s="15" t="s">
        <v>1456</v>
      </c>
      <c r="F184" s="15" t="n">
        <v>2</v>
      </c>
      <c r="G184" s="15" t="s">
        <v>141</v>
      </c>
      <c r="H184" s="15" t="s">
        <v>142</v>
      </c>
      <c r="I184" s="3" t="s">
        <v>1473</v>
      </c>
      <c r="J184" s="3" t="s">
        <v>1474</v>
      </c>
      <c r="K184" s="15" t="s">
        <v>133</v>
      </c>
      <c r="L184" s="16" t="s">
        <v>7</v>
      </c>
      <c r="M184" s="15" t="s">
        <v>66</v>
      </c>
      <c r="N184" s="15" t="s">
        <v>85</v>
      </c>
      <c r="O184" s="15" t="s">
        <v>146</v>
      </c>
      <c r="P184" s="15" t="s">
        <v>135</v>
      </c>
      <c r="Q184" s="15" t="s">
        <v>129</v>
      </c>
      <c r="R184" s="15" t="s">
        <v>135</v>
      </c>
      <c r="S184" s="15"/>
      <c r="T184" s="15"/>
      <c r="U184" s="3" t="s">
        <v>1475</v>
      </c>
      <c r="V184" s="3" t="s">
        <v>1476</v>
      </c>
      <c r="W184" s="3" t="s">
        <v>1477</v>
      </c>
      <c r="X184" s="3" t="s">
        <v>1478</v>
      </c>
      <c r="Y184" s="15" t="n">
        <v>0</v>
      </c>
      <c r="Z184" s="15" t="n">
        <v>0</v>
      </c>
      <c r="AA184" s="15" t="n">
        <v>0</v>
      </c>
      <c r="AB184" s="15" t="n">
        <v>0</v>
      </c>
      <c r="AC184" s="15" t="n">
        <v>1</v>
      </c>
      <c r="AD184" s="15" t="n">
        <v>0</v>
      </c>
      <c r="AE184" s="15" t="n">
        <v>0</v>
      </c>
      <c r="AF184" s="15" t="n">
        <v>1</v>
      </c>
      <c r="AG184" s="15" t="n">
        <v>0</v>
      </c>
      <c r="AH184" s="15" t="n">
        <v>0</v>
      </c>
    </row>
    <row r="185" customFormat="false" ht="46.25" hidden="false" customHeight="false" outlineLevel="0" collapsed="false">
      <c r="A185" s="15" t="s">
        <v>1479</v>
      </c>
      <c r="B185" s="15" t="s">
        <v>37</v>
      </c>
      <c r="C185" s="15" t="s">
        <v>1440</v>
      </c>
      <c r="D185" s="15" t="n">
        <v>41</v>
      </c>
      <c r="E185" s="15" t="s">
        <v>1480</v>
      </c>
      <c r="F185" s="15" t="n">
        <v>0</v>
      </c>
      <c r="G185" s="15" t="s">
        <v>129</v>
      </c>
      <c r="H185" s="15" t="s">
        <v>130</v>
      </c>
      <c r="I185" s="3" t="s">
        <v>1481</v>
      </c>
      <c r="J185" s="3" t="s">
        <v>1482</v>
      </c>
      <c r="K185" s="15" t="s">
        <v>133</v>
      </c>
      <c r="L185" s="16" t="s">
        <v>7</v>
      </c>
      <c r="M185" s="15" t="s">
        <v>66</v>
      </c>
      <c r="N185" s="15" t="s">
        <v>85</v>
      </c>
      <c r="O185" s="15" t="s">
        <v>1483</v>
      </c>
      <c r="P185" s="15" t="s">
        <v>185</v>
      </c>
      <c r="Q185" s="15" t="s">
        <v>129</v>
      </c>
      <c r="R185" s="15" t="s">
        <v>135</v>
      </c>
      <c r="S185" s="15"/>
      <c r="T185" s="15"/>
      <c r="U185" s="3" t="s">
        <v>1484</v>
      </c>
      <c r="V185" s="3" t="s">
        <v>1485</v>
      </c>
      <c r="W185" s="3" t="s">
        <v>1486</v>
      </c>
      <c r="X185" s="3" t="s">
        <v>1487</v>
      </c>
      <c r="Y185" s="15" t="n">
        <v>0</v>
      </c>
      <c r="Z185" s="15" t="n">
        <v>0</v>
      </c>
      <c r="AA185" s="15" t="n">
        <v>0</v>
      </c>
      <c r="AB185" s="15" t="n">
        <v>0</v>
      </c>
      <c r="AC185" s="15" t="n">
        <v>1</v>
      </c>
      <c r="AD185" s="15" t="n">
        <v>0</v>
      </c>
      <c r="AE185" s="15" t="n">
        <v>1</v>
      </c>
      <c r="AF185" s="15" t="n">
        <v>0</v>
      </c>
      <c r="AG185" s="15" t="n">
        <v>0</v>
      </c>
      <c r="AH185" s="15" t="n">
        <v>0</v>
      </c>
    </row>
    <row r="186" customFormat="false" ht="57.45" hidden="false" customHeight="false" outlineLevel="0" collapsed="false">
      <c r="A186" s="15" t="s">
        <v>1488</v>
      </c>
      <c r="B186" s="15" t="s">
        <v>37</v>
      </c>
      <c r="C186" s="15" t="s">
        <v>1440</v>
      </c>
      <c r="D186" s="15" t="n">
        <v>41</v>
      </c>
      <c r="E186" s="15" t="s">
        <v>1480</v>
      </c>
      <c r="F186" s="15" t="n">
        <v>1</v>
      </c>
      <c r="G186" s="15" t="s">
        <v>141</v>
      </c>
      <c r="H186" s="15" t="s">
        <v>142</v>
      </c>
      <c r="I186" s="3" t="s">
        <v>1489</v>
      </c>
      <c r="J186" s="3" t="s">
        <v>1490</v>
      </c>
      <c r="K186" s="15" t="s">
        <v>145</v>
      </c>
      <c r="L186" s="16" t="s">
        <v>7</v>
      </c>
      <c r="M186" s="15" t="s">
        <v>68</v>
      </c>
      <c r="N186" s="15" t="s">
        <v>82</v>
      </c>
      <c r="O186" s="15" t="s">
        <v>1491</v>
      </c>
      <c r="P186" s="15" t="s">
        <v>135</v>
      </c>
      <c r="Q186" s="15" t="s">
        <v>129</v>
      </c>
      <c r="R186" s="15" t="s">
        <v>135</v>
      </c>
      <c r="S186" s="15"/>
      <c r="T186" s="15"/>
      <c r="U186" s="3" t="s">
        <v>1492</v>
      </c>
      <c r="V186" s="3" t="s">
        <v>1493</v>
      </c>
      <c r="W186" s="3" t="s">
        <v>1494</v>
      </c>
      <c r="X186" s="3" t="s">
        <v>1495</v>
      </c>
      <c r="Y186" s="15" t="n">
        <v>0</v>
      </c>
      <c r="Z186" s="15" t="n">
        <v>1</v>
      </c>
      <c r="AA186" s="15" t="n">
        <v>0</v>
      </c>
      <c r="AB186" s="15" t="n">
        <v>0</v>
      </c>
      <c r="AC186" s="15" t="n">
        <v>0</v>
      </c>
      <c r="AD186" s="15" t="n">
        <v>0</v>
      </c>
      <c r="AE186" s="15" t="n">
        <v>1</v>
      </c>
      <c r="AF186" s="15" t="n">
        <v>1</v>
      </c>
      <c r="AG186" s="15" t="n">
        <v>0</v>
      </c>
      <c r="AH186" s="15" t="n">
        <v>0</v>
      </c>
    </row>
    <row r="187" customFormat="false" ht="57.45" hidden="false" customHeight="false" outlineLevel="0" collapsed="false">
      <c r="A187" s="15" t="s">
        <v>1496</v>
      </c>
      <c r="B187" s="15" t="s">
        <v>37</v>
      </c>
      <c r="C187" s="15" t="s">
        <v>1440</v>
      </c>
      <c r="D187" s="15" t="n">
        <v>41</v>
      </c>
      <c r="E187" s="15" t="s">
        <v>1480</v>
      </c>
      <c r="F187" s="15" t="n">
        <v>2</v>
      </c>
      <c r="G187" s="15" t="s">
        <v>152</v>
      </c>
      <c r="H187" s="15" t="s">
        <v>142</v>
      </c>
      <c r="I187" s="3" t="s">
        <v>1489</v>
      </c>
      <c r="J187" s="3" t="s">
        <v>1490</v>
      </c>
      <c r="K187" s="15" t="s">
        <v>133</v>
      </c>
      <c r="L187" s="16" t="s">
        <v>7</v>
      </c>
      <c r="M187" s="15" t="s">
        <v>68</v>
      </c>
      <c r="N187" s="15" t="s">
        <v>82</v>
      </c>
      <c r="O187" s="15" t="s">
        <v>1491</v>
      </c>
      <c r="P187" s="15" t="s">
        <v>135</v>
      </c>
      <c r="Q187" s="15" t="s">
        <v>129</v>
      </c>
      <c r="R187" s="15" t="s">
        <v>135</v>
      </c>
      <c r="S187" s="15"/>
      <c r="T187" s="15"/>
      <c r="U187" s="3" t="s">
        <v>1497</v>
      </c>
      <c r="V187" s="3" t="s">
        <v>1498</v>
      </c>
      <c r="W187" s="3" t="s">
        <v>1494</v>
      </c>
      <c r="X187" s="3" t="s">
        <v>1499</v>
      </c>
      <c r="Y187" s="15" t="n">
        <v>0</v>
      </c>
      <c r="Z187" s="15" t="n">
        <v>1</v>
      </c>
      <c r="AA187" s="15" t="n">
        <v>0</v>
      </c>
      <c r="AB187" s="15" t="n">
        <v>0</v>
      </c>
      <c r="AC187" s="15" t="n">
        <v>0</v>
      </c>
      <c r="AD187" s="15" t="n">
        <v>0</v>
      </c>
      <c r="AE187" s="15" t="n">
        <v>1</v>
      </c>
      <c r="AF187" s="15" t="n">
        <v>1</v>
      </c>
      <c r="AG187" s="15" t="n">
        <v>0</v>
      </c>
      <c r="AH187" s="15" t="n">
        <v>0</v>
      </c>
    </row>
    <row r="188" customFormat="false" ht="46.25" hidden="false" customHeight="false" outlineLevel="0" collapsed="false">
      <c r="A188" s="15" t="s">
        <v>1500</v>
      </c>
      <c r="B188" s="15" t="s">
        <v>37</v>
      </c>
      <c r="C188" s="15" t="s">
        <v>1440</v>
      </c>
      <c r="D188" s="15" t="n">
        <v>42</v>
      </c>
      <c r="E188" s="15" t="s">
        <v>1501</v>
      </c>
      <c r="F188" s="15" t="n">
        <v>0</v>
      </c>
      <c r="G188" s="15" t="s">
        <v>197</v>
      </c>
      <c r="H188" s="15" t="s">
        <v>142</v>
      </c>
      <c r="I188" s="3" t="s">
        <v>1502</v>
      </c>
      <c r="J188" s="3" t="s">
        <v>1503</v>
      </c>
      <c r="K188" s="15" t="s">
        <v>133</v>
      </c>
      <c r="L188" s="16" t="s">
        <v>7</v>
      </c>
      <c r="M188" s="15" t="s">
        <v>68</v>
      </c>
      <c r="N188" s="15" t="s">
        <v>85</v>
      </c>
      <c r="O188" s="15" t="s">
        <v>733</v>
      </c>
      <c r="P188" s="15" t="s">
        <v>135</v>
      </c>
      <c r="Q188" s="15" t="s">
        <v>129</v>
      </c>
      <c r="R188" s="15" t="s">
        <v>135</v>
      </c>
      <c r="S188" s="15"/>
      <c r="T188" s="15"/>
      <c r="U188" s="3" t="s">
        <v>1504</v>
      </c>
      <c r="V188" s="3" t="s">
        <v>1505</v>
      </c>
      <c r="W188" s="3" t="s">
        <v>1506</v>
      </c>
      <c r="X188" s="3" t="s">
        <v>1507</v>
      </c>
      <c r="Y188" s="15" t="n">
        <v>0</v>
      </c>
      <c r="Z188" s="15" t="n">
        <v>1</v>
      </c>
      <c r="AA188" s="15" t="n">
        <v>0</v>
      </c>
      <c r="AB188" s="15" t="n">
        <v>0</v>
      </c>
      <c r="AC188" s="15" t="n">
        <v>1</v>
      </c>
      <c r="AD188" s="15" t="n">
        <v>0</v>
      </c>
      <c r="AE188" s="15" t="n">
        <v>0</v>
      </c>
      <c r="AF188" s="15" t="n">
        <v>1</v>
      </c>
      <c r="AG188" s="15" t="n">
        <v>0</v>
      </c>
      <c r="AH188" s="15" t="n">
        <v>0</v>
      </c>
    </row>
    <row r="189" customFormat="false" ht="57.45" hidden="false" customHeight="false" outlineLevel="0" collapsed="false">
      <c r="A189" s="15" t="s">
        <v>1508</v>
      </c>
      <c r="B189" s="15" t="s">
        <v>37</v>
      </c>
      <c r="C189" s="15" t="s">
        <v>1440</v>
      </c>
      <c r="D189" s="15" t="n">
        <v>42</v>
      </c>
      <c r="E189" s="15" t="s">
        <v>1501</v>
      </c>
      <c r="F189" s="15" t="n">
        <v>1</v>
      </c>
      <c r="G189" s="15" t="s">
        <v>152</v>
      </c>
      <c r="H189" s="15" t="s">
        <v>142</v>
      </c>
      <c r="I189" s="3" t="s">
        <v>1509</v>
      </c>
      <c r="J189" s="3" t="s">
        <v>1510</v>
      </c>
      <c r="K189" s="15" t="s">
        <v>145</v>
      </c>
      <c r="L189" s="16" t="s">
        <v>7</v>
      </c>
      <c r="M189" s="15" t="s">
        <v>68</v>
      </c>
      <c r="N189" s="15" t="s">
        <v>82</v>
      </c>
      <c r="O189" s="15" t="s">
        <v>215</v>
      </c>
      <c r="P189" s="15" t="s">
        <v>135</v>
      </c>
      <c r="Q189" s="15" t="s">
        <v>129</v>
      </c>
      <c r="R189" s="15" t="s">
        <v>135</v>
      </c>
      <c r="S189" s="15"/>
      <c r="T189" s="15"/>
      <c r="U189" s="3" t="s">
        <v>1511</v>
      </c>
      <c r="V189" s="3" t="s">
        <v>1512</v>
      </c>
      <c r="W189" s="3" t="s">
        <v>1513</v>
      </c>
      <c r="X189" s="3" t="s">
        <v>1514</v>
      </c>
      <c r="Y189" s="15" t="n">
        <v>0</v>
      </c>
      <c r="Z189" s="15" t="n">
        <v>1</v>
      </c>
      <c r="AA189" s="15" t="n">
        <v>0</v>
      </c>
      <c r="AB189" s="15" t="n">
        <v>0</v>
      </c>
      <c r="AC189" s="15" t="n">
        <v>0</v>
      </c>
      <c r="AD189" s="15" t="n">
        <v>0</v>
      </c>
      <c r="AE189" s="15" t="n">
        <v>0</v>
      </c>
      <c r="AF189" s="15" t="n">
        <v>1</v>
      </c>
      <c r="AG189" s="15" t="n">
        <v>0</v>
      </c>
      <c r="AH189" s="15" t="n">
        <v>0</v>
      </c>
    </row>
    <row r="190" customFormat="false" ht="57.45" hidden="false" customHeight="false" outlineLevel="0" collapsed="false">
      <c r="A190" s="15" t="s">
        <v>1515</v>
      </c>
      <c r="B190" s="15" t="s">
        <v>37</v>
      </c>
      <c r="C190" s="15" t="s">
        <v>1440</v>
      </c>
      <c r="D190" s="15" t="n">
        <v>42</v>
      </c>
      <c r="E190" s="15" t="s">
        <v>1501</v>
      </c>
      <c r="F190" s="15" t="n">
        <v>2</v>
      </c>
      <c r="G190" s="15" t="s">
        <v>141</v>
      </c>
      <c r="H190" s="15" t="s">
        <v>142</v>
      </c>
      <c r="I190" s="3" t="s">
        <v>1516</v>
      </c>
      <c r="J190" s="3" t="s">
        <v>1517</v>
      </c>
      <c r="K190" s="15" t="s">
        <v>133</v>
      </c>
      <c r="L190" s="16" t="s">
        <v>7</v>
      </c>
      <c r="M190" s="15" t="s">
        <v>68</v>
      </c>
      <c r="N190" s="15" t="s">
        <v>82</v>
      </c>
      <c r="O190" s="15" t="s">
        <v>1518</v>
      </c>
      <c r="P190" s="15" t="s">
        <v>135</v>
      </c>
      <c r="Q190" s="15" t="s">
        <v>129</v>
      </c>
      <c r="R190" s="15" t="s">
        <v>135</v>
      </c>
      <c r="S190" s="15"/>
      <c r="T190" s="15"/>
      <c r="U190" s="3" t="s">
        <v>1519</v>
      </c>
      <c r="V190" s="3" t="s">
        <v>1520</v>
      </c>
      <c r="W190" s="3" t="s">
        <v>1521</v>
      </c>
      <c r="X190" s="3" t="s">
        <v>1522</v>
      </c>
      <c r="Y190" s="15" t="n">
        <v>0</v>
      </c>
      <c r="Z190" s="15" t="n">
        <v>1</v>
      </c>
      <c r="AA190" s="15" t="n">
        <v>0</v>
      </c>
      <c r="AB190" s="15" t="n">
        <v>1</v>
      </c>
      <c r="AC190" s="15" t="n">
        <v>1</v>
      </c>
      <c r="AD190" s="15" t="n">
        <v>0</v>
      </c>
      <c r="AE190" s="15" t="n">
        <v>0</v>
      </c>
      <c r="AF190" s="15" t="n">
        <v>1</v>
      </c>
      <c r="AG190" s="15" t="n">
        <v>0</v>
      </c>
      <c r="AH190" s="15" t="n">
        <v>0</v>
      </c>
    </row>
    <row r="191" customFormat="false" ht="46.25" hidden="false" customHeight="false" outlineLevel="0" collapsed="false">
      <c r="A191" s="15" t="s">
        <v>1523</v>
      </c>
      <c r="B191" s="15" t="s">
        <v>37</v>
      </c>
      <c r="C191" s="15" t="s">
        <v>1440</v>
      </c>
      <c r="D191" s="15" t="n">
        <v>43</v>
      </c>
      <c r="E191" s="15" t="s">
        <v>1524</v>
      </c>
      <c r="F191" s="15" t="n">
        <v>0</v>
      </c>
      <c r="G191" s="15" t="s">
        <v>152</v>
      </c>
      <c r="H191" s="15" t="s">
        <v>142</v>
      </c>
      <c r="I191" s="3" t="s">
        <v>1525</v>
      </c>
      <c r="J191" s="3" t="s">
        <v>1526</v>
      </c>
      <c r="K191" s="15" t="s">
        <v>133</v>
      </c>
      <c r="L191" s="16" t="s">
        <v>7</v>
      </c>
      <c r="M191" s="15" t="s">
        <v>68</v>
      </c>
      <c r="N191" s="15" t="s">
        <v>82</v>
      </c>
      <c r="O191" s="15" t="s">
        <v>1527</v>
      </c>
      <c r="P191" s="15" t="s">
        <v>135</v>
      </c>
      <c r="Q191" s="15" t="s">
        <v>197</v>
      </c>
      <c r="R191" s="15" t="s">
        <v>135</v>
      </c>
      <c r="S191" s="15"/>
      <c r="T191" s="15"/>
      <c r="U191" s="3" t="s">
        <v>1528</v>
      </c>
      <c r="V191" s="3" t="s">
        <v>1529</v>
      </c>
      <c r="W191" s="3" t="s">
        <v>1530</v>
      </c>
      <c r="X191" s="3" t="s">
        <v>1531</v>
      </c>
      <c r="Y191" s="15" t="n">
        <v>0</v>
      </c>
      <c r="Z191" s="15" t="n">
        <v>1</v>
      </c>
      <c r="AA191" s="15" t="n">
        <v>0</v>
      </c>
      <c r="AB191" s="15" t="n">
        <v>0</v>
      </c>
      <c r="AC191" s="15" t="n">
        <v>1</v>
      </c>
      <c r="AD191" s="15" t="n">
        <v>0</v>
      </c>
      <c r="AE191" s="15" t="n">
        <v>0</v>
      </c>
      <c r="AF191" s="15" t="n">
        <v>1</v>
      </c>
      <c r="AG191" s="15" t="n">
        <v>1</v>
      </c>
      <c r="AH191" s="15" t="n">
        <v>0</v>
      </c>
    </row>
    <row r="192" customFormat="false" ht="46.25" hidden="false" customHeight="false" outlineLevel="0" collapsed="false">
      <c r="A192" s="15" t="s">
        <v>1532</v>
      </c>
      <c r="B192" s="15" t="s">
        <v>37</v>
      </c>
      <c r="C192" s="15" t="s">
        <v>1440</v>
      </c>
      <c r="D192" s="15" t="n">
        <v>43</v>
      </c>
      <c r="E192" s="15" t="s">
        <v>1524</v>
      </c>
      <c r="F192" s="15" t="n">
        <v>1</v>
      </c>
      <c r="G192" s="15" t="s">
        <v>141</v>
      </c>
      <c r="H192" s="15" t="s">
        <v>142</v>
      </c>
      <c r="I192" s="3" t="s">
        <v>1533</v>
      </c>
      <c r="J192" s="3" t="s">
        <v>1534</v>
      </c>
      <c r="K192" s="15" t="s">
        <v>133</v>
      </c>
      <c r="L192" s="16" t="s">
        <v>7</v>
      </c>
      <c r="M192" s="15" t="s">
        <v>68</v>
      </c>
      <c r="N192" s="15" t="s">
        <v>82</v>
      </c>
      <c r="O192" s="15" t="s">
        <v>1527</v>
      </c>
      <c r="P192" s="15" t="s">
        <v>135</v>
      </c>
      <c r="Q192" s="15" t="s">
        <v>152</v>
      </c>
      <c r="R192" s="15" t="s">
        <v>135</v>
      </c>
      <c r="S192" s="15"/>
      <c r="T192" s="15"/>
      <c r="U192" s="3" t="s">
        <v>1535</v>
      </c>
      <c r="V192" s="3" t="s">
        <v>1536</v>
      </c>
      <c r="W192" s="3" t="s">
        <v>1537</v>
      </c>
      <c r="X192" s="3" t="s">
        <v>1538</v>
      </c>
      <c r="Y192" s="15" t="n">
        <v>0</v>
      </c>
      <c r="Z192" s="15" t="n">
        <v>1</v>
      </c>
      <c r="AA192" s="15" t="n">
        <v>0</v>
      </c>
      <c r="AB192" s="15" t="n">
        <v>0</v>
      </c>
      <c r="AC192" s="15" t="n">
        <v>1</v>
      </c>
      <c r="AD192" s="15" t="n">
        <v>0</v>
      </c>
      <c r="AE192" s="15" t="n">
        <v>0</v>
      </c>
      <c r="AF192" s="15" t="n">
        <v>1</v>
      </c>
      <c r="AG192" s="15" t="n">
        <v>1</v>
      </c>
      <c r="AH192" s="15" t="n">
        <v>0</v>
      </c>
    </row>
    <row r="193" customFormat="false" ht="46.25" hidden="false" customHeight="false" outlineLevel="0" collapsed="false">
      <c r="A193" s="15" t="s">
        <v>1539</v>
      </c>
      <c r="B193" s="15" t="s">
        <v>37</v>
      </c>
      <c r="C193" s="15" t="s">
        <v>1440</v>
      </c>
      <c r="D193" s="15" t="n">
        <v>43</v>
      </c>
      <c r="E193" s="15" t="s">
        <v>1524</v>
      </c>
      <c r="F193" s="15" t="n">
        <v>2</v>
      </c>
      <c r="G193" s="15" t="s">
        <v>129</v>
      </c>
      <c r="H193" s="15" t="s">
        <v>130</v>
      </c>
      <c r="I193" s="3" t="s">
        <v>1540</v>
      </c>
      <c r="J193" s="3" t="s">
        <v>1541</v>
      </c>
      <c r="K193" s="15" t="s">
        <v>133</v>
      </c>
      <c r="L193" s="16" t="s">
        <v>7</v>
      </c>
      <c r="M193" s="15" t="s">
        <v>68</v>
      </c>
      <c r="N193" s="15" t="s">
        <v>82</v>
      </c>
      <c r="O193" s="15" t="s">
        <v>1542</v>
      </c>
      <c r="P193" s="15" t="s">
        <v>135</v>
      </c>
      <c r="Q193" s="15" t="s">
        <v>152</v>
      </c>
      <c r="R193" s="15" t="s">
        <v>135</v>
      </c>
      <c r="S193" s="15"/>
      <c r="T193" s="15"/>
      <c r="U193" s="3" t="s">
        <v>1543</v>
      </c>
      <c r="V193" s="3" t="s">
        <v>1544</v>
      </c>
      <c r="W193" s="3" t="s">
        <v>1545</v>
      </c>
      <c r="X193" s="3" t="s">
        <v>1546</v>
      </c>
      <c r="Y193" s="15" t="n">
        <v>0</v>
      </c>
      <c r="Z193" s="15" t="n">
        <v>1</v>
      </c>
      <c r="AA193" s="15" t="n">
        <v>0</v>
      </c>
      <c r="AB193" s="15" t="n">
        <v>0</v>
      </c>
      <c r="AC193" s="15" t="n">
        <v>0</v>
      </c>
      <c r="AD193" s="15" t="n">
        <v>0</v>
      </c>
      <c r="AE193" s="15" t="n">
        <v>0</v>
      </c>
      <c r="AF193" s="15" t="n">
        <v>1</v>
      </c>
      <c r="AG193" s="15" t="n">
        <v>1</v>
      </c>
      <c r="AH193" s="15" t="n">
        <v>0</v>
      </c>
    </row>
    <row r="194" customFormat="false" ht="35.05" hidden="false" customHeight="false" outlineLevel="0" collapsed="false">
      <c r="A194" s="15" t="s">
        <v>1547</v>
      </c>
      <c r="B194" s="15" t="s">
        <v>37</v>
      </c>
      <c r="C194" s="15" t="s">
        <v>1440</v>
      </c>
      <c r="D194" s="15" t="n">
        <v>46</v>
      </c>
      <c r="E194" s="15" t="s">
        <v>1548</v>
      </c>
      <c r="F194" s="15" t="n">
        <v>0</v>
      </c>
      <c r="G194" s="15" t="s">
        <v>307</v>
      </c>
      <c r="H194" s="15" t="s">
        <v>308</v>
      </c>
      <c r="I194" s="3" t="s">
        <v>1549</v>
      </c>
      <c r="J194" s="3" t="s">
        <v>1550</v>
      </c>
      <c r="K194" s="15" t="s">
        <v>133</v>
      </c>
      <c r="L194" s="16" t="s">
        <v>7</v>
      </c>
      <c r="M194" s="15" t="s">
        <v>66</v>
      </c>
      <c r="N194" s="15" t="s">
        <v>90</v>
      </c>
      <c r="O194" s="15" t="s">
        <v>829</v>
      </c>
      <c r="P194" s="15" t="s">
        <v>185</v>
      </c>
      <c r="Q194" s="15" t="s">
        <v>307</v>
      </c>
      <c r="R194" s="15" t="s">
        <v>185</v>
      </c>
      <c r="S194" s="15"/>
      <c r="T194" s="15"/>
      <c r="U194" s="3" t="s">
        <v>1551</v>
      </c>
      <c r="V194" s="3" t="s">
        <v>1552</v>
      </c>
      <c r="W194" s="3" t="s">
        <v>1553</v>
      </c>
      <c r="X194" s="3" t="s">
        <v>1554</v>
      </c>
      <c r="Y194" s="15" t="n">
        <v>0</v>
      </c>
      <c r="Z194" s="15" t="n">
        <v>0</v>
      </c>
      <c r="AA194" s="15" t="n">
        <v>0</v>
      </c>
      <c r="AB194" s="15" t="n">
        <v>0</v>
      </c>
      <c r="AC194" s="15" t="n">
        <v>0</v>
      </c>
      <c r="AD194" s="15" t="n">
        <v>0</v>
      </c>
      <c r="AE194" s="15" t="n">
        <v>0</v>
      </c>
      <c r="AF194" s="15" t="n">
        <v>0</v>
      </c>
      <c r="AG194" s="15" t="n">
        <v>1</v>
      </c>
      <c r="AH194" s="15" t="n">
        <v>1</v>
      </c>
    </row>
    <row r="195" customFormat="false" ht="35.05" hidden="false" customHeight="false" outlineLevel="0" collapsed="false">
      <c r="A195" s="15" t="s">
        <v>1555</v>
      </c>
      <c r="B195" s="15" t="s">
        <v>37</v>
      </c>
      <c r="C195" s="15" t="s">
        <v>1440</v>
      </c>
      <c r="D195" s="15" t="n">
        <v>46</v>
      </c>
      <c r="E195" s="15" t="s">
        <v>1548</v>
      </c>
      <c r="F195" s="15" t="n">
        <v>1</v>
      </c>
      <c r="G195" s="15" t="s">
        <v>129</v>
      </c>
      <c r="H195" s="15" t="s">
        <v>130</v>
      </c>
      <c r="I195" s="3" t="s">
        <v>1556</v>
      </c>
      <c r="J195" s="3" t="s">
        <v>1557</v>
      </c>
      <c r="K195" s="15" t="s">
        <v>145</v>
      </c>
      <c r="L195" s="16" t="s">
        <v>7</v>
      </c>
      <c r="M195" s="15" t="s">
        <v>66</v>
      </c>
      <c r="N195" s="15" t="s">
        <v>88</v>
      </c>
      <c r="O195" s="15" t="s">
        <v>231</v>
      </c>
      <c r="P195" s="15" t="s">
        <v>135</v>
      </c>
      <c r="Q195" s="15" t="s">
        <v>307</v>
      </c>
      <c r="R195" s="15" t="s">
        <v>185</v>
      </c>
      <c r="S195" s="15"/>
      <c r="T195" s="15"/>
      <c r="U195" s="3" t="s">
        <v>1558</v>
      </c>
      <c r="V195" s="3" t="s">
        <v>1559</v>
      </c>
      <c r="W195" s="3" t="s">
        <v>1560</v>
      </c>
      <c r="X195" s="3" t="s">
        <v>1561</v>
      </c>
      <c r="Y195" s="15" t="n">
        <v>0</v>
      </c>
      <c r="Z195" s="15" t="n">
        <v>0</v>
      </c>
      <c r="AA195" s="15" t="n">
        <v>0</v>
      </c>
      <c r="AB195" s="15" t="n">
        <v>0</v>
      </c>
      <c r="AC195" s="15" t="n">
        <v>0</v>
      </c>
      <c r="AD195" s="15" t="n">
        <v>0</v>
      </c>
      <c r="AE195" s="15" t="n">
        <v>0</v>
      </c>
      <c r="AF195" s="15" t="n">
        <v>1</v>
      </c>
      <c r="AG195" s="15" t="n">
        <v>0</v>
      </c>
      <c r="AH195" s="15" t="n">
        <v>1</v>
      </c>
    </row>
    <row r="196" customFormat="false" ht="35.05" hidden="false" customHeight="false" outlineLevel="0" collapsed="false">
      <c r="A196" s="15" t="s">
        <v>1562</v>
      </c>
      <c r="B196" s="15" t="s">
        <v>37</v>
      </c>
      <c r="C196" s="15" t="s">
        <v>1440</v>
      </c>
      <c r="D196" s="15" t="n">
        <v>46</v>
      </c>
      <c r="E196" s="15" t="s">
        <v>1548</v>
      </c>
      <c r="F196" s="15" t="n">
        <v>2</v>
      </c>
      <c r="G196" s="15" t="s">
        <v>197</v>
      </c>
      <c r="H196" s="15" t="s">
        <v>142</v>
      </c>
      <c r="I196" s="3" t="s">
        <v>1563</v>
      </c>
      <c r="J196" s="3" t="s">
        <v>1564</v>
      </c>
      <c r="K196" s="15" t="s">
        <v>133</v>
      </c>
      <c r="L196" s="16" t="s">
        <v>7</v>
      </c>
      <c r="M196" s="15" t="s">
        <v>66</v>
      </c>
      <c r="N196" s="15" t="s">
        <v>88</v>
      </c>
      <c r="O196" s="15" t="s">
        <v>231</v>
      </c>
      <c r="P196" s="15" t="s">
        <v>135</v>
      </c>
      <c r="Q196" s="15" t="s">
        <v>307</v>
      </c>
      <c r="R196" s="15" t="s">
        <v>185</v>
      </c>
      <c r="S196" s="15"/>
      <c r="T196" s="15"/>
      <c r="U196" s="3" t="s">
        <v>1565</v>
      </c>
      <c r="V196" s="3" t="s">
        <v>1566</v>
      </c>
      <c r="W196" s="3" t="s">
        <v>1567</v>
      </c>
      <c r="X196" s="3" t="s">
        <v>1568</v>
      </c>
      <c r="Y196" s="15" t="n">
        <v>0</v>
      </c>
      <c r="Z196" s="15" t="n">
        <v>0</v>
      </c>
      <c r="AA196" s="15" t="n">
        <v>0</v>
      </c>
      <c r="AB196" s="15" t="n">
        <v>0</v>
      </c>
      <c r="AC196" s="15" t="n">
        <v>0</v>
      </c>
      <c r="AD196" s="15" t="n">
        <v>0</v>
      </c>
      <c r="AE196" s="15" t="n">
        <v>0</v>
      </c>
      <c r="AF196" s="15" t="n">
        <v>1</v>
      </c>
      <c r="AG196" s="15" t="n">
        <v>0</v>
      </c>
      <c r="AH196" s="15" t="n">
        <v>1</v>
      </c>
    </row>
    <row r="197" customFormat="false" ht="35.05" hidden="false" customHeight="false" outlineLevel="0" collapsed="false">
      <c r="A197" s="15" t="s">
        <v>1569</v>
      </c>
      <c r="B197" s="15" t="s">
        <v>37</v>
      </c>
      <c r="C197" s="15" t="s">
        <v>1440</v>
      </c>
      <c r="D197" s="15" t="n">
        <v>52</v>
      </c>
      <c r="E197" s="15" t="s">
        <v>1570</v>
      </c>
      <c r="F197" s="15" t="n">
        <v>0</v>
      </c>
      <c r="G197" s="15" t="s">
        <v>129</v>
      </c>
      <c r="H197" s="15" t="s">
        <v>130</v>
      </c>
      <c r="I197" s="3" t="s">
        <v>1571</v>
      </c>
      <c r="J197" s="3" t="s">
        <v>1572</v>
      </c>
      <c r="K197" s="15" t="s">
        <v>133</v>
      </c>
      <c r="L197" s="16" t="s">
        <v>7</v>
      </c>
      <c r="M197" s="15" t="s">
        <v>68</v>
      </c>
      <c r="N197" s="15" t="s">
        <v>84</v>
      </c>
      <c r="O197" s="15" t="s">
        <v>1573</v>
      </c>
      <c r="P197" s="15" t="s">
        <v>185</v>
      </c>
      <c r="Q197" s="15" t="s">
        <v>129</v>
      </c>
      <c r="R197" s="15" t="s">
        <v>135</v>
      </c>
      <c r="S197" s="15"/>
      <c r="T197" s="15"/>
      <c r="U197" s="3" t="s">
        <v>1574</v>
      </c>
      <c r="V197" s="3" t="s">
        <v>1575</v>
      </c>
      <c r="W197" s="3" t="s">
        <v>1576</v>
      </c>
      <c r="X197" s="3" t="s">
        <v>1577</v>
      </c>
      <c r="Y197" s="15" t="n">
        <v>0</v>
      </c>
      <c r="Z197" s="15" t="n">
        <v>0</v>
      </c>
      <c r="AA197" s="15" t="n">
        <v>0</v>
      </c>
      <c r="AB197" s="15" t="n">
        <v>1</v>
      </c>
      <c r="AC197" s="15" t="n">
        <v>0</v>
      </c>
      <c r="AD197" s="15" t="n">
        <v>1</v>
      </c>
      <c r="AE197" s="15" t="n">
        <v>0</v>
      </c>
      <c r="AF197" s="15" t="n">
        <v>0</v>
      </c>
      <c r="AG197" s="15" t="n">
        <v>0</v>
      </c>
      <c r="AH197" s="15" t="n">
        <v>1</v>
      </c>
    </row>
    <row r="198" customFormat="false" ht="35.05" hidden="false" customHeight="false" outlineLevel="0" collapsed="false">
      <c r="A198" s="15" t="s">
        <v>1578</v>
      </c>
      <c r="B198" s="15" t="s">
        <v>37</v>
      </c>
      <c r="C198" s="15" t="s">
        <v>1440</v>
      </c>
      <c r="D198" s="15" t="n">
        <v>52</v>
      </c>
      <c r="E198" s="15" t="s">
        <v>1570</v>
      </c>
      <c r="F198" s="15" t="n">
        <v>1</v>
      </c>
      <c r="G198" s="15" t="s">
        <v>152</v>
      </c>
      <c r="H198" s="15" t="s">
        <v>142</v>
      </c>
      <c r="I198" s="3" t="s">
        <v>1579</v>
      </c>
      <c r="J198" s="3" t="s">
        <v>1580</v>
      </c>
      <c r="K198" s="15" t="s">
        <v>133</v>
      </c>
      <c r="L198" s="16" t="s">
        <v>7</v>
      </c>
      <c r="M198" s="15" t="s">
        <v>68</v>
      </c>
      <c r="N198" s="15" t="s">
        <v>84</v>
      </c>
      <c r="O198" s="15" t="s">
        <v>1581</v>
      </c>
      <c r="P198" s="15" t="s">
        <v>135</v>
      </c>
      <c r="Q198" s="15" t="s">
        <v>129</v>
      </c>
      <c r="R198" s="15" t="s">
        <v>135</v>
      </c>
      <c r="S198" s="15"/>
      <c r="T198" s="15"/>
      <c r="U198" s="3" t="s">
        <v>1582</v>
      </c>
      <c r="V198" s="3" t="s">
        <v>1583</v>
      </c>
      <c r="W198" s="3" t="s">
        <v>1584</v>
      </c>
      <c r="X198" s="3" t="s">
        <v>1585</v>
      </c>
      <c r="Y198" s="15" t="n">
        <v>0</v>
      </c>
      <c r="Z198" s="15" t="n">
        <v>1</v>
      </c>
      <c r="AA198" s="15" t="n">
        <v>0</v>
      </c>
      <c r="AB198" s="15" t="n">
        <v>1</v>
      </c>
      <c r="AC198" s="15" t="n">
        <v>0</v>
      </c>
      <c r="AD198" s="15" t="n">
        <v>1</v>
      </c>
      <c r="AE198" s="15" t="n">
        <v>0</v>
      </c>
      <c r="AF198" s="15" t="n">
        <v>1</v>
      </c>
      <c r="AG198" s="15" t="n">
        <v>0</v>
      </c>
      <c r="AH198" s="15" t="n">
        <v>0</v>
      </c>
    </row>
    <row r="199" customFormat="false" ht="35.05" hidden="false" customHeight="false" outlineLevel="0" collapsed="false">
      <c r="A199" s="15" t="s">
        <v>1586</v>
      </c>
      <c r="B199" s="15" t="s">
        <v>37</v>
      </c>
      <c r="C199" s="15" t="s">
        <v>1440</v>
      </c>
      <c r="D199" s="15" t="n">
        <v>52</v>
      </c>
      <c r="E199" s="15" t="s">
        <v>1570</v>
      </c>
      <c r="F199" s="15" t="n">
        <v>2</v>
      </c>
      <c r="G199" s="15" t="s">
        <v>141</v>
      </c>
      <c r="H199" s="15" t="s">
        <v>142</v>
      </c>
      <c r="I199" s="3" t="s">
        <v>1571</v>
      </c>
      <c r="J199" s="3" t="s">
        <v>1587</v>
      </c>
      <c r="K199" s="15" t="s">
        <v>145</v>
      </c>
      <c r="L199" s="16" t="s">
        <v>7</v>
      </c>
      <c r="M199" s="15" t="s">
        <v>68</v>
      </c>
      <c r="N199" s="15" t="s">
        <v>84</v>
      </c>
      <c r="O199" s="15" t="s">
        <v>1588</v>
      </c>
      <c r="P199" s="15" t="s">
        <v>135</v>
      </c>
      <c r="Q199" s="15" t="s">
        <v>129</v>
      </c>
      <c r="R199" s="15" t="s">
        <v>135</v>
      </c>
      <c r="S199" s="15"/>
      <c r="T199" s="15"/>
      <c r="U199" s="3" t="s">
        <v>1589</v>
      </c>
      <c r="V199" s="3" t="s">
        <v>1590</v>
      </c>
      <c r="W199" s="3" t="s">
        <v>1576</v>
      </c>
      <c r="X199" s="3" t="s">
        <v>1591</v>
      </c>
      <c r="Y199" s="15" t="n">
        <v>0</v>
      </c>
      <c r="Z199" s="15" t="n">
        <v>0</v>
      </c>
      <c r="AA199" s="15" t="n">
        <v>0</v>
      </c>
      <c r="AB199" s="15" t="n">
        <v>1</v>
      </c>
      <c r="AC199" s="15" t="n">
        <v>0</v>
      </c>
      <c r="AD199" s="15" t="n">
        <v>1</v>
      </c>
      <c r="AE199" s="15" t="n">
        <v>0</v>
      </c>
      <c r="AF199" s="15" t="n">
        <v>1</v>
      </c>
      <c r="AG199" s="15" t="n">
        <v>0</v>
      </c>
      <c r="AH199" s="15" t="n">
        <v>1</v>
      </c>
    </row>
    <row r="200" customFormat="false" ht="57.45" hidden="false" customHeight="false" outlineLevel="0" collapsed="false">
      <c r="A200" s="15" t="s">
        <v>1592</v>
      </c>
      <c r="B200" s="15" t="s">
        <v>37</v>
      </c>
      <c r="C200" s="15" t="s">
        <v>1440</v>
      </c>
      <c r="D200" s="15" t="n">
        <v>53</v>
      </c>
      <c r="E200" s="15" t="s">
        <v>1593</v>
      </c>
      <c r="F200" s="15" t="n">
        <v>0</v>
      </c>
      <c r="G200" s="15" t="s">
        <v>307</v>
      </c>
      <c r="H200" s="15" t="s">
        <v>308</v>
      </c>
      <c r="I200" s="3" t="s">
        <v>1594</v>
      </c>
      <c r="J200" s="3" t="s">
        <v>1595</v>
      </c>
      <c r="K200" s="15" t="s">
        <v>133</v>
      </c>
      <c r="L200" s="16" t="s">
        <v>7</v>
      </c>
      <c r="M200" s="15" t="s">
        <v>68</v>
      </c>
      <c r="N200" s="15" t="s">
        <v>82</v>
      </c>
      <c r="O200" s="15" t="s">
        <v>239</v>
      </c>
      <c r="P200" s="15" t="s">
        <v>135</v>
      </c>
      <c r="Q200" s="15" t="s">
        <v>136</v>
      </c>
      <c r="R200" s="15" t="s">
        <v>135</v>
      </c>
      <c r="S200" s="15"/>
      <c r="T200" s="15"/>
      <c r="U200" s="3" t="s">
        <v>1596</v>
      </c>
      <c r="V200" s="3" t="s">
        <v>1597</v>
      </c>
      <c r="W200" s="3" t="s">
        <v>1598</v>
      </c>
      <c r="X200" s="3" t="s">
        <v>1599</v>
      </c>
      <c r="Y200" s="15" t="n">
        <v>0</v>
      </c>
      <c r="Z200" s="15" t="n">
        <v>1</v>
      </c>
      <c r="AA200" s="15" t="n">
        <v>0</v>
      </c>
      <c r="AB200" s="15" t="n">
        <v>0</v>
      </c>
      <c r="AC200" s="15" t="n">
        <v>0</v>
      </c>
      <c r="AD200" s="15" t="n">
        <v>0</v>
      </c>
      <c r="AE200" s="15" t="n">
        <v>0</v>
      </c>
      <c r="AF200" s="15" t="n">
        <v>1</v>
      </c>
      <c r="AG200" s="15" t="n">
        <v>0</v>
      </c>
      <c r="AH200" s="15" t="n">
        <v>1</v>
      </c>
    </row>
    <row r="201" customFormat="false" ht="57.45" hidden="false" customHeight="false" outlineLevel="0" collapsed="false">
      <c r="A201" s="15" t="s">
        <v>1600</v>
      </c>
      <c r="B201" s="15" t="s">
        <v>37</v>
      </c>
      <c r="C201" s="15" t="s">
        <v>1440</v>
      </c>
      <c r="D201" s="15" t="n">
        <v>53</v>
      </c>
      <c r="E201" s="15" t="s">
        <v>1593</v>
      </c>
      <c r="F201" s="15" t="n">
        <v>1</v>
      </c>
      <c r="G201" s="15" t="s">
        <v>129</v>
      </c>
      <c r="H201" s="15" t="s">
        <v>130</v>
      </c>
      <c r="I201" s="3" t="s">
        <v>1601</v>
      </c>
      <c r="J201" s="3" t="s">
        <v>1602</v>
      </c>
      <c r="K201" s="15" t="s">
        <v>145</v>
      </c>
      <c r="L201" s="17" t="s">
        <v>9</v>
      </c>
      <c r="M201" s="15" t="s">
        <v>70</v>
      </c>
      <c r="N201" s="15" t="s">
        <v>81</v>
      </c>
      <c r="O201" s="15" t="s">
        <v>81</v>
      </c>
      <c r="P201" s="15" t="s">
        <v>185</v>
      </c>
      <c r="Q201" s="15" t="s">
        <v>129</v>
      </c>
      <c r="R201" s="15" t="s">
        <v>135</v>
      </c>
      <c r="S201" s="15" t="s">
        <v>398</v>
      </c>
      <c r="T201" s="15" t="s">
        <v>327</v>
      </c>
      <c r="U201" s="3" t="s">
        <v>1603</v>
      </c>
      <c r="V201" s="3" t="s">
        <v>1604</v>
      </c>
      <c r="W201" s="3"/>
      <c r="X201" s="3"/>
      <c r="Y201" s="15" t="n">
        <v>1</v>
      </c>
      <c r="Z201" s="15" t="n">
        <v>0</v>
      </c>
      <c r="AA201" s="15" t="n">
        <v>0</v>
      </c>
      <c r="AB201" s="15" t="n">
        <v>0</v>
      </c>
      <c r="AC201" s="15" t="n">
        <v>0</v>
      </c>
      <c r="AD201" s="15" t="n">
        <v>0</v>
      </c>
      <c r="AE201" s="15" t="n">
        <v>0</v>
      </c>
      <c r="AF201" s="15" t="n">
        <v>0</v>
      </c>
      <c r="AG201" s="15" t="n">
        <v>0</v>
      </c>
      <c r="AH201" s="15" t="n">
        <v>0</v>
      </c>
    </row>
    <row r="202" customFormat="false" ht="35.05" hidden="false" customHeight="false" outlineLevel="0" collapsed="false">
      <c r="A202" s="15" t="s">
        <v>1605</v>
      </c>
      <c r="B202" s="15" t="s">
        <v>37</v>
      </c>
      <c r="C202" s="15" t="s">
        <v>1440</v>
      </c>
      <c r="D202" s="15" t="n">
        <v>53</v>
      </c>
      <c r="E202" s="15" t="s">
        <v>1593</v>
      </c>
      <c r="F202" s="15" t="n">
        <v>2</v>
      </c>
      <c r="G202" s="15" t="s">
        <v>197</v>
      </c>
      <c r="H202" s="15" t="s">
        <v>142</v>
      </c>
      <c r="I202" s="3" t="s">
        <v>1606</v>
      </c>
      <c r="J202" s="3" t="s">
        <v>1607</v>
      </c>
      <c r="K202" s="15" t="s">
        <v>133</v>
      </c>
      <c r="L202" s="17" t="s">
        <v>9</v>
      </c>
      <c r="M202" s="15" t="s">
        <v>70</v>
      </c>
      <c r="N202" s="15" t="s">
        <v>81</v>
      </c>
      <c r="O202" s="15" t="s">
        <v>411</v>
      </c>
      <c r="P202" s="15" t="s">
        <v>135</v>
      </c>
      <c r="Q202" s="15" t="s">
        <v>129</v>
      </c>
      <c r="R202" s="15" t="s">
        <v>135</v>
      </c>
      <c r="S202" s="15" t="s">
        <v>341</v>
      </c>
      <c r="T202" s="15" t="s">
        <v>390</v>
      </c>
      <c r="U202" s="3" t="s">
        <v>1608</v>
      </c>
      <c r="V202" s="3" t="s">
        <v>1609</v>
      </c>
      <c r="W202" s="3"/>
      <c r="X202" s="3"/>
      <c r="Y202" s="15" t="n">
        <v>1</v>
      </c>
      <c r="Z202" s="15" t="n">
        <v>0</v>
      </c>
      <c r="AA202" s="15" t="n">
        <v>0</v>
      </c>
      <c r="AB202" s="15" t="n">
        <v>0</v>
      </c>
      <c r="AC202" s="15" t="n">
        <v>0</v>
      </c>
      <c r="AD202" s="15" t="n">
        <v>0</v>
      </c>
      <c r="AE202" s="15" t="n">
        <v>0</v>
      </c>
      <c r="AF202" s="15" t="n">
        <v>1</v>
      </c>
      <c r="AG202" s="15" t="n">
        <v>0</v>
      </c>
      <c r="AH202" s="15" t="n">
        <v>1</v>
      </c>
    </row>
    <row r="203" customFormat="false" ht="46.25" hidden="false" customHeight="false" outlineLevel="0" collapsed="false">
      <c r="A203" s="15" t="s">
        <v>1610</v>
      </c>
      <c r="B203" s="15" t="s">
        <v>37</v>
      </c>
      <c r="C203" s="15" t="s">
        <v>1611</v>
      </c>
      <c r="D203" s="15" t="n">
        <v>13</v>
      </c>
      <c r="E203" s="15" t="s">
        <v>1612</v>
      </c>
      <c r="F203" s="15" t="n">
        <v>0</v>
      </c>
      <c r="G203" s="15" t="s">
        <v>307</v>
      </c>
      <c r="H203" s="15" t="s">
        <v>308</v>
      </c>
      <c r="I203" s="3" t="s">
        <v>1613</v>
      </c>
      <c r="J203" s="3" t="s">
        <v>1614</v>
      </c>
      <c r="K203" s="15" t="s">
        <v>133</v>
      </c>
      <c r="L203" s="17" t="s">
        <v>9</v>
      </c>
      <c r="M203" s="15" t="s">
        <v>70</v>
      </c>
      <c r="N203" s="15" t="s">
        <v>81</v>
      </c>
      <c r="O203" s="15" t="s">
        <v>1615</v>
      </c>
      <c r="P203" s="15" t="s">
        <v>135</v>
      </c>
      <c r="Q203" s="15" t="s">
        <v>136</v>
      </c>
      <c r="R203" s="15" t="s">
        <v>135</v>
      </c>
      <c r="S203" s="15" t="s">
        <v>405</v>
      </c>
      <c r="T203" s="15" t="s">
        <v>390</v>
      </c>
      <c r="U203" s="3" t="s">
        <v>1616</v>
      </c>
      <c r="V203" s="3" t="s">
        <v>1617</v>
      </c>
      <c r="W203" s="3"/>
      <c r="X203" s="3"/>
      <c r="Y203" s="15" t="n">
        <v>1</v>
      </c>
      <c r="Z203" s="15" t="n">
        <v>0</v>
      </c>
      <c r="AA203" s="15" t="n">
        <v>0</v>
      </c>
      <c r="AB203" s="15" t="n">
        <v>0</v>
      </c>
      <c r="AC203" s="15" t="n">
        <v>0</v>
      </c>
      <c r="AD203" s="15" t="n">
        <v>1</v>
      </c>
      <c r="AE203" s="15" t="n">
        <v>0</v>
      </c>
      <c r="AF203" s="15" t="n">
        <v>0</v>
      </c>
      <c r="AG203" s="15" t="n">
        <v>0</v>
      </c>
      <c r="AH203" s="15" t="n">
        <v>0</v>
      </c>
    </row>
    <row r="204" customFormat="false" ht="35.05" hidden="false" customHeight="false" outlineLevel="0" collapsed="false">
      <c r="A204" s="15" t="s">
        <v>1618</v>
      </c>
      <c r="B204" s="15" t="s">
        <v>37</v>
      </c>
      <c r="C204" s="15" t="s">
        <v>1611</v>
      </c>
      <c r="D204" s="15" t="n">
        <v>13</v>
      </c>
      <c r="E204" s="15" t="s">
        <v>1612</v>
      </c>
      <c r="F204" s="15" t="n">
        <v>1</v>
      </c>
      <c r="G204" s="15" t="s">
        <v>136</v>
      </c>
      <c r="H204" s="15" t="s">
        <v>308</v>
      </c>
      <c r="I204" s="3" t="s">
        <v>1619</v>
      </c>
      <c r="J204" s="3" t="s">
        <v>1620</v>
      </c>
      <c r="K204" s="15" t="s">
        <v>145</v>
      </c>
      <c r="L204" s="17" t="s">
        <v>9</v>
      </c>
      <c r="M204" s="15" t="s">
        <v>70</v>
      </c>
      <c r="N204" s="15" t="s">
        <v>81</v>
      </c>
      <c r="O204" s="15" t="s">
        <v>1146</v>
      </c>
      <c r="P204" s="15" t="s">
        <v>135</v>
      </c>
      <c r="Q204" s="15" t="s">
        <v>136</v>
      </c>
      <c r="R204" s="15" t="s">
        <v>135</v>
      </c>
      <c r="S204" s="15" t="s">
        <v>405</v>
      </c>
      <c r="T204" s="15" t="s">
        <v>390</v>
      </c>
      <c r="U204" s="3" t="s">
        <v>1621</v>
      </c>
      <c r="V204" s="3" t="s">
        <v>1622</v>
      </c>
      <c r="W204" s="3"/>
      <c r="X204" s="3"/>
      <c r="Y204" s="15" t="n">
        <v>1</v>
      </c>
      <c r="Z204" s="15" t="n">
        <v>1</v>
      </c>
      <c r="AA204" s="15" t="n">
        <v>0</v>
      </c>
      <c r="AB204" s="15" t="n">
        <v>0</v>
      </c>
      <c r="AC204" s="15" t="n">
        <v>0</v>
      </c>
      <c r="AD204" s="15" t="n">
        <v>0</v>
      </c>
      <c r="AE204" s="15" t="n">
        <v>0</v>
      </c>
      <c r="AF204" s="15" t="n">
        <v>0</v>
      </c>
      <c r="AG204" s="15" t="n">
        <v>0</v>
      </c>
      <c r="AH204" s="15" t="n">
        <v>0</v>
      </c>
    </row>
    <row r="205" customFormat="false" ht="35.05" hidden="false" customHeight="false" outlineLevel="0" collapsed="false">
      <c r="A205" s="15" t="s">
        <v>1623</v>
      </c>
      <c r="B205" s="15" t="s">
        <v>37</v>
      </c>
      <c r="C205" s="15" t="s">
        <v>1611</v>
      </c>
      <c r="D205" s="15" t="n">
        <v>13</v>
      </c>
      <c r="E205" s="15" t="s">
        <v>1612</v>
      </c>
      <c r="F205" s="15" t="n">
        <v>2</v>
      </c>
      <c r="G205" s="15" t="s">
        <v>129</v>
      </c>
      <c r="H205" s="15" t="s">
        <v>130</v>
      </c>
      <c r="I205" s="3" t="s">
        <v>1624</v>
      </c>
      <c r="J205" s="3" t="s">
        <v>1625</v>
      </c>
      <c r="K205" s="15" t="s">
        <v>133</v>
      </c>
      <c r="L205" s="17" t="s">
        <v>9</v>
      </c>
      <c r="M205" s="15" t="s">
        <v>70</v>
      </c>
      <c r="N205" s="15" t="s">
        <v>81</v>
      </c>
      <c r="O205" s="15" t="s">
        <v>81</v>
      </c>
      <c r="P205" s="15" t="s">
        <v>135</v>
      </c>
      <c r="Q205" s="15" t="s">
        <v>129</v>
      </c>
      <c r="R205" s="15" t="s">
        <v>135</v>
      </c>
      <c r="S205" s="15" t="s">
        <v>405</v>
      </c>
      <c r="T205" s="15" t="s">
        <v>390</v>
      </c>
      <c r="U205" s="3" t="s">
        <v>1626</v>
      </c>
      <c r="V205" s="3" t="s">
        <v>1627</v>
      </c>
      <c r="W205" s="3"/>
      <c r="X205" s="3"/>
      <c r="Y205" s="15" t="n">
        <v>1</v>
      </c>
      <c r="Z205" s="15" t="n">
        <v>0</v>
      </c>
      <c r="AA205" s="15" t="n">
        <v>0</v>
      </c>
      <c r="AB205" s="15" t="n">
        <v>0</v>
      </c>
      <c r="AC205" s="15" t="n">
        <v>0</v>
      </c>
      <c r="AD205" s="15" t="n">
        <v>0</v>
      </c>
      <c r="AE205" s="15" t="n">
        <v>0</v>
      </c>
      <c r="AF205" s="15" t="n">
        <v>0</v>
      </c>
      <c r="AG205" s="15" t="n">
        <v>0</v>
      </c>
      <c r="AH205" s="15" t="n">
        <v>0</v>
      </c>
    </row>
    <row r="206" customFormat="false" ht="57.45" hidden="false" customHeight="false" outlineLevel="0" collapsed="false">
      <c r="A206" s="15" t="s">
        <v>1628</v>
      </c>
      <c r="B206" s="15" t="s">
        <v>37</v>
      </c>
      <c r="C206" s="15" t="s">
        <v>1611</v>
      </c>
      <c r="D206" s="15" t="n">
        <v>14</v>
      </c>
      <c r="E206" s="15" t="s">
        <v>1629</v>
      </c>
      <c r="F206" s="15" t="n">
        <v>0</v>
      </c>
      <c r="G206" s="15" t="s">
        <v>129</v>
      </c>
      <c r="H206" s="15" t="s">
        <v>130</v>
      </c>
      <c r="I206" s="3" t="s">
        <v>1630</v>
      </c>
      <c r="J206" s="3" t="s">
        <v>1631</v>
      </c>
      <c r="K206" s="15" t="s">
        <v>145</v>
      </c>
      <c r="L206" s="16" t="s">
        <v>7</v>
      </c>
      <c r="M206" s="15" t="s">
        <v>68</v>
      </c>
      <c r="N206" s="15" t="s">
        <v>82</v>
      </c>
      <c r="O206" s="15" t="s">
        <v>1632</v>
      </c>
      <c r="P206" s="15" t="s">
        <v>135</v>
      </c>
      <c r="Q206" s="15" t="s">
        <v>136</v>
      </c>
      <c r="R206" s="15" t="s">
        <v>135</v>
      </c>
      <c r="S206" s="15"/>
      <c r="T206" s="15"/>
      <c r="U206" s="3" t="s">
        <v>1633</v>
      </c>
      <c r="V206" s="3" t="s">
        <v>1634</v>
      </c>
      <c r="W206" s="3" t="s">
        <v>1635</v>
      </c>
      <c r="X206" s="3" t="s">
        <v>1636</v>
      </c>
      <c r="Y206" s="15" t="n">
        <v>0</v>
      </c>
      <c r="Z206" s="15" t="n">
        <v>1</v>
      </c>
      <c r="AA206" s="15" t="n">
        <v>0</v>
      </c>
      <c r="AB206" s="15" t="n">
        <v>0</v>
      </c>
      <c r="AC206" s="15" t="n">
        <v>0</v>
      </c>
      <c r="AD206" s="15" t="n">
        <v>0</v>
      </c>
      <c r="AE206" s="15" t="n">
        <v>0</v>
      </c>
      <c r="AF206" s="15" t="n">
        <v>1</v>
      </c>
      <c r="AG206" s="15" t="n">
        <v>1</v>
      </c>
      <c r="AH206" s="15" t="n">
        <v>1</v>
      </c>
    </row>
    <row r="207" customFormat="false" ht="35.05" hidden="false" customHeight="false" outlineLevel="0" collapsed="false">
      <c r="A207" s="15" t="s">
        <v>1637</v>
      </c>
      <c r="B207" s="15" t="s">
        <v>37</v>
      </c>
      <c r="C207" s="15" t="s">
        <v>1611</v>
      </c>
      <c r="D207" s="15" t="n">
        <v>14</v>
      </c>
      <c r="E207" s="15" t="s">
        <v>1629</v>
      </c>
      <c r="F207" s="15" t="n">
        <v>1</v>
      </c>
      <c r="G207" s="15" t="s">
        <v>141</v>
      </c>
      <c r="H207" s="15" t="s">
        <v>142</v>
      </c>
      <c r="I207" s="3" t="s">
        <v>1638</v>
      </c>
      <c r="J207" s="3" t="s">
        <v>1639</v>
      </c>
      <c r="K207" s="15" t="s">
        <v>133</v>
      </c>
      <c r="L207" s="16" t="s">
        <v>7</v>
      </c>
      <c r="M207" s="15" t="s">
        <v>66</v>
      </c>
      <c r="N207" s="15" t="s">
        <v>90</v>
      </c>
      <c r="O207" s="15" t="s">
        <v>1640</v>
      </c>
      <c r="P207" s="15" t="s">
        <v>135</v>
      </c>
      <c r="Q207" s="15" t="s">
        <v>307</v>
      </c>
      <c r="R207" s="15" t="s">
        <v>135</v>
      </c>
      <c r="S207" s="15"/>
      <c r="T207" s="15"/>
      <c r="U207" s="3" t="s">
        <v>1641</v>
      </c>
      <c r="V207" s="3" t="s">
        <v>1642</v>
      </c>
      <c r="W207" s="3" t="s">
        <v>1643</v>
      </c>
      <c r="X207" s="3" t="s">
        <v>1644</v>
      </c>
      <c r="Y207" s="15" t="n">
        <v>0</v>
      </c>
      <c r="Z207" s="15" t="n">
        <v>0</v>
      </c>
      <c r="AA207" s="15" t="n">
        <v>0</v>
      </c>
      <c r="AB207" s="15" t="n">
        <v>0</v>
      </c>
      <c r="AC207" s="15" t="n">
        <v>0</v>
      </c>
      <c r="AD207" s="15" t="n">
        <v>1</v>
      </c>
      <c r="AE207" s="15" t="n">
        <v>1</v>
      </c>
      <c r="AF207" s="15" t="n">
        <v>1</v>
      </c>
      <c r="AG207" s="15" t="n">
        <v>0</v>
      </c>
      <c r="AH207" s="15" t="n">
        <v>1</v>
      </c>
    </row>
    <row r="208" customFormat="false" ht="35.05" hidden="false" customHeight="false" outlineLevel="0" collapsed="false">
      <c r="A208" s="15" t="s">
        <v>1645</v>
      </c>
      <c r="B208" s="15" t="s">
        <v>37</v>
      </c>
      <c r="C208" s="15" t="s">
        <v>1611</v>
      </c>
      <c r="D208" s="15" t="n">
        <v>14</v>
      </c>
      <c r="E208" s="15" t="s">
        <v>1629</v>
      </c>
      <c r="F208" s="15" t="n">
        <v>2</v>
      </c>
      <c r="G208" s="15" t="s">
        <v>197</v>
      </c>
      <c r="H208" s="15" t="s">
        <v>142</v>
      </c>
      <c r="I208" s="3" t="s">
        <v>1646</v>
      </c>
      <c r="J208" s="3" t="s">
        <v>1647</v>
      </c>
      <c r="K208" s="15" t="s">
        <v>133</v>
      </c>
      <c r="L208" s="16" t="s">
        <v>7</v>
      </c>
      <c r="M208" s="15" t="s">
        <v>68</v>
      </c>
      <c r="N208" s="15" t="s">
        <v>82</v>
      </c>
      <c r="O208" s="15" t="s">
        <v>215</v>
      </c>
      <c r="P208" s="15" t="s">
        <v>135</v>
      </c>
      <c r="Q208" s="15" t="s">
        <v>129</v>
      </c>
      <c r="R208" s="15" t="s">
        <v>135</v>
      </c>
      <c r="S208" s="15"/>
      <c r="T208" s="15"/>
      <c r="U208" s="3" t="s">
        <v>1648</v>
      </c>
      <c r="V208" s="3" t="s">
        <v>1649</v>
      </c>
      <c r="W208" s="3" t="s">
        <v>1650</v>
      </c>
      <c r="X208" s="3" t="s">
        <v>1651</v>
      </c>
      <c r="Y208" s="15" t="n">
        <v>0</v>
      </c>
      <c r="Z208" s="15" t="n">
        <v>1</v>
      </c>
      <c r="AA208" s="15" t="n">
        <v>0</v>
      </c>
      <c r="AB208" s="15" t="n">
        <v>0</v>
      </c>
      <c r="AC208" s="15" t="n">
        <v>0</v>
      </c>
      <c r="AD208" s="15" t="n">
        <v>0</v>
      </c>
      <c r="AE208" s="15" t="n">
        <v>0</v>
      </c>
      <c r="AF208" s="15" t="n">
        <v>1</v>
      </c>
      <c r="AG208" s="15" t="n">
        <v>0</v>
      </c>
      <c r="AH208" s="15" t="n">
        <v>0</v>
      </c>
    </row>
    <row r="209" customFormat="false" ht="46.25" hidden="false" customHeight="false" outlineLevel="0" collapsed="false">
      <c r="A209" s="15" t="s">
        <v>1652</v>
      </c>
      <c r="B209" s="15" t="s">
        <v>37</v>
      </c>
      <c r="C209" s="15" t="s">
        <v>1611</v>
      </c>
      <c r="D209" s="15" t="n">
        <v>38</v>
      </c>
      <c r="E209" s="15" t="s">
        <v>1653</v>
      </c>
      <c r="F209" s="15" t="n">
        <v>0</v>
      </c>
      <c r="G209" s="15" t="s">
        <v>307</v>
      </c>
      <c r="H209" s="15" t="s">
        <v>308</v>
      </c>
      <c r="I209" s="3" t="s">
        <v>1654</v>
      </c>
      <c r="J209" s="3" t="s">
        <v>1655</v>
      </c>
      <c r="K209" s="15" t="s">
        <v>133</v>
      </c>
      <c r="L209" s="16" t="s">
        <v>7</v>
      </c>
      <c r="M209" s="15" t="s">
        <v>66</v>
      </c>
      <c r="N209" s="15" t="s">
        <v>90</v>
      </c>
      <c r="O209" s="15" t="s">
        <v>513</v>
      </c>
      <c r="P209" s="15" t="s">
        <v>135</v>
      </c>
      <c r="Q209" s="15" t="s">
        <v>129</v>
      </c>
      <c r="R209" s="15" t="s">
        <v>185</v>
      </c>
      <c r="S209" s="15"/>
      <c r="T209" s="15"/>
      <c r="U209" s="3" t="s">
        <v>1656</v>
      </c>
      <c r="V209" s="3" t="s">
        <v>1657</v>
      </c>
      <c r="W209" s="3" t="s">
        <v>1658</v>
      </c>
      <c r="X209" s="3" t="s">
        <v>1659</v>
      </c>
      <c r="Y209" s="15" t="n">
        <v>0</v>
      </c>
      <c r="Z209" s="15" t="n">
        <v>0</v>
      </c>
      <c r="AA209" s="15" t="n">
        <v>0</v>
      </c>
      <c r="AB209" s="15" t="n">
        <v>0</v>
      </c>
      <c r="AC209" s="15" t="n">
        <v>0</v>
      </c>
      <c r="AD209" s="15" t="n">
        <v>0</v>
      </c>
      <c r="AE209" s="15" t="n">
        <v>0</v>
      </c>
      <c r="AF209" s="15" t="n">
        <v>1</v>
      </c>
      <c r="AG209" s="15" t="n">
        <v>0</v>
      </c>
      <c r="AH209" s="15" t="n">
        <v>1</v>
      </c>
    </row>
    <row r="210" customFormat="false" ht="46.25" hidden="false" customHeight="false" outlineLevel="0" collapsed="false">
      <c r="A210" s="15" t="s">
        <v>1660</v>
      </c>
      <c r="B210" s="15" t="s">
        <v>37</v>
      </c>
      <c r="C210" s="15" t="s">
        <v>1611</v>
      </c>
      <c r="D210" s="15" t="n">
        <v>38</v>
      </c>
      <c r="E210" s="15" t="s">
        <v>1653</v>
      </c>
      <c r="F210" s="15" t="n">
        <v>1</v>
      </c>
      <c r="G210" s="15" t="s">
        <v>129</v>
      </c>
      <c r="H210" s="15" t="s">
        <v>130</v>
      </c>
      <c r="I210" s="3" t="s">
        <v>1661</v>
      </c>
      <c r="J210" s="3" t="s">
        <v>1662</v>
      </c>
      <c r="K210" s="15" t="s">
        <v>145</v>
      </c>
      <c r="L210" s="16" t="s">
        <v>7</v>
      </c>
      <c r="M210" s="15" t="s">
        <v>68</v>
      </c>
      <c r="N210" s="15" t="s">
        <v>82</v>
      </c>
      <c r="O210" s="15" t="s">
        <v>222</v>
      </c>
      <c r="P210" s="15" t="s">
        <v>135</v>
      </c>
      <c r="Q210" s="15" t="s">
        <v>136</v>
      </c>
      <c r="R210" s="15" t="s">
        <v>135</v>
      </c>
      <c r="S210" s="15"/>
      <c r="T210" s="15"/>
      <c r="U210" s="3" t="s">
        <v>1663</v>
      </c>
      <c r="V210" s="3" t="s">
        <v>1664</v>
      </c>
      <c r="W210" s="3" t="s">
        <v>1665</v>
      </c>
      <c r="X210" s="3" t="s">
        <v>1666</v>
      </c>
      <c r="Y210" s="15" t="n">
        <v>0</v>
      </c>
      <c r="Z210" s="15" t="n">
        <v>1</v>
      </c>
      <c r="AA210" s="15" t="n">
        <v>0</v>
      </c>
      <c r="AB210" s="15" t="n">
        <v>0</v>
      </c>
      <c r="AC210" s="15" t="n">
        <v>0</v>
      </c>
      <c r="AD210" s="15" t="n">
        <v>0</v>
      </c>
      <c r="AE210" s="15" t="n">
        <v>0</v>
      </c>
      <c r="AF210" s="15" t="n">
        <v>1</v>
      </c>
      <c r="AG210" s="15" t="n">
        <v>0</v>
      </c>
      <c r="AH210" s="15" t="n">
        <v>1</v>
      </c>
    </row>
    <row r="211" customFormat="false" ht="35.05" hidden="false" customHeight="false" outlineLevel="0" collapsed="false">
      <c r="A211" s="15" t="s">
        <v>1667</v>
      </c>
      <c r="B211" s="15" t="s">
        <v>37</v>
      </c>
      <c r="C211" s="15" t="s">
        <v>1611</v>
      </c>
      <c r="D211" s="15" t="n">
        <v>38</v>
      </c>
      <c r="E211" s="15" t="s">
        <v>1653</v>
      </c>
      <c r="F211" s="15" t="n">
        <v>2</v>
      </c>
      <c r="G211" s="15" t="s">
        <v>197</v>
      </c>
      <c r="H211" s="15" t="s">
        <v>142</v>
      </c>
      <c r="I211" s="3" t="s">
        <v>1668</v>
      </c>
      <c r="J211" s="3" t="s">
        <v>1669</v>
      </c>
      <c r="K211" s="15" t="s">
        <v>133</v>
      </c>
      <c r="L211" s="16" t="s">
        <v>7</v>
      </c>
      <c r="M211" s="15" t="s">
        <v>66</v>
      </c>
      <c r="N211" s="15" t="s">
        <v>88</v>
      </c>
      <c r="O211" s="15" t="s">
        <v>88</v>
      </c>
      <c r="P211" s="15" t="s">
        <v>135</v>
      </c>
      <c r="Q211" s="15" t="s">
        <v>129</v>
      </c>
      <c r="R211" s="15" t="s">
        <v>185</v>
      </c>
      <c r="S211" s="15"/>
      <c r="T211" s="15"/>
      <c r="U211" s="3" t="s">
        <v>1670</v>
      </c>
      <c r="V211" s="3" t="s">
        <v>1671</v>
      </c>
      <c r="W211" s="3"/>
      <c r="X211" s="3" t="s">
        <v>1672</v>
      </c>
      <c r="Y211" s="15" t="n">
        <v>0</v>
      </c>
      <c r="Z211" s="15" t="n">
        <v>0</v>
      </c>
      <c r="AA211" s="15" t="n">
        <v>0</v>
      </c>
      <c r="AB211" s="15" t="n">
        <v>0</v>
      </c>
      <c r="AC211" s="15" t="n">
        <v>0</v>
      </c>
      <c r="AD211" s="15" t="n">
        <v>0</v>
      </c>
      <c r="AE211" s="15" t="n">
        <v>0</v>
      </c>
      <c r="AF211" s="15" t="n">
        <v>1</v>
      </c>
      <c r="AG211" s="15" t="n">
        <v>0</v>
      </c>
      <c r="AH211" s="15" t="n">
        <v>0</v>
      </c>
    </row>
    <row r="212" customFormat="false" ht="46.25" hidden="false" customHeight="false" outlineLevel="0" collapsed="false">
      <c r="A212" s="15" t="s">
        <v>1673</v>
      </c>
      <c r="B212" s="15" t="s">
        <v>37</v>
      </c>
      <c r="C212" s="15" t="s">
        <v>1611</v>
      </c>
      <c r="D212" s="15" t="n">
        <v>39</v>
      </c>
      <c r="E212" s="15" t="s">
        <v>1674</v>
      </c>
      <c r="F212" s="15" t="n">
        <v>0</v>
      </c>
      <c r="G212" s="15" t="s">
        <v>307</v>
      </c>
      <c r="H212" s="15" t="s">
        <v>308</v>
      </c>
      <c r="I212" s="3" t="s">
        <v>1675</v>
      </c>
      <c r="J212" s="3" t="s">
        <v>1676</v>
      </c>
      <c r="K212" s="15" t="s">
        <v>133</v>
      </c>
      <c r="L212" s="16" t="s">
        <v>7</v>
      </c>
      <c r="M212" s="15" t="s">
        <v>68</v>
      </c>
      <c r="N212" s="15" t="s">
        <v>82</v>
      </c>
      <c r="O212" s="15" t="s">
        <v>750</v>
      </c>
      <c r="P212" s="15" t="s">
        <v>185</v>
      </c>
      <c r="Q212" s="15" t="s">
        <v>307</v>
      </c>
      <c r="R212" s="15" t="s">
        <v>135</v>
      </c>
      <c r="S212" s="15"/>
      <c r="T212" s="15"/>
      <c r="U212" s="3" t="s">
        <v>1677</v>
      </c>
      <c r="V212" s="3" t="s">
        <v>1678</v>
      </c>
      <c r="W212" s="3" t="s">
        <v>1679</v>
      </c>
      <c r="X212" s="3" t="s">
        <v>1680</v>
      </c>
      <c r="Y212" s="15" t="n">
        <v>0</v>
      </c>
      <c r="Z212" s="15" t="n">
        <v>1</v>
      </c>
      <c r="AA212" s="15" t="n">
        <v>0</v>
      </c>
      <c r="AB212" s="15" t="n">
        <v>0</v>
      </c>
      <c r="AC212" s="15" t="n">
        <v>0</v>
      </c>
      <c r="AD212" s="15" t="n">
        <v>0</v>
      </c>
      <c r="AE212" s="15" t="n">
        <v>0</v>
      </c>
      <c r="AF212" s="15" t="n">
        <v>0</v>
      </c>
      <c r="AG212" s="15" t="n">
        <v>1</v>
      </c>
      <c r="AH212" s="15" t="n">
        <v>0</v>
      </c>
    </row>
    <row r="213" customFormat="false" ht="46.25" hidden="false" customHeight="false" outlineLevel="0" collapsed="false">
      <c r="A213" s="15" t="s">
        <v>1681</v>
      </c>
      <c r="B213" s="15" t="s">
        <v>37</v>
      </c>
      <c r="C213" s="15" t="s">
        <v>1611</v>
      </c>
      <c r="D213" s="15" t="n">
        <v>39</v>
      </c>
      <c r="E213" s="15" t="s">
        <v>1674</v>
      </c>
      <c r="F213" s="15" t="n">
        <v>1</v>
      </c>
      <c r="G213" s="15" t="s">
        <v>136</v>
      </c>
      <c r="H213" s="15" t="s">
        <v>308</v>
      </c>
      <c r="I213" s="3" t="s">
        <v>1682</v>
      </c>
      <c r="J213" s="3" t="s">
        <v>1683</v>
      </c>
      <c r="K213" s="15" t="s">
        <v>145</v>
      </c>
      <c r="L213" s="16" t="s">
        <v>7</v>
      </c>
      <c r="M213" s="15" t="s">
        <v>68</v>
      </c>
      <c r="N213" s="15" t="s">
        <v>82</v>
      </c>
      <c r="O213" s="15" t="s">
        <v>1684</v>
      </c>
      <c r="P213" s="15" t="s">
        <v>185</v>
      </c>
      <c r="Q213" s="15" t="s">
        <v>136</v>
      </c>
      <c r="R213" s="15" t="s">
        <v>135</v>
      </c>
      <c r="S213" s="15"/>
      <c r="T213" s="15"/>
      <c r="U213" s="3" t="s">
        <v>1685</v>
      </c>
      <c r="V213" s="3" t="s">
        <v>1686</v>
      </c>
      <c r="W213" s="3" t="s">
        <v>1687</v>
      </c>
      <c r="X213" s="3" t="s">
        <v>1688</v>
      </c>
      <c r="Y213" s="15" t="n">
        <v>0</v>
      </c>
      <c r="Z213" s="15" t="n">
        <v>1</v>
      </c>
      <c r="AA213" s="15" t="n">
        <v>0</v>
      </c>
      <c r="AB213" s="15" t="n">
        <v>0</v>
      </c>
      <c r="AC213" s="15" t="n">
        <v>1</v>
      </c>
      <c r="AD213" s="15" t="n">
        <v>0</v>
      </c>
      <c r="AE213" s="15" t="n">
        <v>1</v>
      </c>
      <c r="AF213" s="15" t="n">
        <v>0</v>
      </c>
      <c r="AG213" s="15" t="n">
        <v>0</v>
      </c>
      <c r="AH213" s="15" t="n">
        <v>0</v>
      </c>
    </row>
    <row r="214" customFormat="false" ht="46.25" hidden="false" customHeight="false" outlineLevel="0" collapsed="false">
      <c r="A214" s="15" t="s">
        <v>1689</v>
      </c>
      <c r="B214" s="15" t="s">
        <v>37</v>
      </c>
      <c r="C214" s="15" t="s">
        <v>1611</v>
      </c>
      <c r="D214" s="15" t="n">
        <v>39</v>
      </c>
      <c r="E214" s="15" t="s">
        <v>1674</v>
      </c>
      <c r="F214" s="15" t="n">
        <v>2</v>
      </c>
      <c r="G214" s="15" t="s">
        <v>129</v>
      </c>
      <c r="H214" s="15" t="s">
        <v>130</v>
      </c>
      <c r="I214" s="3" t="s">
        <v>1690</v>
      </c>
      <c r="J214" s="3" t="s">
        <v>1691</v>
      </c>
      <c r="K214" s="15" t="s">
        <v>133</v>
      </c>
      <c r="L214" s="16" t="s">
        <v>7</v>
      </c>
      <c r="M214" s="15" t="s">
        <v>68</v>
      </c>
      <c r="N214" s="15" t="s">
        <v>82</v>
      </c>
      <c r="O214" s="15" t="s">
        <v>239</v>
      </c>
      <c r="P214" s="15" t="s">
        <v>135</v>
      </c>
      <c r="Q214" s="15" t="s">
        <v>136</v>
      </c>
      <c r="R214" s="15" t="s">
        <v>135</v>
      </c>
      <c r="S214" s="15"/>
      <c r="T214" s="15"/>
      <c r="U214" s="3" t="s">
        <v>1692</v>
      </c>
      <c r="V214" s="3" t="s">
        <v>1693</v>
      </c>
      <c r="W214" s="3" t="s">
        <v>1694</v>
      </c>
      <c r="X214" s="3" t="s">
        <v>1695</v>
      </c>
      <c r="Y214" s="15" t="n">
        <v>0</v>
      </c>
      <c r="Z214" s="15" t="n">
        <v>1</v>
      </c>
      <c r="AA214" s="15" t="n">
        <v>0</v>
      </c>
      <c r="AB214" s="15" t="n">
        <v>0</v>
      </c>
      <c r="AC214" s="15" t="n">
        <v>0</v>
      </c>
      <c r="AD214" s="15" t="n">
        <v>0</v>
      </c>
      <c r="AE214" s="15" t="n">
        <v>0</v>
      </c>
      <c r="AF214" s="15" t="n">
        <v>1</v>
      </c>
      <c r="AG214" s="15" t="n">
        <v>0</v>
      </c>
      <c r="AH214" s="15" t="n">
        <v>1</v>
      </c>
    </row>
    <row r="215" customFormat="false" ht="46.25" hidden="false" customHeight="false" outlineLevel="0" collapsed="false">
      <c r="A215" s="15" t="s">
        <v>1696</v>
      </c>
      <c r="B215" s="15" t="s">
        <v>37</v>
      </c>
      <c r="C215" s="15" t="s">
        <v>1697</v>
      </c>
      <c r="D215" s="15" t="n">
        <v>17</v>
      </c>
      <c r="E215" s="15" t="s">
        <v>1698</v>
      </c>
      <c r="F215" s="15" t="n">
        <v>0</v>
      </c>
      <c r="G215" s="15" t="s">
        <v>141</v>
      </c>
      <c r="H215" s="15" t="s">
        <v>142</v>
      </c>
      <c r="I215" s="3" t="s">
        <v>1699</v>
      </c>
      <c r="J215" s="3" t="s">
        <v>1700</v>
      </c>
      <c r="K215" s="15" t="s">
        <v>133</v>
      </c>
      <c r="L215" s="16" t="s">
        <v>7</v>
      </c>
      <c r="M215" s="15" t="s">
        <v>68</v>
      </c>
      <c r="N215" s="15" t="s">
        <v>83</v>
      </c>
      <c r="O215" s="15" t="s">
        <v>1701</v>
      </c>
      <c r="P215" s="15" t="s">
        <v>135</v>
      </c>
      <c r="Q215" s="15" t="s">
        <v>307</v>
      </c>
      <c r="R215" s="15" t="s">
        <v>135</v>
      </c>
      <c r="S215" s="15"/>
      <c r="T215" s="15"/>
      <c r="U215" s="3" t="s">
        <v>1702</v>
      </c>
      <c r="V215" s="3" t="s">
        <v>1703</v>
      </c>
      <c r="W215" s="3" t="s">
        <v>1704</v>
      </c>
      <c r="X215" s="3" t="s">
        <v>1705</v>
      </c>
      <c r="Y215" s="15" t="n">
        <v>0</v>
      </c>
      <c r="Z215" s="15" t="n">
        <v>0</v>
      </c>
      <c r="AA215" s="15" t="n">
        <v>1</v>
      </c>
      <c r="AB215" s="15" t="n">
        <v>0</v>
      </c>
      <c r="AC215" s="15" t="n">
        <v>0</v>
      </c>
      <c r="AD215" s="15" t="n">
        <v>0</v>
      </c>
      <c r="AE215" s="15" t="n">
        <v>0</v>
      </c>
      <c r="AF215" s="15" t="n">
        <v>1</v>
      </c>
      <c r="AG215" s="15" t="n">
        <v>0</v>
      </c>
      <c r="AH215" s="15" t="n">
        <v>0</v>
      </c>
    </row>
    <row r="216" customFormat="false" ht="46.25" hidden="false" customHeight="false" outlineLevel="0" collapsed="false">
      <c r="A216" s="15" t="s">
        <v>1706</v>
      </c>
      <c r="B216" s="15" t="s">
        <v>37</v>
      </c>
      <c r="C216" s="15" t="s">
        <v>1697</v>
      </c>
      <c r="D216" s="15" t="n">
        <v>17</v>
      </c>
      <c r="E216" s="15" t="s">
        <v>1698</v>
      </c>
      <c r="F216" s="15" t="n">
        <v>1</v>
      </c>
      <c r="G216" s="15" t="s">
        <v>129</v>
      </c>
      <c r="H216" s="15" t="s">
        <v>130</v>
      </c>
      <c r="I216" s="3" t="s">
        <v>1707</v>
      </c>
      <c r="J216" s="3" t="s">
        <v>1708</v>
      </c>
      <c r="K216" s="15" t="s">
        <v>145</v>
      </c>
      <c r="L216" s="16" t="s">
        <v>7</v>
      </c>
      <c r="M216" s="15" t="s">
        <v>68</v>
      </c>
      <c r="N216" s="15" t="s">
        <v>82</v>
      </c>
      <c r="O216" s="15" t="s">
        <v>222</v>
      </c>
      <c r="P216" s="15" t="s">
        <v>135</v>
      </c>
      <c r="Q216" s="15" t="s">
        <v>307</v>
      </c>
      <c r="R216" s="15" t="s">
        <v>135</v>
      </c>
      <c r="S216" s="15"/>
      <c r="T216" s="15"/>
      <c r="U216" s="3" t="s">
        <v>1709</v>
      </c>
      <c r="V216" s="3" t="s">
        <v>1710</v>
      </c>
      <c r="W216" s="3" t="s">
        <v>1711</v>
      </c>
      <c r="X216" s="3" t="s">
        <v>1712</v>
      </c>
      <c r="Y216" s="15" t="n">
        <v>0</v>
      </c>
      <c r="Z216" s="15" t="n">
        <v>1</v>
      </c>
      <c r="AA216" s="15" t="n">
        <v>0</v>
      </c>
      <c r="AB216" s="15" t="n">
        <v>0</v>
      </c>
      <c r="AC216" s="15" t="n">
        <v>0</v>
      </c>
      <c r="AD216" s="15" t="n">
        <v>0</v>
      </c>
      <c r="AE216" s="15" t="n">
        <v>0</v>
      </c>
      <c r="AF216" s="15" t="n">
        <v>1</v>
      </c>
      <c r="AG216" s="15" t="n">
        <v>0</v>
      </c>
      <c r="AH216" s="15" t="n">
        <v>1</v>
      </c>
    </row>
    <row r="217" customFormat="false" ht="23.85" hidden="false" customHeight="false" outlineLevel="0" collapsed="false">
      <c r="A217" s="15" t="s">
        <v>1713</v>
      </c>
      <c r="B217" s="15" t="s">
        <v>37</v>
      </c>
      <c r="C217" s="15" t="s">
        <v>1697</v>
      </c>
      <c r="D217" s="15" t="n">
        <v>17</v>
      </c>
      <c r="E217" s="15" t="s">
        <v>1698</v>
      </c>
      <c r="F217" s="15" t="n">
        <v>2</v>
      </c>
      <c r="G217" s="15" t="s">
        <v>197</v>
      </c>
      <c r="H217" s="15" t="s">
        <v>142</v>
      </c>
      <c r="I217" s="3" t="s">
        <v>1714</v>
      </c>
      <c r="J217" s="3" t="s">
        <v>1715</v>
      </c>
      <c r="K217" s="15" t="s">
        <v>133</v>
      </c>
      <c r="L217" s="16" t="s">
        <v>7</v>
      </c>
      <c r="M217" s="15" t="s">
        <v>66</v>
      </c>
      <c r="N217" s="15" t="s">
        <v>88</v>
      </c>
      <c r="O217" s="15" t="s">
        <v>88</v>
      </c>
      <c r="P217" s="15" t="s">
        <v>135</v>
      </c>
      <c r="Q217" s="15" t="s">
        <v>307</v>
      </c>
      <c r="R217" s="15" t="s">
        <v>185</v>
      </c>
      <c r="S217" s="15"/>
      <c r="T217" s="15"/>
      <c r="U217" s="3" t="s">
        <v>1716</v>
      </c>
      <c r="V217" s="3" t="s">
        <v>1717</v>
      </c>
      <c r="W217" s="3" t="s">
        <v>1718</v>
      </c>
      <c r="X217" s="3" t="s">
        <v>1719</v>
      </c>
      <c r="Y217" s="15" t="n">
        <v>0</v>
      </c>
      <c r="Z217" s="15" t="n">
        <v>0</v>
      </c>
      <c r="AA217" s="15" t="n">
        <v>0</v>
      </c>
      <c r="AB217" s="15" t="n">
        <v>0</v>
      </c>
      <c r="AC217" s="15" t="n">
        <v>0</v>
      </c>
      <c r="AD217" s="15" t="n">
        <v>0</v>
      </c>
      <c r="AE217" s="15" t="n">
        <v>0</v>
      </c>
      <c r="AF217" s="15" t="n">
        <v>1</v>
      </c>
      <c r="AG217" s="15" t="n">
        <v>0</v>
      </c>
      <c r="AH217" s="15" t="n">
        <v>0</v>
      </c>
    </row>
    <row r="218" customFormat="false" ht="46.25" hidden="false" customHeight="false" outlineLevel="0" collapsed="false">
      <c r="A218" s="15" t="s">
        <v>1720</v>
      </c>
      <c r="B218" s="15" t="s">
        <v>37</v>
      </c>
      <c r="C218" s="15" t="s">
        <v>1697</v>
      </c>
      <c r="D218" s="15" t="n">
        <v>48</v>
      </c>
      <c r="E218" s="15" t="s">
        <v>1721</v>
      </c>
      <c r="F218" s="15" t="n">
        <v>0</v>
      </c>
      <c r="G218" s="15" t="s">
        <v>136</v>
      </c>
      <c r="H218" s="15" t="s">
        <v>308</v>
      </c>
      <c r="I218" s="3" t="s">
        <v>1722</v>
      </c>
      <c r="J218" s="3" t="s">
        <v>1723</v>
      </c>
      <c r="K218" s="15" t="s">
        <v>133</v>
      </c>
      <c r="L218" s="16" t="s">
        <v>7</v>
      </c>
      <c r="M218" s="15" t="s">
        <v>68</v>
      </c>
      <c r="N218" s="15" t="s">
        <v>82</v>
      </c>
      <c r="O218" s="15" t="s">
        <v>222</v>
      </c>
      <c r="P218" s="15" t="s">
        <v>135</v>
      </c>
      <c r="Q218" s="15" t="s">
        <v>307</v>
      </c>
      <c r="R218" s="15" t="s">
        <v>135</v>
      </c>
      <c r="S218" s="15"/>
      <c r="T218" s="15"/>
      <c r="U218" s="3" t="s">
        <v>1724</v>
      </c>
      <c r="V218" s="3" t="s">
        <v>1725</v>
      </c>
      <c r="W218" s="3" t="s">
        <v>1726</v>
      </c>
      <c r="X218" s="3" t="s">
        <v>1727</v>
      </c>
      <c r="Y218" s="15" t="n">
        <v>0</v>
      </c>
      <c r="Z218" s="15" t="n">
        <v>1</v>
      </c>
      <c r="AA218" s="15" t="n">
        <v>0</v>
      </c>
      <c r="AB218" s="15" t="n">
        <v>0</v>
      </c>
      <c r="AC218" s="15" t="n">
        <v>0</v>
      </c>
      <c r="AD218" s="15" t="n">
        <v>0</v>
      </c>
      <c r="AE218" s="15" t="n">
        <v>0</v>
      </c>
      <c r="AF218" s="15" t="n">
        <v>1</v>
      </c>
      <c r="AG218" s="15" t="n">
        <v>0</v>
      </c>
      <c r="AH218" s="15" t="n">
        <v>1</v>
      </c>
    </row>
    <row r="219" customFormat="false" ht="46.25" hidden="false" customHeight="false" outlineLevel="0" collapsed="false">
      <c r="A219" s="15" t="s">
        <v>1728</v>
      </c>
      <c r="B219" s="15" t="s">
        <v>37</v>
      </c>
      <c r="C219" s="15" t="s">
        <v>1697</v>
      </c>
      <c r="D219" s="15" t="n">
        <v>48</v>
      </c>
      <c r="E219" s="15" t="s">
        <v>1721</v>
      </c>
      <c r="F219" s="15" t="n">
        <v>1</v>
      </c>
      <c r="G219" s="15" t="s">
        <v>307</v>
      </c>
      <c r="H219" s="15" t="s">
        <v>308</v>
      </c>
      <c r="I219" s="3" t="s">
        <v>1729</v>
      </c>
      <c r="J219" s="3" t="s">
        <v>1730</v>
      </c>
      <c r="K219" s="15" t="s">
        <v>145</v>
      </c>
      <c r="L219" s="16" t="s">
        <v>7</v>
      </c>
      <c r="M219" s="15" t="s">
        <v>68</v>
      </c>
      <c r="N219" s="15" t="s">
        <v>82</v>
      </c>
      <c r="O219" s="15" t="s">
        <v>1731</v>
      </c>
      <c r="P219" s="15" t="s">
        <v>185</v>
      </c>
      <c r="Q219" s="15" t="s">
        <v>307</v>
      </c>
      <c r="R219" s="15" t="s">
        <v>135</v>
      </c>
      <c r="S219" s="15"/>
      <c r="T219" s="15"/>
      <c r="U219" s="3" t="s">
        <v>1732</v>
      </c>
      <c r="V219" s="3" t="s">
        <v>1733</v>
      </c>
      <c r="W219" s="3"/>
      <c r="X219" s="3" t="s">
        <v>1734</v>
      </c>
      <c r="Y219" s="15" t="n">
        <v>0</v>
      </c>
      <c r="Z219" s="15" t="n">
        <v>1</v>
      </c>
      <c r="AA219" s="15" t="n">
        <v>1</v>
      </c>
      <c r="AB219" s="15" t="n">
        <v>0</v>
      </c>
      <c r="AC219" s="15" t="n">
        <v>0</v>
      </c>
      <c r="AD219" s="15" t="n">
        <v>0</v>
      </c>
      <c r="AE219" s="15" t="n">
        <v>0</v>
      </c>
      <c r="AF219" s="15" t="n">
        <v>0</v>
      </c>
      <c r="AG219" s="15" t="n">
        <v>0</v>
      </c>
      <c r="AH219" s="15" t="n">
        <v>0</v>
      </c>
    </row>
    <row r="220" customFormat="false" ht="35.05" hidden="false" customHeight="false" outlineLevel="0" collapsed="false">
      <c r="A220" s="15" t="s">
        <v>1735</v>
      </c>
      <c r="B220" s="15" t="s">
        <v>37</v>
      </c>
      <c r="C220" s="15" t="s">
        <v>1697</v>
      </c>
      <c r="D220" s="15" t="n">
        <v>48</v>
      </c>
      <c r="E220" s="15" t="s">
        <v>1721</v>
      </c>
      <c r="F220" s="15" t="n">
        <v>2</v>
      </c>
      <c r="G220" s="15" t="s">
        <v>129</v>
      </c>
      <c r="H220" s="15" t="s">
        <v>130</v>
      </c>
      <c r="I220" s="3" t="s">
        <v>1736</v>
      </c>
      <c r="J220" s="3" t="s">
        <v>1737</v>
      </c>
      <c r="K220" s="15" t="s">
        <v>133</v>
      </c>
      <c r="L220" s="16" t="s">
        <v>7</v>
      </c>
      <c r="M220" s="15" t="s">
        <v>68</v>
      </c>
      <c r="N220" s="15" t="s">
        <v>82</v>
      </c>
      <c r="O220" s="15" t="s">
        <v>215</v>
      </c>
      <c r="P220" s="15" t="s">
        <v>135</v>
      </c>
      <c r="Q220" s="15" t="s">
        <v>307</v>
      </c>
      <c r="R220" s="15" t="s">
        <v>135</v>
      </c>
      <c r="S220" s="15"/>
      <c r="T220" s="15"/>
      <c r="U220" s="3" t="s">
        <v>1738</v>
      </c>
      <c r="V220" s="3" t="s">
        <v>1739</v>
      </c>
      <c r="W220" s="3"/>
      <c r="X220" s="3" t="s">
        <v>1740</v>
      </c>
      <c r="Y220" s="15" t="n">
        <v>0</v>
      </c>
      <c r="Z220" s="15" t="n">
        <v>1</v>
      </c>
      <c r="AA220" s="15" t="n">
        <v>0</v>
      </c>
      <c r="AB220" s="15" t="n">
        <v>0</v>
      </c>
      <c r="AC220" s="15" t="n">
        <v>0</v>
      </c>
      <c r="AD220" s="15" t="n">
        <v>0</v>
      </c>
      <c r="AE220" s="15" t="n">
        <v>0</v>
      </c>
      <c r="AF220" s="15" t="n">
        <v>1</v>
      </c>
      <c r="AG220" s="15" t="n">
        <v>0</v>
      </c>
      <c r="AH220" s="15" t="n">
        <v>0</v>
      </c>
    </row>
    <row r="221" customFormat="false" ht="35.05" hidden="false" customHeight="false" outlineLevel="0" collapsed="false">
      <c r="A221" s="15" t="s">
        <v>1741</v>
      </c>
      <c r="B221" s="15" t="s">
        <v>37</v>
      </c>
      <c r="C221" s="15" t="s">
        <v>1697</v>
      </c>
      <c r="D221" s="15" t="n">
        <v>50</v>
      </c>
      <c r="E221" s="15" t="s">
        <v>1742</v>
      </c>
      <c r="F221" s="15" t="n">
        <v>0</v>
      </c>
      <c r="G221" s="15" t="s">
        <v>136</v>
      </c>
      <c r="H221" s="15" t="s">
        <v>308</v>
      </c>
      <c r="I221" s="3" t="s">
        <v>1743</v>
      </c>
      <c r="J221" s="3" t="s">
        <v>1744</v>
      </c>
      <c r="K221" s="15" t="s">
        <v>133</v>
      </c>
      <c r="L221" s="16" t="s">
        <v>7</v>
      </c>
      <c r="M221" s="15" t="s">
        <v>66</v>
      </c>
      <c r="N221" s="15" t="s">
        <v>88</v>
      </c>
      <c r="O221" s="15" t="s">
        <v>88</v>
      </c>
      <c r="P221" s="15" t="s">
        <v>135</v>
      </c>
      <c r="Q221" s="15" t="s">
        <v>129</v>
      </c>
      <c r="R221" s="15" t="s">
        <v>185</v>
      </c>
      <c r="S221" s="15"/>
      <c r="T221" s="15"/>
      <c r="U221" s="3" t="s">
        <v>1745</v>
      </c>
      <c r="V221" s="3" t="s">
        <v>1746</v>
      </c>
      <c r="W221" s="3"/>
      <c r="X221" s="3" t="s">
        <v>1747</v>
      </c>
      <c r="Y221" s="15" t="n">
        <v>0</v>
      </c>
      <c r="Z221" s="15" t="n">
        <v>0</v>
      </c>
      <c r="AA221" s="15" t="n">
        <v>0</v>
      </c>
      <c r="AB221" s="15" t="n">
        <v>0</v>
      </c>
      <c r="AC221" s="15" t="n">
        <v>0</v>
      </c>
      <c r="AD221" s="15" t="n">
        <v>0</v>
      </c>
      <c r="AE221" s="15" t="n">
        <v>0</v>
      </c>
      <c r="AF221" s="15" t="n">
        <v>1</v>
      </c>
      <c r="AG221" s="15" t="n">
        <v>0</v>
      </c>
      <c r="AH221" s="15" t="n">
        <v>0</v>
      </c>
    </row>
    <row r="222" customFormat="false" ht="46.25" hidden="false" customHeight="false" outlineLevel="0" collapsed="false">
      <c r="A222" s="15" t="s">
        <v>1748</v>
      </c>
      <c r="B222" s="15" t="s">
        <v>37</v>
      </c>
      <c r="C222" s="15" t="s">
        <v>1697</v>
      </c>
      <c r="D222" s="15" t="n">
        <v>50</v>
      </c>
      <c r="E222" s="15" t="s">
        <v>1742</v>
      </c>
      <c r="F222" s="15" t="n">
        <v>1</v>
      </c>
      <c r="G222" s="15" t="s">
        <v>141</v>
      </c>
      <c r="H222" s="15" t="s">
        <v>142</v>
      </c>
      <c r="I222" s="3" t="s">
        <v>1749</v>
      </c>
      <c r="J222" s="3" t="s">
        <v>1750</v>
      </c>
      <c r="K222" s="15" t="s">
        <v>145</v>
      </c>
      <c r="L222" s="16" t="s">
        <v>7</v>
      </c>
      <c r="M222" s="15" t="s">
        <v>66</v>
      </c>
      <c r="N222" s="15" t="s">
        <v>85</v>
      </c>
      <c r="O222" s="15" t="s">
        <v>146</v>
      </c>
      <c r="P222" s="15" t="s">
        <v>135</v>
      </c>
      <c r="Q222" s="15" t="s">
        <v>129</v>
      </c>
      <c r="R222" s="15" t="s">
        <v>135</v>
      </c>
      <c r="S222" s="15"/>
      <c r="T222" s="15"/>
      <c r="U222" s="3" t="s">
        <v>1751</v>
      </c>
      <c r="V222" s="3" t="s">
        <v>1752</v>
      </c>
      <c r="W222" s="3" t="s">
        <v>1753</v>
      </c>
      <c r="X222" s="3" t="s">
        <v>1754</v>
      </c>
      <c r="Y222" s="15" t="n">
        <v>0</v>
      </c>
      <c r="Z222" s="15" t="n">
        <v>0</v>
      </c>
      <c r="AA222" s="15" t="n">
        <v>0</v>
      </c>
      <c r="AB222" s="15" t="n">
        <v>0</v>
      </c>
      <c r="AC222" s="15" t="n">
        <v>1</v>
      </c>
      <c r="AD222" s="15" t="n">
        <v>0</v>
      </c>
      <c r="AE222" s="15" t="n">
        <v>0</v>
      </c>
      <c r="AF222" s="15" t="n">
        <v>1</v>
      </c>
      <c r="AG222" s="15" t="n">
        <v>0</v>
      </c>
      <c r="AH222" s="15" t="n">
        <v>0</v>
      </c>
    </row>
    <row r="223" customFormat="false" ht="35.05" hidden="false" customHeight="false" outlineLevel="0" collapsed="false">
      <c r="A223" s="15" t="s">
        <v>1755</v>
      </c>
      <c r="B223" s="15" t="s">
        <v>37</v>
      </c>
      <c r="C223" s="15" t="s">
        <v>1697</v>
      </c>
      <c r="D223" s="15" t="n">
        <v>50</v>
      </c>
      <c r="E223" s="15" t="s">
        <v>1742</v>
      </c>
      <c r="F223" s="15" t="n">
        <v>2</v>
      </c>
      <c r="G223" s="15" t="s">
        <v>307</v>
      </c>
      <c r="H223" s="15" t="s">
        <v>308</v>
      </c>
      <c r="I223" s="3" t="s">
        <v>1756</v>
      </c>
      <c r="J223" s="3" t="s">
        <v>1757</v>
      </c>
      <c r="K223" s="15" t="s">
        <v>133</v>
      </c>
      <c r="L223" s="16" t="s">
        <v>7</v>
      </c>
      <c r="M223" s="15" t="s">
        <v>68</v>
      </c>
      <c r="N223" s="15" t="s">
        <v>82</v>
      </c>
      <c r="O223" s="15" t="s">
        <v>549</v>
      </c>
      <c r="P223" s="15" t="s">
        <v>135</v>
      </c>
      <c r="Q223" s="15" t="s">
        <v>307</v>
      </c>
      <c r="R223" s="15" t="s">
        <v>135</v>
      </c>
      <c r="S223" s="15"/>
      <c r="T223" s="15"/>
      <c r="U223" s="3" t="s">
        <v>1758</v>
      </c>
      <c r="V223" s="3" t="s">
        <v>1759</v>
      </c>
      <c r="W223" s="3" t="s">
        <v>1760</v>
      </c>
      <c r="X223" s="3" t="s">
        <v>1761</v>
      </c>
      <c r="Y223" s="15" t="n">
        <v>0</v>
      </c>
      <c r="Z223" s="15" t="n">
        <v>1</v>
      </c>
      <c r="AA223" s="15" t="n">
        <v>0</v>
      </c>
      <c r="AB223" s="15" t="n">
        <v>0</v>
      </c>
      <c r="AC223" s="15" t="n">
        <v>0</v>
      </c>
      <c r="AD223" s="15" t="n">
        <v>0</v>
      </c>
      <c r="AE223" s="15" t="n">
        <v>0</v>
      </c>
      <c r="AF223" s="15" t="n">
        <v>0</v>
      </c>
      <c r="AG223" s="15" t="n">
        <v>0</v>
      </c>
      <c r="AH223" s="15" t="n">
        <v>1</v>
      </c>
    </row>
    <row r="224" customFormat="false" ht="23.85" hidden="false" customHeight="false" outlineLevel="0" collapsed="false">
      <c r="A224" s="15" t="s">
        <v>1762</v>
      </c>
      <c r="B224" s="15" t="s">
        <v>37</v>
      </c>
      <c r="C224" s="15" t="s">
        <v>1697</v>
      </c>
      <c r="D224" s="15" t="n">
        <v>57</v>
      </c>
      <c r="E224" s="15" t="s">
        <v>1763</v>
      </c>
      <c r="F224" s="15" t="n">
        <v>0</v>
      </c>
      <c r="G224" s="15" t="s">
        <v>129</v>
      </c>
      <c r="H224" s="15" t="s">
        <v>130</v>
      </c>
      <c r="I224" s="3" t="s">
        <v>1764</v>
      </c>
      <c r="J224" s="3" t="s">
        <v>1765</v>
      </c>
      <c r="K224" s="15" t="s">
        <v>133</v>
      </c>
      <c r="L224" s="18" t="s">
        <v>5</v>
      </c>
      <c r="M224" s="15" t="s">
        <v>426</v>
      </c>
      <c r="N224" s="15" t="s">
        <v>426</v>
      </c>
      <c r="O224" s="15"/>
      <c r="P224" s="15" t="s">
        <v>185</v>
      </c>
      <c r="Q224" s="15" t="s">
        <v>129</v>
      </c>
      <c r="R224" s="15" t="s">
        <v>185</v>
      </c>
      <c r="S224" s="15"/>
      <c r="T224" s="15"/>
      <c r="U224" s="3" t="s">
        <v>1766</v>
      </c>
      <c r="V224" s="3" t="s">
        <v>1767</v>
      </c>
      <c r="W224" s="3"/>
      <c r="X224" s="3"/>
      <c r="Y224" s="15" t="n">
        <v>0</v>
      </c>
      <c r="Z224" s="15" t="n">
        <v>0</v>
      </c>
      <c r="AA224" s="15" t="n">
        <v>0</v>
      </c>
      <c r="AB224" s="15" t="n">
        <v>0</v>
      </c>
      <c r="AC224" s="15" t="n">
        <v>0</v>
      </c>
      <c r="AD224" s="15" t="n">
        <v>0</v>
      </c>
      <c r="AE224" s="15" t="n">
        <v>0</v>
      </c>
      <c r="AF224" s="15" t="n">
        <v>0</v>
      </c>
      <c r="AG224" s="15" t="n">
        <v>0</v>
      </c>
      <c r="AH224" s="15" t="n">
        <v>0</v>
      </c>
    </row>
    <row r="225" customFormat="false" ht="46.25" hidden="false" customHeight="false" outlineLevel="0" collapsed="false">
      <c r="A225" s="15" t="s">
        <v>1768</v>
      </c>
      <c r="B225" s="15" t="s">
        <v>37</v>
      </c>
      <c r="C225" s="15" t="s">
        <v>1697</v>
      </c>
      <c r="D225" s="15" t="n">
        <v>57</v>
      </c>
      <c r="E225" s="15" t="s">
        <v>1763</v>
      </c>
      <c r="F225" s="15" t="n">
        <v>1</v>
      </c>
      <c r="G225" s="15" t="s">
        <v>136</v>
      </c>
      <c r="H225" s="15" t="s">
        <v>308</v>
      </c>
      <c r="I225" s="3" t="s">
        <v>1769</v>
      </c>
      <c r="J225" s="3" t="s">
        <v>1770</v>
      </c>
      <c r="K225" s="15" t="s">
        <v>145</v>
      </c>
      <c r="L225" s="16" t="s">
        <v>7</v>
      </c>
      <c r="M225" s="15" t="s">
        <v>68</v>
      </c>
      <c r="N225" s="15" t="s">
        <v>82</v>
      </c>
      <c r="O225" s="15" t="s">
        <v>82</v>
      </c>
      <c r="P225" s="15" t="s">
        <v>185</v>
      </c>
      <c r="Q225" s="15" t="s">
        <v>136</v>
      </c>
      <c r="R225" s="15" t="s">
        <v>135</v>
      </c>
      <c r="S225" s="15"/>
      <c r="T225" s="15"/>
      <c r="U225" s="3" t="s">
        <v>1771</v>
      </c>
      <c r="V225" s="3" t="s">
        <v>1772</v>
      </c>
      <c r="W225" s="3"/>
      <c r="X225" s="3" t="s">
        <v>1773</v>
      </c>
      <c r="Y225" s="15" t="n">
        <v>0</v>
      </c>
      <c r="Z225" s="15" t="n">
        <v>1</v>
      </c>
      <c r="AA225" s="15" t="n">
        <v>0</v>
      </c>
      <c r="AB225" s="15" t="n">
        <v>0</v>
      </c>
      <c r="AC225" s="15" t="n">
        <v>0</v>
      </c>
      <c r="AD225" s="15" t="n">
        <v>0</v>
      </c>
      <c r="AE225" s="15" t="n">
        <v>0</v>
      </c>
      <c r="AF225" s="15" t="n">
        <v>0</v>
      </c>
      <c r="AG225" s="15" t="n">
        <v>0</v>
      </c>
      <c r="AH225" s="15" t="n">
        <v>0</v>
      </c>
    </row>
    <row r="226" customFormat="false" ht="46.25" hidden="false" customHeight="false" outlineLevel="0" collapsed="false">
      <c r="A226" s="15" t="s">
        <v>1774</v>
      </c>
      <c r="B226" s="15" t="s">
        <v>37</v>
      </c>
      <c r="C226" s="15" t="s">
        <v>1697</v>
      </c>
      <c r="D226" s="15" t="n">
        <v>57</v>
      </c>
      <c r="E226" s="15" t="s">
        <v>1763</v>
      </c>
      <c r="F226" s="15" t="n">
        <v>2</v>
      </c>
      <c r="G226" s="15" t="s">
        <v>197</v>
      </c>
      <c r="H226" s="15" t="s">
        <v>142</v>
      </c>
      <c r="I226" s="3" t="s">
        <v>1775</v>
      </c>
      <c r="J226" s="3" t="s">
        <v>1776</v>
      </c>
      <c r="K226" s="15" t="s">
        <v>133</v>
      </c>
      <c r="L226" s="16" t="s">
        <v>7</v>
      </c>
      <c r="M226" s="15" t="s">
        <v>68</v>
      </c>
      <c r="N226" s="15" t="s">
        <v>83</v>
      </c>
      <c r="O226" s="15" t="s">
        <v>1107</v>
      </c>
      <c r="P226" s="15" t="s">
        <v>135</v>
      </c>
      <c r="Q226" s="15" t="s">
        <v>307</v>
      </c>
      <c r="R226" s="15" t="s">
        <v>135</v>
      </c>
      <c r="S226" s="15"/>
      <c r="T226" s="15"/>
      <c r="U226" s="3" t="s">
        <v>1777</v>
      </c>
      <c r="V226" s="3" t="s">
        <v>1778</v>
      </c>
      <c r="W226" s="3"/>
      <c r="X226" s="3" t="s">
        <v>1779</v>
      </c>
      <c r="Y226" s="15" t="n">
        <v>0</v>
      </c>
      <c r="Z226" s="15" t="n">
        <v>1</v>
      </c>
      <c r="AA226" s="15" t="n">
        <v>1</v>
      </c>
      <c r="AB226" s="15" t="n">
        <v>0</v>
      </c>
      <c r="AC226" s="15" t="n">
        <v>0</v>
      </c>
      <c r="AD226" s="15" t="n">
        <v>0</v>
      </c>
      <c r="AE226" s="15" t="n">
        <v>0</v>
      </c>
      <c r="AF226" s="15" t="n">
        <v>1</v>
      </c>
      <c r="AG226" s="15" t="n">
        <v>0</v>
      </c>
      <c r="AH226" s="15" t="n">
        <v>0</v>
      </c>
    </row>
    <row r="227" customFormat="false" ht="35.05" hidden="false" customHeight="false" outlineLevel="0" collapsed="false">
      <c r="A227" s="15" t="s">
        <v>1780</v>
      </c>
      <c r="B227" s="15" t="s">
        <v>37</v>
      </c>
      <c r="C227" s="15" t="s">
        <v>1697</v>
      </c>
      <c r="D227" s="15" t="n">
        <v>58</v>
      </c>
      <c r="E227" s="15" t="s">
        <v>1781</v>
      </c>
      <c r="F227" s="15" t="n">
        <v>0</v>
      </c>
      <c r="G227" s="15" t="s">
        <v>129</v>
      </c>
      <c r="H227" s="15" t="s">
        <v>130</v>
      </c>
      <c r="I227" s="3" t="s">
        <v>1782</v>
      </c>
      <c r="J227" s="3" t="s">
        <v>1783</v>
      </c>
      <c r="K227" s="15" t="s">
        <v>133</v>
      </c>
      <c r="L227" s="16" t="s">
        <v>7</v>
      </c>
      <c r="M227" s="15" t="s">
        <v>68</v>
      </c>
      <c r="N227" s="15" t="s">
        <v>85</v>
      </c>
      <c r="O227" s="15" t="s">
        <v>838</v>
      </c>
      <c r="P227" s="15" t="s">
        <v>185</v>
      </c>
      <c r="Q227" s="15" t="s">
        <v>129</v>
      </c>
      <c r="R227" s="15" t="s">
        <v>135</v>
      </c>
      <c r="S227" s="15"/>
      <c r="T227" s="15"/>
      <c r="U227" s="3" t="s">
        <v>1784</v>
      </c>
      <c r="V227" s="3" t="s">
        <v>1785</v>
      </c>
      <c r="W227" s="3"/>
      <c r="X227" s="3" t="s">
        <v>1786</v>
      </c>
      <c r="Y227" s="15" t="n">
        <v>0</v>
      </c>
      <c r="Z227" s="15" t="n">
        <v>1</v>
      </c>
      <c r="AA227" s="15" t="n">
        <v>0</v>
      </c>
      <c r="AB227" s="15" t="n">
        <v>0</v>
      </c>
      <c r="AC227" s="15" t="n">
        <v>1</v>
      </c>
      <c r="AD227" s="15" t="n">
        <v>0</v>
      </c>
      <c r="AE227" s="15" t="n">
        <v>0</v>
      </c>
      <c r="AF227" s="15" t="n">
        <v>0</v>
      </c>
      <c r="AG227" s="15" t="n">
        <v>0</v>
      </c>
      <c r="AH227" s="15" t="n">
        <v>0</v>
      </c>
    </row>
    <row r="228" customFormat="false" ht="35.05" hidden="false" customHeight="false" outlineLevel="0" collapsed="false">
      <c r="A228" s="15" t="s">
        <v>1787</v>
      </c>
      <c r="B228" s="15" t="s">
        <v>37</v>
      </c>
      <c r="C228" s="15" t="s">
        <v>1697</v>
      </c>
      <c r="D228" s="15" t="n">
        <v>58</v>
      </c>
      <c r="E228" s="15" t="s">
        <v>1781</v>
      </c>
      <c r="F228" s="15" t="n">
        <v>1</v>
      </c>
      <c r="G228" s="15" t="s">
        <v>141</v>
      </c>
      <c r="H228" s="15" t="s">
        <v>142</v>
      </c>
      <c r="I228" s="3" t="s">
        <v>1788</v>
      </c>
      <c r="J228" s="3" t="s">
        <v>1789</v>
      </c>
      <c r="K228" s="15" t="s">
        <v>145</v>
      </c>
      <c r="L228" s="16" t="s">
        <v>7</v>
      </c>
      <c r="M228" s="15" t="s">
        <v>66</v>
      </c>
      <c r="N228" s="15" t="s">
        <v>88</v>
      </c>
      <c r="O228" s="15" t="s">
        <v>1790</v>
      </c>
      <c r="P228" s="15" t="s">
        <v>135</v>
      </c>
      <c r="Q228" s="15" t="s">
        <v>129</v>
      </c>
      <c r="R228" s="15" t="s">
        <v>135</v>
      </c>
      <c r="S228" s="15"/>
      <c r="T228" s="15"/>
      <c r="U228" s="3" t="s">
        <v>1791</v>
      </c>
      <c r="V228" s="3" t="s">
        <v>1792</v>
      </c>
      <c r="W228" s="3" t="s">
        <v>1793</v>
      </c>
      <c r="X228" s="3" t="s">
        <v>1794</v>
      </c>
      <c r="Y228" s="15" t="n">
        <v>0</v>
      </c>
      <c r="Z228" s="15" t="n">
        <v>0</v>
      </c>
      <c r="AA228" s="15" t="n">
        <v>0</v>
      </c>
      <c r="AB228" s="15" t="n">
        <v>0</v>
      </c>
      <c r="AC228" s="15" t="n">
        <v>0</v>
      </c>
      <c r="AD228" s="15" t="n">
        <v>0</v>
      </c>
      <c r="AE228" s="15" t="n">
        <v>1</v>
      </c>
      <c r="AF228" s="15" t="n">
        <v>1</v>
      </c>
      <c r="AG228" s="15" t="n">
        <v>0</v>
      </c>
      <c r="AH228" s="15" t="n">
        <v>0</v>
      </c>
    </row>
    <row r="229" customFormat="false" ht="35.05" hidden="false" customHeight="false" outlineLevel="0" collapsed="false">
      <c r="A229" s="15" t="s">
        <v>1795</v>
      </c>
      <c r="B229" s="15" t="s">
        <v>37</v>
      </c>
      <c r="C229" s="15" t="s">
        <v>1697</v>
      </c>
      <c r="D229" s="15" t="n">
        <v>58</v>
      </c>
      <c r="E229" s="15" t="s">
        <v>1781</v>
      </c>
      <c r="F229" s="15" t="n">
        <v>2</v>
      </c>
      <c r="G229" s="15" t="s">
        <v>197</v>
      </c>
      <c r="H229" s="15" t="s">
        <v>142</v>
      </c>
      <c r="I229" s="3" t="s">
        <v>1796</v>
      </c>
      <c r="J229" s="3" t="s">
        <v>1797</v>
      </c>
      <c r="K229" s="15" t="s">
        <v>133</v>
      </c>
      <c r="L229" s="16" t="s">
        <v>7</v>
      </c>
      <c r="M229" s="15" t="s">
        <v>66</v>
      </c>
      <c r="N229" s="15" t="s">
        <v>88</v>
      </c>
      <c r="O229" s="15" t="s">
        <v>1798</v>
      </c>
      <c r="P229" s="15" t="s">
        <v>135</v>
      </c>
      <c r="Q229" s="15" t="s">
        <v>129</v>
      </c>
      <c r="R229" s="15" t="s">
        <v>135</v>
      </c>
      <c r="S229" s="15"/>
      <c r="T229" s="15"/>
      <c r="U229" s="3" t="s">
        <v>1799</v>
      </c>
      <c r="V229" s="3" t="s">
        <v>1800</v>
      </c>
      <c r="W229" s="3" t="s">
        <v>1801</v>
      </c>
      <c r="X229" s="3" t="s">
        <v>1802</v>
      </c>
      <c r="Y229" s="15" t="n">
        <v>0</v>
      </c>
      <c r="Z229" s="15" t="n">
        <v>0</v>
      </c>
      <c r="AA229" s="15" t="n">
        <v>0</v>
      </c>
      <c r="AB229" s="15" t="n">
        <v>0</v>
      </c>
      <c r="AC229" s="15" t="n">
        <v>0</v>
      </c>
      <c r="AD229" s="15" t="n">
        <v>1</v>
      </c>
      <c r="AE229" s="15" t="n">
        <v>0</v>
      </c>
      <c r="AF229" s="15" t="n">
        <v>1</v>
      </c>
      <c r="AG229" s="15" t="n">
        <v>0</v>
      </c>
      <c r="AH229" s="15" t="n">
        <v>1</v>
      </c>
    </row>
    <row r="230" customFormat="false" ht="35.05" hidden="false" customHeight="false" outlineLevel="0" collapsed="false">
      <c r="A230" s="15" t="s">
        <v>1803</v>
      </c>
      <c r="B230" s="15" t="s">
        <v>37</v>
      </c>
      <c r="C230" s="15" t="s">
        <v>1697</v>
      </c>
      <c r="D230" s="15" t="n">
        <v>69</v>
      </c>
      <c r="E230" s="15" t="s">
        <v>1804</v>
      </c>
      <c r="F230" s="15" t="n">
        <v>0</v>
      </c>
      <c r="G230" s="15" t="s">
        <v>129</v>
      </c>
      <c r="H230" s="15" t="s">
        <v>130</v>
      </c>
      <c r="I230" s="3" t="s">
        <v>1805</v>
      </c>
      <c r="J230" s="3" t="s">
        <v>1806</v>
      </c>
      <c r="K230" s="15" t="s">
        <v>133</v>
      </c>
      <c r="L230" s="17" t="s">
        <v>9</v>
      </c>
      <c r="M230" s="15" t="s">
        <v>70</v>
      </c>
      <c r="N230" s="15" t="s">
        <v>81</v>
      </c>
      <c r="O230" s="15" t="s">
        <v>622</v>
      </c>
      <c r="P230" s="15" t="s">
        <v>135</v>
      </c>
      <c r="Q230" s="15" t="s">
        <v>136</v>
      </c>
      <c r="R230" s="15" t="s">
        <v>135</v>
      </c>
      <c r="S230" s="15" t="s">
        <v>326</v>
      </c>
      <c r="T230" s="15" t="s">
        <v>390</v>
      </c>
      <c r="U230" s="3" t="s">
        <v>1807</v>
      </c>
      <c r="V230" s="3" t="s">
        <v>1808</v>
      </c>
      <c r="W230" s="3"/>
      <c r="X230" s="3"/>
      <c r="Y230" s="15" t="n">
        <v>1</v>
      </c>
      <c r="Z230" s="15" t="n">
        <v>0</v>
      </c>
      <c r="AA230" s="15" t="n">
        <v>0</v>
      </c>
      <c r="AB230" s="15" t="n">
        <v>0</v>
      </c>
      <c r="AC230" s="15" t="n">
        <v>1</v>
      </c>
      <c r="AD230" s="15" t="n">
        <v>0</v>
      </c>
      <c r="AE230" s="15" t="n">
        <v>0</v>
      </c>
      <c r="AF230" s="15" t="n">
        <v>0</v>
      </c>
      <c r="AG230" s="15" t="n">
        <v>0</v>
      </c>
      <c r="AH230" s="15" t="n">
        <v>1</v>
      </c>
    </row>
    <row r="231" customFormat="false" ht="35.05" hidden="false" customHeight="false" outlineLevel="0" collapsed="false">
      <c r="A231" s="15" t="s">
        <v>1809</v>
      </c>
      <c r="B231" s="15" t="s">
        <v>37</v>
      </c>
      <c r="C231" s="15" t="s">
        <v>1697</v>
      </c>
      <c r="D231" s="15" t="n">
        <v>69</v>
      </c>
      <c r="E231" s="15" t="s">
        <v>1804</v>
      </c>
      <c r="F231" s="15" t="n">
        <v>1</v>
      </c>
      <c r="G231" s="15" t="s">
        <v>136</v>
      </c>
      <c r="H231" s="15" t="s">
        <v>308</v>
      </c>
      <c r="I231" s="3" t="s">
        <v>1810</v>
      </c>
      <c r="J231" s="3" t="s">
        <v>1811</v>
      </c>
      <c r="K231" s="15" t="s">
        <v>133</v>
      </c>
      <c r="L231" s="16" t="s">
        <v>7</v>
      </c>
      <c r="M231" s="15" t="s">
        <v>68</v>
      </c>
      <c r="N231" s="15" t="s">
        <v>82</v>
      </c>
      <c r="O231" s="15" t="s">
        <v>215</v>
      </c>
      <c r="P231" s="15" t="s">
        <v>135</v>
      </c>
      <c r="Q231" s="15" t="s">
        <v>129</v>
      </c>
      <c r="R231" s="15" t="s">
        <v>135</v>
      </c>
      <c r="S231" s="15"/>
      <c r="T231" s="15"/>
      <c r="U231" s="3" t="s">
        <v>1812</v>
      </c>
      <c r="V231" s="3" t="s">
        <v>1813</v>
      </c>
      <c r="W231" s="3"/>
      <c r="X231" s="3" t="s">
        <v>1814</v>
      </c>
      <c r="Y231" s="15" t="n">
        <v>0</v>
      </c>
      <c r="Z231" s="15" t="n">
        <v>1</v>
      </c>
      <c r="AA231" s="15" t="n">
        <v>0</v>
      </c>
      <c r="AB231" s="15" t="n">
        <v>0</v>
      </c>
      <c r="AC231" s="15" t="n">
        <v>0</v>
      </c>
      <c r="AD231" s="15" t="n">
        <v>0</v>
      </c>
      <c r="AE231" s="15" t="n">
        <v>0</v>
      </c>
      <c r="AF231" s="15" t="n">
        <v>1</v>
      </c>
      <c r="AG231" s="15" t="n">
        <v>0</v>
      </c>
      <c r="AH231" s="15" t="n">
        <v>0</v>
      </c>
    </row>
    <row r="232" customFormat="false" ht="35.05" hidden="false" customHeight="false" outlineLevel="0" collapsed="false">
      <c r="A232" s="15" t="s">
        <v>1815</v>
      </c>
      <c r="B232" s="15" t="s">
        <v>37</v>
      </c>
      <c r="C232" s="15" t="s">
        <v>1697</v>
      </c>
      <c r="D232" s="15" t="n">
        <v>69</v>
      </c>
      <c r="E232" s="15" t="s">
        <v>1804</v>
      </c>
      <c r="F232" s="15" t="n">
        <v>2</v>
      </c>
      <c r="G232" s="15" t="s">
        <v>197</v>
      </c>
      <c r="H232" s="15" t="s">
        <v>142</v>
      </c>
      <c r="I232" s="3" t="s">
        <v>1816</v>
      </c>
      <c r="J232" s="3" t="s">
        <v>1817</v>
      </c>
      <c r="K232" s="15" t="s">
        <v>133</v>
      </c>
      <c r="L232" s="16" t="s">
        <v>7</v>
      </c>
      <c r="M232" s="15" t="s">
        <v>66</v>
      </c>
      <c r="N232" s="15" t="s">
        <v>88</v>
      </c>
      <c r="O232" s="15" t="s">
        <v>643</v>
      </c>
      <c r="P232" s="15" t="s">
        <v>135</v>
      </c>
      <c r="Q232" s="15" t="s">
        <v>129</v>
      </c>
      <c r="R232" s="15" t="s">
        <v>135</v>
      </c>
      <c r="S232" s="15"/>
      <c r="T232" s="15"/>
      <c r="U232" s="3" t="s">
        <v>1818</v>
      </c>
      <c r="V232" s="3" t="s">
        <v>1819</v>
      </c>
      <c r="W232" s="3" t="s">
        <v>1820</v>
      </c>
      <c r="X232" s="3" t="s">
        <v>1821</v>
      </c>
      <c r="Y232" s="15" t="n">
        <v>0</v>
      </c>
      <c r="Z232" s="15" t="n">
        <v>0</v>
      </c>
      <c r="AA232" s="15" t="n">
        <v>0</v>
      </c>
      <c r="AB232" s="15" t="n">
        <v>0</v>
      </c>
      <c r="AC232" s="15" t="n">
        <v>0</v>
      </c>
      <c r="AD232" s="15" t="n">
        <v>0</v>
      </c>
      <c r="AE232" s="15" t="n">
        <v>1</v>
      </c>
      <c r="AF232" s="15" t="n">
        <v>1</v>
      </c>
      <c r="AG232" s="15" t="n">
        <v>0</v>
      </c>
      <c r="AH232" s="15" t="n">
        <v>1</v>
      </c>
    </row>
    <row r="233" customFormat="false" ht="46.25" hidden="false" customHeight="false" outlineLevel="0" collapsed="false">
      <c r="A233" s="15" t="s">
        <v>1822</v>
      </c>
      <c r="B233" s="15" t="s">
        <v>37</v>
      </c>
      <c r="C233" s="15" t="s">
        <v>1697</v>
      </c>
      <c r="D233" s="15" t="n">
        <v>70</v>
      </c>
      <c r="E233" s="15" t="s">
        <v>1823</v>
      </c>
      <c r="F233" s="15" t="n">
        <v>0</v>
      </c>
      <c r="G233" s="15" t="s">
        <v>136</v>
      </c>
      <c r="H233" s="15" t="s">
        <v>308</v>
      </c>
      <c r="I233" s="3" t="s">
        <v>1824</v>
      </c>
      <c r="J233" s="3" t="s">
        <v>1825</v>
      </c>
      <c r="K233" s="15" t="s">
        <v>133</v>
      </c>
      <c r="L233" s="16" t="s">
        <v>7</v>
      </c>
      <c r="M233" s="15" t="s">
        <v>68</v>
      </c>
      <c r="N233" s="15" t="s">
        <v>82</v>
      </c>
      <c r="O233" s="15" t="s">
        <v>750</v>
      </c>
      <c r="P233" s="15" t="s">
        <v>185</v>
      </c>
      <c r="Q233" s="15" t="s">
        <v>136</v>
      </c>
      <c r="R233" s="15" t="s">
        <v>135</v>
      </c>
      <c r="S233" s="15"/>
      <c r="T233" s="15"/>
      <c r="U233" s="3" t="s">
        <v>1826</v>
      </c>
      <c r="V233" s="3" t="s">
        <v>1827</v>
      </c>
      <c r="W233" s="3" t="s">
        <v>1828</v>
      </c>
      <c r="X233" s="3" t="s">
        <v>1829</v>
      </c>
      <c r="Y233" s="15" t="n">
        <v>0</v>
      </c>
      <c r="Z233" s="15" t="n">
        <v>1</v>
      </c>
      <c r="AA233" s="15" t="n">
        <v>0</v>
      </c>
      <c r="AB233" s="15" t="n">
        <v>0</v>
      </c>
      <c r="AC233" s="15" t="n">
        <v>0</v>
      </c>
      <c r="AD233" s="15" t="n">
        <v>0</v>
      </c>
      <c r="AE233" s="15" t="n">
        <v>0</v>
      </c>
      <c r="AF233" s="15" t="n">
        <v>0</v>
      </c>
      <c r="AG233" s="15" t="n">
        <v>1</v>
      </c>
      <c r="AH233" s="15" t="n">
        <v>0</v>
      </c>
    </row>
    <row r="234" customFormat="false" ht="57.45" hidden="false" customHeight="false" outlineLevel="0" collapsed="false">
      <c r="A234" s="15" t="s">
        <v>1830</v>
      </c>
      <c r="B234" s="15" t="s">
        <v>37</v>
      </c>
      <c r="C234" s="15" t="s">
        <v>1697</v>
      </c>
      <c r="D234" s="15" t="n">
        <v>70</v>
      </c>
      <c r="E234" s="15" t="s">
        <v>1823</v>
      </c>
      <c r="F234" s="15" t="n">
        <v>1</v>
      </c>
      <c r="G234" s="15" t="s">
        <v>307</v>
      </c>
      <c r="H234" s="15" t="s">
        <v>308</v>
      </c>
      <c r="I234" s="3" t="s">
        <v>1831</v>
      </c>
      <c r="J234" s="3" t="s">
        <v>1832</v>
      </c>
      <c r="K234" s="15" t="s">
        <v>145</v>
      </c>
      <c r="L234" s="16" t="s">
        <v>7</v>
      </c>
      <c r="M234" s="15" t="s">
        <v>68</v>
      </c>
      <c r="N234" s="15" t="s">
        <v>82</v>
      </c>
      <c r="O234" s="15" t="s">
        <v>215</v>
      </c>
      <c r="P234" s="15" t="s">
        <v>135</v>
      </c>
      <c r="Q234" s="15" t="s">
        <v>136</v>
      </c>
      <c r="R234" s="15" t="s">
        <v>135</v>
      </c>
      <c r="S234" s="15"/>
      <c r="T234" s="15"/>
      <c r="U234" s="3" t="s">
        <v>1833</v>
      </c>
      <c r="V234" s="3" t="s">
        <v>1834</v>
      </c>
      <c r="W234" s="3" t="s">
        <v>1835</v>
      </c>
      <c r="X234" s="3" t="s">
        <v>1836</v>
      </c>
      <c r="Y234" s="15" t="n">
        <v>0</v>
      </c>
      <c r="Z234" s="15" t="n">
        <v>1</v>
      </c>
      <c r="AA234" s="15" t="n">
        <v>0</v>
      </c>
      <c r="AB234" s="15" t="n">
        <v>0</v>
      </c>
      <c r="AC234" s="15" t="n">
        <v>0</v>
      </c>
      <c r="AD234" s="15" t="n">
        <v>0</v>
      </c>
      <c r="AE234" s="15" t="n">
        <v>0</v>
      </c>
      <c r="AF234" s="15" t="n">
        <v>1</v>
      </c>
      <c r="AG234" s="15" t="n">
        <v>0</v>
      </c>
      <c r="AH234" s="15" t="n">
        <v>0</v>
      </c>
    </row>
    <row r="235" customFormat="false" ht="57.45" hidden="false" customHeight="false" outlineLevel="0" collapsed="false">
      <c r="A235" s="15" t="s">
        <v>1837</v>
      </c>
      <c r="B235" s="15" t="s">
        <v>37</v>
      </c>
      <c r="C235" s="15" t="s">
        <v>1697</v>
      </c>
      <c r="D235" s="15" t="n">
        <v>70</v>
      </c>
      <c r="E235" s="15" t="s">
        <v>1823</v>
      </c>
      <c r="F235" s="15" t="n">
        <v>2</v>
      </c>
      <c r="G235" s="15" t="s">
        <v>129</v>
      </c>
      <c r="H235" s="15" t="s">
        <v>130</v>
      </c>
      <c r="I235" s="3" t="s">
        <v>1838</v>
      </c>
      <c r="J235" s="3" t="s">
        <v>1839</v>
      </c>
      <c r="K235" s="15" t="s">
        <v>133</v>
      </c>
      <c r="L235" s="16" t="s">
        <v>7</v>
      </c>
      <c r="M235" s="15" t="s">
        <v>68</v>
      </c>
      <c r="N235" s="15" t="s">
        <v>82</v>
      </c>
      <c r="O235" s="15" t="s">
        <v>1840</v>
      </c>
      <c r="P235" s="15" t="s">
        <v>185</v>
      </c>
      <c r="Q235" s="15" t="s">
        <v>129</v>
      </c>
      <c r="R235" s="15" t="s">
        <v>135</v>
      </c>
      <c r="S235" s="15"/>
      <c r="T235" s="15"/>
      <c r="U235" s="3" t="s">
        <v>1841</v>
      </c>
      <c r="V235" s="3" t="s">
        <v>1842</v>
      </c>
      <c r="W235" s="3" t="s">
        <v>1843</v>
      </c>
      <c r="X235" s="3" t="s">
        <v>1844</v>
      </c>
      <c r="Y235" s="15" t="n">
        <v>0</v>
      </c>
      <c r="Z235" s="15" t="n">
        <v>1</v>
      </c>
      <c r="AA235" s="15" t="n">
        <v>0</v>
      </c>
      <c r="AB235" s="15" t="n">
        <v>1</v>
      </c>
      <c r="AC235" s="15" t="n">
        <v>0</v>
      </c>
      <c r="AD235" s="15" t="n">
        <v>0</v>
      </c>
      <c r="AE235" s="15" t="n">
        <v>0</v>
      </c>
      <c r="AF235" s="15" t="n">
        <v>0</v>
      </c>
      <c r="AG235" s="15" t="n">
        <v>0</v>
      </c>
      <c r="AH235" s="15" t="n">
        <v>1</v>
      </c>
    </row>
    <row r="236" customFormat="false" ht="46.25" hidden="false" customHeight="false" outlineLevel="0" collapsed="false">
      <c r="A236" s="15" t="s">
        <v>1845</v>
      </c>
      <c r="B236" s="15" t="s">
        <v>37</v>
      </c>
      <c r="C236" s="15" t="s">
        <v>1697</v>
      </c>
      <c r="D236" s="15" t="n">
        <v>71</v>
      </c>
      <c r="E236" s="15" t="s">
        <v>1846</v>
      </c>
      <c r="F236" s="15" t="n">
        <v>0</v>
      </c>
      <c r="G236" s="15" t="s">
        <v>136</v>
      </c>
      <c r="H236" s="15" t="s">
        <v>308</v>
      </c>
      <c r="I236" s="3" t="s">
        <v>1847</v>
      </c>
      <c r="J236" s="3" t="s">
        <v>1848</v>
      </c>
      <c r="K236" s="15" t="s">
        <v>133</v>
      </c>
      <c r="L236" s="16" t="s">
        <v>7</v>
      </c>
      <c r="M236" s="15" t="s">
        <v>66</v>
      </c>
      <c r="N236" s="15" t="s">
        <v>89</v>
      </c>
      <c r="O236" s="15" t="s">
        <v>89</v>
      </c>
      <c r="P236" s="15" t="s">
        <v>185</v>
      </c>
      <c r="Q236" s="15" t="s">
        <v>136</v>
      </c>
      <c r="R236" s="15" t="s">
        <v>185</v>
      </c>
      <c r="S236" s="15"/>
      <c r="T236" s="15"/>
      <c r="U236" s="3" t="s">
        <v>1849</v>
      </c>
      <c r="V236" s="3" t="s">
        <v>1850</v>
      </c>
      <c r="W236" s="3"/>
      <c r="X236" s="3" t="s">
        <v>1851</v>
      </c>
      <c r="Y236" s="15" t="n">
        <v>0</v>
      </c>
      <c r="Z236" s="15" t="n">
        <v>0</v>
      </c>
      <c r="AA236" s="15" t="n">
        <v>0</v>
      </c>
      <c r="AB236" s="15" t="n">
        <v>0</v>
      </c>
      <c r="AC236" s="15" t="n">
        <v>0</v>
      </c>
      <c r="AD236" s="15" t="n">
        <v>0</v>
      </c>
      <c r="AE236" s="15" t="n">
        <v>0</v>
      </c>
      <c r="AF236" s="15" t="n">
        <v>0</v>
      </c>
      <c r="AG236" s="15" t="n">
        <v>1</v>
      </c>
      <c r="AH236" s="15" t="n">
        <v>0</v>
      </c>
    </row>
    <row r="237" customFormat="false" ht="57.45" hidden="false" customHeight="false" outlineLevel="0" collapsed="false">
      <c r="A237" s="15" t="s">
        <v>1852</v>
      </c>
      <c r="B237" s="15" t="s">
        <v>37</v>
      </c>
      <c r="C237" s="15" t="s">
        <v>1697</v>
      </c>
      <c r="D237" s="15" t="n">
        <v>71</v>
      </c>
      <c r="E237" s="15" t="s">
        <v>1846</v>
      </c>
      <c r="F237" s="15" t="n">
        <v>1</v>
      </c>
      <c r="G237" s="15" t="s">
        <v>152</v>
      </c>
      <c r="H237" s="15" t="s">
        <v>142</v>
      </c>
      <c r="I237" s="3" t="s">
        <v>1853</v>
      </c>
      <c r="J237" s="3" t="s">
        <v>1854</v>
      </c>
      <c r="K237" s="15" t="s">
        <v>145</v>
      </c>
      <c r="L237" s="16" t="s">
        <v>7</v>
      </c>
      <c r="M237" s="15" t="s">
        <v>68</v>
      </c>
      <c r="N237" s="15" t="s">
        <v>82</v>
      </c>
      <c r="O237" s="15" t="s">
        <v>239</v>
      </c>
      <c r="P237" s="15" t="s">
        <v>135</v>
      </c>
      <c r="Q237" s="15" t="s">
        <v>136</v>
      </c>
      <c r="R237" s="15" t="s">
        <v>135</v>
      </c>
      <c r="S237" s="15"/>
      <c r="T237" s="15"/>
      <c r="U237" s="3" t="s">
        <v>1855</v>
      </c>
      <c r="V237" s="3" t="s">
        <v>1856</v>
      </c>
      <c r="W237" s="3" t="s">
        <v>1857</v>
      </c>
      <c r="X237" s="3" t="s">
        <v>1858</v>
      </c>
      <c r="Y237" s="15" t="n">
        <v>0</v>
      </c>
      <c r="Z237" s="15" t="n">
        <v>1</v>
      </c>
      <c r="AA237" s="15" t="n">
        <v>0</v>
      </c>
      <c r="AB237" s="15" t="n">
        <v>0</v>
      </c>
      <c r="AC237" s="15" t="n">
        <v>0</v>
      </c>
      <c r="AD237" s="15" t="n">
        <v>0</v>
      </c>
      <c r="AE237" s="15" t="n">
        <v>0</v>
      </c>
      <c r="AF237" s="15" t="n">
        <v>1</v>
      </c>
      <c r="AG237" s="15" t="n">
        <v>0</v>
      </c>
      <c r="AH237" s="15" t="n">
        <v>1</v>
      </c>
    </row>
    <row r="238" customFormat="false" ht="46.25" hidden="false" customHeight="false" outlineLevel="0" collapsed="false">
      <c r="A238" s="15" t="s">
        <v>1859</v>
      </c>
      <c r="B238" s="15" t="s">
        <v>37</v>
      </c>
      <c r="C238" s="15" t="s">
        <v>1697</v>
      </c>
      <c r="D238" s="15" t="n">
        <v>71</v>
      </c>
      <c r="E238" s="15" t="s">
        <v>1846</v>
      </c>
      <c r="F238" s="15" t="n">
        <v>2</v>
      </c>
      <c r="G238" s="15" t="s">
        <v>129</v>
      </c>
      <c r="H238" s="15" t="s">
        <v>130</v>
      </c>
      <c r="I238" s="3" t="s">
        <v>1860</v>
      </c>
      <c r="J238" s="3" t="s">
        <v>1861</v>
      </c>
      <c r="K238" s="15" t="s">
        <v>133</v>
      </c>
      <c r="L238" s="16" t="s">
        <v>7</v>
      </c>
      <c r="M238" s="15" t="s">
        <v>68</v>
      </c>
      <c r="N238" s="15" t="s">
        <v>84</v>
      </c>
      <c r="O238" s="15" t="s">
        <v>1862</v>
      </c>
      <c r="P238" s="15" t="s">
        <v>185</v>
      </c>
      <c r="Q238" s="15" t="s">
        <v>129</v>
      </c>
      <c r="R238" s="15" t="s">
        <v>135</v>
      </c>
      <c r="S238" s="15"/>
      <c r="T238" s="15"/>
      <c r="U238" s="3" t="s">
        <v>1863</v>
      </c>
      <c r="V238" s="3" t="s">
        <v>1864</v>
      </c>
      <c r="W238" s="3" t="s">
        <v>1865</v>
      </c>
      <c r="X238" s="3" t="s">
        <v>1866</v>
      </c>
      <c r="Y238" s="15" t="n">
        <v>0</v>
      </c>
      <c r="Z238" s="15" t="n">
        <v>0</v>
      </c>
      <c r="AA238" s="15" t="n">
        <v>0</v>
      </c>
      <c r="AB238" s="15" t="n">
        <v>1</v>
      </c>
      <c r="AC238" s="15" t="n">
        <v>1</v>
      </c>
      <c r="AD238" s="15" t="n">
        <v>0</v>
      </c>
      <c r="AE238" s="15" t="n">
        <v>0</v>
      </c>
      <c r="AF238" s="15" t="n">
        <v>0</v>
      </c>
      <c r="AG238" s="15" t="n">
        <v>1</v>
      </c>
      <c r="AH238" s="15" t="n">
        <v>0</v>
      </c>
    </row>
    <row r="239" customFormat="false" ht="35.05" hidden="false" customHeight="false" outlineLevel="0" collapsed="false">
      <c r="A239" s="15" t="s">
        <v>1867</v>
      </c>
      <c r="B239" s="15" t="s">
        <v>37</v>
      </c>
      <c r="C239" s="15" t="s">
        <v>1697</v>
      </c>
      <c r="D239" s="15" t="n">
        <v>78</v>
      </c>
      <c r="E239" s="15" t="s">
        <v>1868</v>
      </c>
      <c r="F239" s="15" t="n">
        <v>0</v>
      </c>
      <c r="G239" s="15" t="s">
        <v>141</v>
      </c>
      <c r="H239" s="15" t="s">
        <v>142</v>
      </c>
      <c r="I239" s="3" t="s">
        <v>1869</v>
      </c>
      <c r="J239" s="3" t="s">
        <v>1870</v>
      </c>
      <c r="K239" s="15" t="s">
        <v>133</v>
      </c>
      <c r="L239" s="16" t="s">
        <v>7</v>
      </c>
      <c r="M239" s="15" t="s">
        <v>66</v>
      </c>
      <c r="N239" s="15" t="s">
        <v>88</v>
      </c>
      <c r="O239" s="15" t="s">
        <v>1871</v>
      </c>
      <c r="P239" s="15" t="s">
        <v>135</v>
      </c>
      <c r="Q239" s="15" t="s">
        <v>129</v>
      </c>
      <c r="R239" s="15" t="s">
        <v>185</v>
      </c>
      <c r="S239" s="15"/>
      <c r="T239" s="15"/>
      <c r="U239" s="3" t="s">
        <v>1872</v>
      </c>
      <c r="V239" s="3" t="s">
        <v>1873</v>
      </c>
      <c r="W239" s="3" t="s">
        <v>1874</v>
      </c>
      <c r="X239" s="3" t="s">
        <v>1875</v>
      </c>
      <c r="Y239" s="15" t="n">
        <v>0</v>
      </c>
      <c r="Z239" s="15" t="n">
        <v>0</v>
      </c>
      <c r="AA239" s="15" t="n">
        <v>0</v>
      </c>
      <c r="AB239" s="15" t="n">
        <v>0</v>
      </c>
      <c r="AC239" s="15" t="n">
        <v>0</v>
      </c>
      <c r="AD239" s="15" t="n">
        <v>0</v>
      </c>
      <c r="AE239" s="15" t="n">
        <v>0</v>
      </c>
      <c r="AF239" s="15" t="n">
        <v>1</v>
      </c>
      <c r="AG239" s="15" t="n">
        <v>1</v>
      </c>
      <c r="AH239" s="15" t="n">
        <v>1</v>
      </c>
    </row>
    <row r="240" customFormat="false" ht="102.2" hidden="false" customHeight="false" outlineLevel="0" collapsed="false">
      <c r="A240" s="15" t="s">
        <v>1876</v>
      </c>
      <c r="B240" s="15" t="s">
        <v>37</v>
      </c>
      <c r="C240" s="15" t="s">
        <v>1697</v>
      </c>
      <c r="D240" s="15" t="n">
        <v>78</v>
      </c>
      <c r="E240" s="15" t="s">
        <v>1868</v>
      </c>
      <c r="F240" s="15" t="n">
        <v>1</v>
      </c>
      <c r="G240" s="15" t="s">
        <v>136</v>
      </c>
      <c r="H240" s="15" t="s">
        <v>308</v>
      </c>
      <c r="I240" s="3" t="s">
        <v>1877</v>
      </c>
      <c r="J240" s="3" t="s">
        <v>1878</v>
      </c>
      <c r="K240" s="15" t="s">
        <v>145</v>
      </c>
      <c r="L240" s="16" t="s">
        <v>7</v>
      </c>
      <c r="M240" s="15" t="s">
        <v>68</v>
      </c>
      <c r="N240" s="15" t="s">
        <v>82</v>
      </c>
      <c r="O240" s="15" t="s">
        <v>549</v>
      </c>
      <c r="P240" s="15" t="s">
        <v>185</v>
      </c>
      <c r="Q240" s="15" t="s">
        <v>136</v>
      </c>
      <c r="R240" s="15" t="s">
        <v>135</v>
      </c>
      <c r="S240" s="15"/>
      <c r="T240" s="15"/>
      <c r="U240" s="3" t="s">
        <v>1879</v>
      </c>
      <c r="V240" s="3" t="s">
        <v>1880</v>
      </c>
      <c r="W240" s="3" t="s">
        <v>1881</v>
      </c>
      <c r="X240" s="3" t="s">
        <v>1882</v>
      </c>
      <c r="Y240" s="15" t="n">
        <v>0</v>
      </c>
      <c r="Z240" s="15" t="n">
        <v>1</v>
      </c>
      <c r="AA240" s="15" t="n">
        <v>0</v>
      </c>
      <c r="AB240" s="15" t="n">
        <v>0</v>
      </c>
      <c r="AC240" s="15" t="n">
        <v>0</v>
      </c>
      <c r="AD240" s="15" t="n">
        <v>0</v>
      </c>
      <c r="AE240" s="15" t="n">
        <v>0</v>
      </c>
      <c r="AF240" s="15" t="n">
        <v>0</v>
      </c>
      <c r="AG240" s="15" t="n">
        <v>0</v>
      </c>
      <c r="AH240" s="15" t="n">
        <v>1</v>
      </c>
    </row>
    <row r="241" customFormat="false" ht="113.4" hidden="false" customHeight="false" outlineLevel="0" collapsed="false">
      <c r="A241" s="15" t="s">
        <v>1883</v>
      </c>
      <c r="B241" s="15" t="s">
        <v>37</v>
      </c>
      <c r="C241" s="15" t="s">
        <v>1697</v>
      </c>
      <c r="D241" s="15" t="n">
        <v>78</v>
      </c>
      <c r="E241" s="15" t="s">
        <v>1868</v>
      </c>
      <c r="F241" s="15" t="n">
        <v>2</v>
      </c>
      <c r="G241" s="15" t="s">
        <v>197</v>
      </c>
      <c r="H241" s="15" t="s">
        <v>142</v>
      </c>
      <c r="I241" s="3" t="s">
        <v>1884</v>
      </c>
      <c r="J241" s="3" t="s">
        <v>1885</v>
      </c>
      <c r="K241" s="15" t="s">
        <v>133</v>
      </c>
      <c r="L241" s="16" t="s">
        <v>7</v>
      </c>
      <c r="M241" s="15" t="s">
        <v>68</v>
      </c>
      <c r="N241" s="15" t="s">
        <v>82</v>
      </c>
      <c r="O241" s="15" t="s">
        <v>239</v>
      </c>
      <c r="P241" s="15" t="s">
        <v>135</v>
      </c>
      <c r="Q241" s="15" t="s">
        <v>136</v>
      </c>
      <c r="R241" s="15" t="s">
        <v>135</v>
      </c>
      <c r="S241" s="15"/>
      <c r="T241" s="15"/>
      <c r="U241" s="3" t="s">
        <v>1886</v>
      </c>
      <c r="V241" s="3" t="s">
        <v>1887</v>
      </c>
      <c r="W241" s="3" t="s">
        <v>1888</v>
      </c>
      <c r="X241" s="3" t="s">
        <v>1889</v>
      </c>
      <c r="Y241" s="15" t="n">
        <v>0</v>
      </c>
      <c r="Z241" s="15" t="n">
        <v>1</v>
      </c>
      <c r="AA241" s="15" t="n">
        <v>0</v>
      </c>
      <c r="AB241" s="15" t="n">
        <v>0</v>
      </c>
      <c r="AC241" s="15" t="n">
        <v>0</v>
      </c>
      <c r="AD241" s="15" t="n">
        <v>0</v>
      </c>
      <c r="AE241" s="15" t="n">
        <v>0</v>
      </c>
      <c r="AF241" s="15" t="n">
        <v>1</v>
      </c>
      <c r="AG241" s="15" t="n">
        <v>0</v>
      </c>
      <c r="AH241" s="15" t="n">
        <v>1</v>
      </c>
    </row>
    <row r="242" customFormat="false" ht="35.05" hidden="false" customHeight="false" outlineLevel="0" collapsed="false">
      <c r="A242" s="15" t="s">
        <v>1890</v>
      </c>
      <c r="B242" s="15" t="s">
        <v>37</v>
      </c>
      <c r="C242" s="15" t="s">
        <v>1891</v>
      </c>
      <c r="D242" s="15" t="n">
        <v>68</v>
      </c>
      <c r="E242" s="15" t="s">
        <v>1892</v>
      </c>
      <c r="F242" s="15" t="n">
        <v>0</v>
      </c>
      <c r="G242" s="15" t="s">
        <v>129</v>
      </c>
      <c r="H242" s="15" t="s">
        <v>130</v>
      </c>
      <c r="I242" s="3" t="s">
        <v>1893</v>
      </c>
      <c r="J242" s="3" t="s">
        <v>1894</v>
      </c>
      <c r="K242" s="15" t="s">
        <v>133</v>
      </c>
      <c r="L242" s="18" t="s">
        <v>5</v>
      </c>
      <c r="M242" s="15" t="s">
        <v>426</v>
      </c>
      <c r="N242" s="15" t="s">
        <v>426</v>
      </c>
      <c r="O242" s="15"/>
      <c r="P242" s="15" t="s">
        <v>185</v>
      </c>
      <c r="Q242" s="15" t="s">
        <v>129</v>
      </c>
      <c r="R242" s="15" t="s">
        <v>185</v>
      </c>
      <c r="S242" s="15"/>
      <c r="T242" s="15"/>
      <c r="U242" s="3" t="s">
        <v>1895</v>
      </c>
      <c r="V242" s="3" t="s">
        <v>1896</v>
      </c>
      <c r="W242" s="3"/>
      <c r="X242" s="3"/>
      <c r="Y242" s="15" t="n">
        <v>0</v>
      </c>
      <c r="Z242" s="15" t="n">
        <v>0</v>
      </c>
      <c r="AA242" s="15" t="n">
        <v>0</v>
      </c>
      <c r="AB242" s="15" t="n">
        <v>0</v>
      </c>
      <c r="AC242" s="15" t="n">
        <v>0</v>
      </c>
      <c r="AD242" s="15" t="n">
        <v>0</v>
      </c>
      <c r="AE242" s="15" t="n">
        <v>0</v>
      </c>
      <c r="AF242" s="15" t="n">
        <v>0</v>
      </c>
      <c r="AG242" s="15" t="n">
        <v>0</v>
      </c>
      <c r="AH242" s="15" t="n">
        <v>0</v>
      </c>
    </row>
    <row r="243" customFormat="false" ht="79.85" hidden="false" customHeight="false" outlineLevel="0" collapsed="false">
      <c r="A243" s="15" t="s">
        <v>1897</v>
      </c>
      <c r="B243" s="15" t="s">
        <v>37</v>
      </c>
      <c r="C243" s="15" t="s">
        <v>1891</v>
      </c>
      <c r="D243" s="15" t="n">
        <v>68</v>
      </c>
      <c r="E243" s="15" t="s">
        <v>1892</v>
      </c>
      <c r="F243" s="15" t="n">
        <v>1</v>
      </c>
      <c r="G243" s="15" t="s">
        <v>141</v>
      </c>
      <c r="H243" s="15" t="s">
        <v>142</v>
      </c>
      <c r="I243" s="3" t="s">
        <v>1898</v>
      </c>
      <c r="J243" s="3" t="s">
        <v>1899</v>
      </c>
      <c r="K243" s="15" t="s">
        <v>145</v>
      </c>
      <c r="L243" s="16" t="s">
        <v>7</v>
      </c>
      <c r="M243" s="15" t="s">
        <v>66</v>
      </c>
      <c r="N243" s="15" t="s">
        <v>88</v>
      </c>
      <c r="O243" s="15" t="s">
        <v>643</v>
      </c>
      <c r="P243" s="15" t="s">
        <v>135</v>
      </c>
      <c r="Q243" s="15" t="s">
        <v>129</v>
      </c>
      <c r="R243" s="15" t="s">
        <v>135</v>
      </c>
      <c r="S243" s="15"/>
      <c r="T243" s="15"/>
      <c r="U243" s="3" t="s">
        <v>1900</v>
      </c>
      <c r="V243" s="3" t="s">
        <v>1901</v>
      </c>
      <c r="W243" s="3" t="s">
        <v>1902</v>
      </c>
      <c r="X243" s="3" t="s">
        <v>1903</v>
      </c>
      <c r="Y243" s="15" t="n">
        <v>0</v>
      </c>
      <c r="Z243" s="15" t="n">
        <v>0</v>
      </c>
      <c r="AA243" s="15" t="n">
        <v>0</v>
      </c>
      <c r="AB243" s="15" t="n">
        <v>0</v>
      </c>
      <c r="AC243" s="15" t="n">
        <v>0</v>
      </c>
      <c r="AD243" s="15" t="n">
        <v>0</v>
      </c>
      <c r="AE243" s="15" t="n">
        <v>1</v>
      </c>
      <c r="AF243" s="15" t="n">
        <v>1</v>
      </c>
      <c r="AG243" s="15" t="n">
        <v>0</v>
      </c>
      <c r="AH243" s="15" t="n">
        <v>1</v>
      </c>
    </row>
    <row r="244" customFormat="false" ht="79.85" hidden="false" customHeight="false" outlineLevel="0" collapsed="false">
      <c r="A244" s="15" t="s">
        <v>1904</v>
      </c>
      <c r="B244" s="15" t="s">
        <v>37</v>
      </c>
      <c r="C244" s="15" t="s">
        <v>1891</v>
      </c>
      <c r="D244" s="15" t="n">
        <v>68</v>
      </c>
      <c r="E244" s="15" t="s">
        <v>1892</v>
      </c>
      <c r="F244" s="15" t="n">
        <v>2</v>
      </c>
      <c r="G244" s="15" t="s">
        <v>197</v>
      </c>
      <c r="H244" s="15" t="s">
        <v>142</v>
      </c>
      <c r="I244" s="3" t="s">
        <v>1905</v>
      </c>
      <c r="J244" s="3" t="s">
        <v>1906</v>
      </c>
      <c r="K244" s="15" t="s">
        <v>133</v>
      </c>
      <c r="L244" s="16" t="s">
        <v>7</v>
      </c>
      <c r="M244" s="15" t="s">
        <v>68</v>
      </c>
      <c r="N244" s="15" t="s">
        <v>84</v>
      </c>
      <c r="O244" s="15" t="s">
        <v>247</v>
      </c>
      <c r="P244" s="15" t="s">
        <v>135</v>
      </c>
      <c r="Q244" s="15" t="s">
        <v>129</v>
      </c>
      <c r="R244" s="15" t="s">
        <v>135</v>
      </c>
      <c r="S244" s="15"/>
      <c r="T244" s="15"/>
      <c r="U244" s="3" t="s">
        <v>1907</v>
      </c>
      <c r="V244" s="3" t="s">
        <v>1908</v>
      </c>
      <c r="W244" s="3" t="s">
        <v>1909</v>
      </c>
      <c r="X244" s="3" t="s">
        <v>1910</v>
      </c>
      <c r="Y244" s="15" t="n">
        <v>0</v>
      </c>
      <c r="Z244" s="15" t="n">
        <v>0</v>
      </c>
      <c r="AA244" s="15" t="n">
        <v>0</v>
      </c>
      <c r="AB244" s="15" t="n">
        <v>1</v>
      </c>
      <c r="AC244" s="15" t="n">
        <v>0</v>
      </c>
      <c r="AD244" s="15" t="n">
        <v>0</v>
      </c>
      <c r="AE244" s="15" t="n">
        <v>0</v>
      </c>
      <c r="AF244" s="15" t="n">
        <v>1</v>
      </c>
      <c r="AG244" s="15" t="n">
        <v>0</v>
      </c>
      <c r="AH244" s="15" t="n">
        <v>1</v>
      </c>
    </row>
    <row r="245" customFormat="false" ht="46.25" hidden="false" customHeight="false" outlineLevel="0" collapsed="false">
      <c r="A245" s="15" t="s">
        <v>1911</v>
      </c>
      <c r="B245" s="15" t="s">
        <v>37</v>
      </c>
      <c r="C245" s="15" t="s">
        <v>1912</v>
      </c>
      <c r="D245" s="15" t="n">
        <v>50</v>
      </c>
      <c r="E245" s="15" t="s">
        <v>1913</v>
      </c>
      <c r="F245" s="15" t="n">
        <v>0</v>
      </c>
      <c r="G245" s="15" t="s">
        <v>129</v>
      </c>
      <c r="H245" s="15" t="s">
        <v>130</v>
      </c>
      <c r="I245" s="3" t="s">
        <v>1914</v>
      </c>
      <c r="J245" s="3" t="s">
        <v>1915</v>
      </c>
      <c r="K245" s="15" t="s">
        <v>133</v>
      </c>
      <c r="L245" s="16" t="s">
        <v>7</v>
      </c>
      <c r="M245" s="15" t="s">
        <v>68</v>
      </c>
      <c r="N245" s="15" t="s">
        <v>82</v>
      </c>
      <c r="O245" s="15" t="s">
        <v>606</v>
      </c>
      <c r="P245" s="15" t="s">
        <v>185</v>
      </c>
      <c r="Q245" s="15" t="s">
        <v>129</v>
      </c>
      <c r="R245" s="15" t="s">
        <v>135</v>
      </c>
      <c r="S245" s="15"/>
      <c r="T245" s="15"/>
      <c r="U245" s="3" t="s">
        <v>1916</v>
      </c>
      <c r="V245" s="3" t="s">
        <v>1917</v>
      </c>
      <c r="W245" s="3" t="s">
        <v>1918</v>
      </c>
      <c r="X245" s="3" t="s">
        <v>1919</v>
      </c>
      <c r="Y245" s="15" t="n">
        <v>0</v>
      </c>
      <c r="Z245" s="15" t="n">
        <v>1</v>
      </c>
      <c r="AA245" s="15" t="n">
        <v>0</v>
      </c>
      <c r="AB245" s="15" t="n">
        <v>0</v>
      </c>
      <c r="AC245" s="15" t="n">
        <v>1</v>
      </c>
      <c r="AD245" s="15" t="n">
        <v>0</v>
      </c>
      <c r="AE245" s="15" t="n">
        <v>0</v>
      </c>
      <c r="AF245" s="15" t="n">
        <v>0</v>
      </c>
      <c r="AG245" s="15" t="n">
        <v>0</v>
      </c>
      <c r="AH245" s="15" t="n">
        <v>0</v>
      </c>
    </row>
    <row r="246" customFormat="false" ht="35.05" hidden="false" customHeight="false" outlineLevel="0" collapsed="false">
      <c r="A246" s="15" t="s">
        <v>1920</v>
      </c>
      <c r="B246" s="15" t="s">
        <v>37</v>
      </c>
      <c r="C246" s="15" t="s">
        <v>1912</v>
      </c>
      <c r="D246" s="15" t="n">
        <v>50</v>
      </c>
      <c r="E246" s="15" t="s">
        <v>1913</v>
      </c>
      <c r="F246" s="15" t="n">
        <v>1</v>
      </c>
      <c r="G246" s="15" t="s">
        <v>141</v>
      </c>
      <c r="H246" s="15" t="s">
        <v>142</v>
      </c>
      <c r="I246" s="3" t="s">
        <v>1921</v>
      </c>
      <c r="J246" s="3" t="s">
        <v>1922</v>
      </c>
      <c r="K246" s="15" t="s">
        <v>145</v>
      </c>
      <c r="L246" s="16" t="s">
        <v>7</v>
      </c>
      <c r="M246" s="15" t="s">
        <v>68</v>
      </c>
      <c r="N246" s="15" t="s">
        <v>82</v>
      </c>
      <c r="O246" s="15" t="s">
        <v>134</v>
      </c>
      <c r="P246" s="15" t="s">
        <v>135</v>
      </c>
      <c r="Q246" s="15" t="s">
        <v>307</v>
      </c>
      <c r="R246" s="15" t="s">
        <v>135</v>
      </c>
      <c r="S246" s="15"/>
      <c r="T246" s="15"/>
      <c r="U246" s="3" t="s">
        <v>1923</v>
      </c>
      <c r="V246" s="3" t="s">
        <v>1924</v>
      </c>
      <c r="W246" s="3" t="s">
        <v>1925</v>
      </c>
      <c r="X246" s="3" t="s">
        <v>1926</v>
      </c>
      <c r="Y246" s="15" t="n">
        <v>0</v>
      </c>
      <c r="Z246" s="15" t="n">
        <v>1</v>
      </c>
      <c r="AA246" s="15" t="n">
        <v>0</v>
      </c>
      <c r="AB246" s="15" t="n">
        <v>0</v>
      </c>
      <c r="AC246" s="15" t="n">
        <v>0</v>
      </c>
      <c r="AD246" s="15" t="n">
        <v>1</v>
      </c>
      <c r="AE246" s="15" t="n">
        <v>0</v>
      </c>
      <c r="AF246" s="15" t="n">
        <v>1</v>
      </c>
      <c r="AG246" s="15" t="n">
        <v>0</v>
      </c>
      <c r="AH246" s="15" t="n">
        <v>0</v>
      </c>
    </row>
    <row r="247" customFormat="false" ht="46.25" hidden="false" customHeight="false" outlineLevel="0" collapsed="false">
      <c r="A247" s="15" t="s">
        <v>1927</v>
      </c>
      <c r="B247" s="15" t="s">
        <v>37</v>
      </c>
      <c r="C247" s="15" t="s">
        <v>1912</v>
      </c>
      <c r="D247" s="15" t="n">
        <v>50</v>
      </c>
      <c r="E247" s="15" t="s">
        <v>1913</v>
      </c>
      <c r="F247" s="15" t="n">
        <v>2</v>
      </c>
      <c r="G247" s="15" t="s">
        <v>152</v>
      </c>
      <c r="H247" s="15" t="s">
        <v>142</v>
      </c>
      <c r="I247" s="3" t="s">
        <v>1928</v>
      </c>
      <c r="J247" s="3" t="s">
        <v>1915</v>
      </c>
      <c r="K247" s="15" t="s">
        <v>133</v>
      </c>
      <c r="L247" s="16" t="s">
        <v>7</v>
      </c>
      <c r="M247" s="15" t="s">
        <v>68</v>
      </c>
      <c r="N247" s="15" t="s">
        <v>82</v>
      </c>
      <c r="O247" s="15" t="s">
        <v>176</v>
      </c>
      <c r="P247" s="15" t="s">
        <v>135</v>
      </c>
      <c r="Q247" s="15" t="s">
        <v>129</v>
      </c>
      <c r="R247" s="15" t="s">
        <v>135</v>
      </c>
      <c r="S247" s="15"/>
      <c r="T247" s="15"/>
      <c r="U247" s="3" t="s">
        <v>1929</v>
      </c>
      <c r="V247" s="3" t="s">
        <v>1930</v>
      </c>
      <c r="W247" s="3" t="s">
        <v>1918</v>
      </c>
      <c r="X247" s="3" t="s">
        <v>1931</v>
      </c>
      <c r="Y247" s="15" t="n">
        <v>0</v>
      </c>
      <c r="Z247" s="15" t="n">
        <v>1</v>
      </c>
      <c r="AA247" s="15" t="n">
        <v>0</v>
      </c>
      <c r="AB247" s="15" t="n">
        <v>0</v>
      </c>
      <c r="AC247" s="15" t="n">
        <v>1</v>
      </c>
      <c r="AD247" s="15" t="n">
        <v>0</v>
      </c>
      <c r="AE247" s="15" t="n">
        <v>0</v>
      </c>
      <c r="AF247" s="15" t="n">
        <v>1</v>
      </c>
      <c r="AG247" s="15" t="n">
        <v>0</v>
      </c>
      <c r="AH247" s="15" t="n">
        <v>0</v>
      </c>
    </row>
    <row r="248" customFormat="false" ht="23.85" hidden="false" customHeight="false" outlineLevel="0" collapsed="false">
      <c r="A248" s="15" t="s">
        <v>1932</v>
      </c>
      <c r="B248" s="15" t="s">
        <v>37</v>
      </c>
      <c r="C248" s="15" t="s">
        <v>1912</v>
      </c>
      <c r="D248" s="15" t="n">
        <v>55</v>
      </c>
      <c r="E248" s="15" t="s">
        <v>1933</v>
      </c>
      <c r="F248" s="15" t="n">
        <v>0</v>
      </c>
      <c r="G248" s="15" t="s">
        <v>129</v>
      </c>
      <c r="H248" s="15" t="s">
        <v>130</v>
      </c>
      <c r="I248" s="3" t="s">
        <v>1934</v>
      </c>
      <c r="J248" s="3" t="s">
        <v>1935</v>
      </c>
      <c r="K248" s="15" t="s">
        <v>133</v>
      </c>
      <c r="L248" s="16" t="s">
        <v>7</v>
      </c>
      <c r="M248" s="15" t="s">
        <v>66</v>
      </c>
      <c r="N248" s="15" t="s">
        <v>90</v>
      </c>
      <c r="O248" s="15" t="s">
        <v>90</v>
      </c>
      <c r="P248" s="15" t="s">
        <v>185</v>
      </c>
      <c r="Q248" s="15" t="s">
        <v>129</v>
      </c>
      <c r="R248" s="15" t="s">
        <v>185</v>
      </c>
      <c r="S248" s="15"/>
      <c r="T248" s="15"/>
      <c r="U248" s="3" t="s">
        <v>1936</v>
      </c>
      <c r="V248" s="3" t="s">
        <v>1937</v>
      </c>
      <c r="W248" s="3" t="s">
        <v>1938</v>
      </c>
      <c r="X248" s="3" t="s">
        <v>1939</v>
      </c>
      <c r="Y248" s="15" t="n">
        <v>0</v>
      </c>
      <c r="Z248" s="15" t="n">
        <v>0</v>
      </c>
      <c r="AA248" s="15" t="n">
        <v>0</v>
      </c>
      <c r="AB248" s="15" t="n">
        <v>0</v>
      </c>
      <c r="AC248" s="15" t="n">
        <v>0</v>
      </c>
      <c r="AD248" s="15" t="n">
        <v>0</v>
      </c>
      <c r="AE248" s="15" t="n">
        <v>0</v>
      </c>
      <c r="AF248" s="15" t="n">
        <v>0</v>
      </c>
      <c r="AG248" s="15" t="n">
        <v>0</v>
      </c>
      <c r="AH248" s="15" t="n">
        <v>1</v>
      </c>
    </row>
    <row r="249" customFormat="false" ht="46.25" hidden="false" customHeight="false" outlineLevel="0" collapsed="false">
      <c r="A249" s="15" t="s">
        <v>1940</v>
      </c>
      <c r="B249" s="15" t="s">
        <v>37</v>
      </c>
      <c r="C249" s="15" t="s">
        <v>1912</v>
      </c>
      <c r="D249" s="15" t="n">
        <v>55</v>
      </c>
      <c r="E249" s="15" t="s">
        <v>1933</v>
      </c>
      <c r="F249" s="15" t="n">
        <v>1</v>
      </c>
      <c r="G249" s="15" t="s">
        <v>141</v>
      </c>
      <c r="H249" s="15" t="s">
        <v>142</v>
      </c>
      <c r="I249" s="3" t="s">
        <v>1941</v>
      </c>
      <c r="J249" s="3" t="s">
        <v>1942</v>
      </c>
      <c r="K249" s="15" t="s">
        <v>133</v>
      </c>
      <c r="L249" s="16" t="s">
        <v>7</v>
      </c>
      <c r="M249" s="15" t="s">
        <v>68</v>
      </c>
      <c r="N249" s="15" t="s">
        <v>82</v>
      </c>
      <c r="O249" s="15" t="s">
        <v>222</v>
      </c>
      <c r="P249" s="15" t="s">
        <v>135</v>
      </c>
      <c r="Q249" s="15" t="s">
        <v>129</v>
      </c>
      <c r="R249" s="15" t="s">
        <v>135</v>
      </c>
      <c r="S249" s="15"/>
      <c r="T249" s="15"/>
      <c r="U249" s="3" t="s">
        <v>1943</v>
      </c>
      <c r="V249" s="3" t="s">
        <v>1944</v>
      </c>
      <c r="W249" s="3" t="s">
        <v>1945</v>
      </c>
      <c r="X249" s="3" t="s">
        <v>1946</v>
      </c>
      <c r="Y249" s="15" t="n">
        <v>0</v>
      </c>
      <c r="Z249" s="15" t="n">
        <v>1</v>
      </c>
      <c r="AA249" s="15" t="n">
        <v>0</v>
      </c>
      <c r="AB249" s="15" t="n">
        <v>0</v>
      </c>
      <c r="AC249" s="15" t="n">
        <v>0</v>
      </c>
      <c r="AD249" s="15" t="n">
        <v>0</v>
      </c>
      <c r="AE249" s="15" t="n">
        <v>0</v>
      </c>
      <c r="AF249" s="15" t="n">
        <v>1</v>
      </c>
      <c r="AG249" s="15" t="n">
        <v>0</v>
      </c>
      <c r="AH249" s="15" t="n">
        <v>1</v>
      </c>
    </row>
    <row r="250" customFormat="false" ht="35.05" hidden="false" customHeight="false" outlineLevel="0" collapsed="false">
      <c r="A250" s="15" t="s">
        <v>1947</v>
      </c>
      <c r="B250" s="15" t="s">
        <v>37</v>
      </c>
      <c r="C250" s="15" t="s">
        <v>1912</v>
      </c>
      <c r="D250" s="15" t="n">
        <v>55</v>
      </c>
      <c r="E250" s="15" t="s">
        <v>1933</v>
      </c>
      <c r="F250" s="15" t="n">
        <v>2</v>
      </c>
      <c r="G250" s="15" t="s">
        <v>197</v>
      </c>
      <c r="H250" s="15" t="s">
        <v>142</v>
      </c>
      <c r="I250" s="3" t="s">
        <v>1948</v>
      </c>
      <c r="J250" s="3" t="s">
        <v>1949</v>
      </c>
      <c r="K250" s="15" t="s">
        <v>145</v>
      </c>
      <c r="L250" s="16" t="s">
        <v>7</v>
      </c>
      <c r="M250" s="15" t="s">
        <v>68</v>
      </c>
      <c r="N250" s="15" t="s">
        <v>82</v>
      </c>
      <c r="O250" s="15" t="s">
        <v>215</v>
      </c>
      <c r="P250" s="15" t="s">
        <v>135</v>
      </c>
      <c r="Q250" s="15" t="s">
        <v>129</v>
      </c>
      <c r="R250" s="15" t="s">
        <v>135</v>
      </c>
      <c r="S250" s="15"/>
      <c r="T250" s="15"/>
      <c r="U250" s="3" t="s">
        <v>1950</v>
      </c>
      <c r="V250" s="3" t="s">
        <v>1951</v>
      </c>
      <c r="W250" s="3" t="s">
        <v>1952</v>
      </c>
      <c r="X250" s="3" t="s">
        <v>1953</v>
      </c>
      <c r="Y250" s="15" t="n">
        <v>0</v>
      </c>
      <c r="Z250" s="15" t="n">
        <v>1</v>
      </c>
      <c r="AA250" s="15" t="n">
        <v>0</v>
      </c>
      <c r="AB250" s="15" t="n">
        <v>0</v>
      </c>
      <c r="AC250" s="15" t="n">
        <v>0</v>
      </c>
      <c r="AD250" s="15" t="n">
        <v>0</v>
      </c>
      <c r="AE250" s="15" t="n">
        <v>0</v>
      </c>
      <c r="AF250" s="15" t="n">
        <v>1</v>
      </c>
      <c r="AG250" s="15" t="n">
        <v>0</v>
      </c>
      <c r="AH250" s="15" t="n">
        <v>0</v>
      </c>
    </row>
    <row r="251" customFormat="false" ht="23.85" hidden="false" customHeight="false" outlineLevel="0" collapsed="false">
      <c r="A251" s="15" t="s">
        <v>1954</v>
      </c>
      <c r="B251" s="15" t="s">
        <v>37</v>
      </c>
      <c r="C251" s="15" t="s">
        <v>1912</v>
      </c>
      <c r="D251" s="15" t="n">
        <v>62</v>
      </c>
      <c r="E251" s="15" t="s">
        <v>1955</v>
      </c>
      <c r="F251" s="15" t="n">
        <v>0</v>
      </c>
      <c r="G251" s="15" t="s">
        <v>129</v>
      </c>
      <c r="H251" s="15" t="s">
        <v>130</v>
      </c>
      <c r="I251" s="3" t="s">
        <v>1956</v>
      </c>
      <c r="J251" s="3" t="s">
        <v>1957</v>
      </c>
      <c r="K251" s="15" t="s">
        <v>133</v>
      </c>
      <c r="L251" s="18" t="s">
        <v>5</v>
      </c>
      <c r="M251" s="15" t="s">
        <v>426</v>
      </c>
      <c r="N251" s="15" t="s">
        <v>426</v>
      </c>
      <c r="O251" s="15"/>
      <c r="P251" s="15" t="s">
        <v>185</v>
      </c>
      <c r="Q251" s="15" t="s">
        <v>129</v>
      </c>
      <c r="R251" s="15" t="s">
        <v>185</v>
      </c>
      <c r="S251" s="15"/>
      <c r="T251" s="15"/>
      <c r="U251" s="3" t="s">
        <v>1958</v>
      </c>
      <c r="V251" s="3" t="s">
        <v>1959</v>
      </c>
      <c r="W251" s="3"/>
      <c r="X251" s="3"/>
      <c r="Y251" s="15" t="n">
        <v>0</v>
      </c>
      <c r="Z251" s="15" t="n">
        <v>0</v>
      </c>
      <c r="AA251" s="15" t="n">
        <v>0</v>
      </c>
      <c r="AB251" s="15" t="n">
        <v>0</v>
      </c>
      <c r="AC251" s="15" t="n">
        <v>0</v>
      </c>
      <c r="AD251" s="15" t="n">
        <v>0</v>
      </c>
      <c r="AE251" s="15" t="n">
        <v>0</v>
      </c>
      <c r="AF251" s="15" t="n">
        <v>0</v>
      </c>
      <c r="AG251" s="15" t="n">
        <v>0</v>
      </c>
      <c r="AH251" s="15" t="n">
        <v>0</v>
      </c>
    </row>
    <row r="252" customFormat="false" ht="46.25" hidden="false" customHeight="false" outlineLevel="0" collapsed="false">
      <c r="A252" s="15" t="s">
        <v>1960</v>
      </c>
      <c r="B252" s="15" t="s">
        <v>37</v>
      </c>
      <c r="C252" s="15" t="s">
        <v>1912</v>
      </c>
      <c r="D252" s="15" t="n">
        <v>62</v>
      </c>
      <c r="E252" s="15" t="s">
        <v>1955</v>
      </c>
      <c r="F252" s="15" t="n">
        <v>1</v>
      </c>
      <c r="G252" s="15" t="s">
        <v>141</v>
      </c>
      <c r="H252" s="15" t="s">
        <v>142</v>
      </c>
      <c r="I252" s="3" t="s">
        <v>1961</v>
      </c>
      <c r="J252" s="3" t="s">
        <v>1962</v>
      </c>
      <c r="K252" s="15" t="s">
        <v>133</v>
      </c>
      <c r="L252" s="16" t="s">
        <v>7</v>
      </c>
      <c r="M252" s="15" t="s">
        <v>68</v>
      </c>
      <c r="N252" s="15" t="s">
        <v>82</v>
      </c>
      <c r="O252" s="15" t="s">
        <v>192</v>
      </c>
      <c r="P252" s="15" t="s">
        <v>135</v>
      </c>
      <c r="Q252" s="15" t="s">
        <v>129</v>
      </c>
      <c r="R252" s="15" t="s">
        <v>135</v>
      </c>
      <c r="S252" s="15"/>
      <c r="T252" s="15"/>
      <c r="U252" s="3" t="s">
        <v>1963</v>
      </c>
      <c r="V252" s="3" t="s">
        <v>1964</v>
      </c>
      <c r="W252" s="3" t="s">
        <v>1965</v>
      </c>
      <c r="X252" s="3" t="s">
        <v>1966</v>
      </c>
      <c r="Y252" s="15" t="n">
        <v>0</v>
      </c>
      <c r="Z252" s="15" t="n">
        <v>1</v>
      </c>
      <c r="AA252" s="15" t="n">
        <v>0</v>
      </c>
      <c r="AB252" s="15" t="n">
        <v>1</v>
      </c>
      <c r="AC252" s="15" t="n">
        <v>0</v>
      </c>
      <c r="AD252" s="15" t="n">
        <v>0</v>
      </c>
      <c r="AE252" s="15" t="n">
        <v>0</v>
      </c>
      <c r="AF252" s="15" t="n">
        <v>1</v>
      </c>
      <c r="AG252" s="15" t="n">
        <v>0</v>
      </c>
      <c r="AH252" s="15" t="n">
        <v>0</v>
      </c>
    </row>
    <row r="253" customFormat="false" ht="46.25" hidden="false" customHeight="false" outlineLevel="0" collapsed="false">
      <c r="A253" s="15" t="s">
        <v>1967</v>
      </c>
      <c r="B253" s="15" t="s">
        <v>37</v>
      </c>
      <c r="C253" s="15" t="s">
        <v>1912</v>
      </c>
      <c r="D253" s="15" t="n">
        <v>62</v>
      </c>
      <c r="E253" s="15" t="s">
        <v>1955</v>
      </c>
      <c r="F253" s="15" t="n">
        <v>2</v>
      </c>
      <c r="G253" s="15" t="s">
        <v>152</v>
      </c>
      <c r="H253" s="15" t="s">
        <v>142</v>
      </c>
      <c r="I253" s="3" t="s">
        <v>1968</v>
      </c>
      <c r="J253" s="3" t="s">
        <v>1969</v>
      </c>
      <c r="K253" s="15" t="s">
        <v>133</v>
      </c>
      <c r="L253" s="16" t="s">
        <v>7</v>
      </c>
      <c r="M253" s="15" t="s">
        <v>68</v>
      </c>
      <c r="N253" s="15" t="s">
        <v>82</v>
      </c>
      <c r="O253" s="15" t="s">
        <v>1970</v>
      </c>
      <c r="P253" s="15" t="s">
        <v>185</v>
      </c>
      <c r="Q253" s="15" t="s">
        <v>152</v>
      </c>
      <c r="R253" s="15" t="s">
        <v>135</v>
      </c>
      <c r="S253" s="15"/>
      <c r="T253" s="15"/>
      <c r="U253" s="3" t="s">
        <v>1971</v>
      </c>
      <c r="V253" s="3" t="s">
        <v>1972</v>
      </c>
      <c r="W253" s="3"/>
      <c r="X253" s="3" t="s">
        <v>1973</v>
      </c>
      <c r="Y253" s="15" t="n">
        <v>0</v>
      </c>
      <c r="Z253" s="15" t="n">
        <v>1</v>
      </c>
      <c r="AA253" s="15" t="n">
        <v>0</v>
      </c>
      <c r="AB253" s="15" t="n">
        <v>0</v>
      </c>
      <c r="AC253" s="15" t="n">
        <v>1</v>
      </c>
      <c r="AD253" s="15" t="n">
        <v>1</v>
      </c>
      <c r="AE253" s="15" t="n">
        <v>0</v>
      </c>
      <c r="AF253" s="15" t="n">
        <v>0</v>
      </c>
      <c r="AG253" s="15" t="n">
        <v>0</v>
      </c>
      <c r="AH253" s="15" t="n">
        <v>0</v>
      </c>
    </row>
    <row r="254" customFormat="false" ht="46.25" hidden="false" customHeight="false" outlineLevel="0" collapsed="false">
      <c r="A254" s="15" t="s">
        <v>1974</v>
      </c>
      <c r="B254" s="15" t="s">
        <v>37</v>
      </c>
      <c r="C254" s="15" t="s">
        <v>1912</v>
      </c>
      <c r="D254" s="15" t="n">
        <v>100</v>
      </c>
      <c r="E254" s="15" t="s">
        <v>1975</v>
      </c>
      <c r="F254" s="15" t="n">
        <v>0</v>
      </c>
      <c r="G254" s="15" t="s">
        <v>197</v>
      </c>
      <c r="H254" s="15" t="s">
        <v>142</v>
      </c>
      <c r="I254" s="3" t="s">
        <v>1976</v>
      </c>
      <c r="J254" s="3" t="s">
        <v>1977</v>
      </c>
      <c r="K254" s="15" t="s">
        <v>133</v>
      </c>
      <c r="L254" s="16" t="s">
        <v>7</v>
      </c>
      <c r="M254" s="15" t="s">
        <v>68</v>
      </c>
      <c r="N254" s="15" t="s">
        <v>82</v>
      </c>
      <c r="O254" s="15" t="s">
        <v>239</v>
      </c>
      <c r="P254" s="15" t="s">
        <v>135</v>
      </c>
      <c r="Q254" s="15" t="s">
        <v>307</v>
      </c>
      <c r="R254" s="15" t="s">
        <v>135</v>
      </c>
      <c r="S254" s="15"/>
      <c r="T254" s="15"/>
      <c r="U254" s="3" t="s">
        <v>1978</v>
      </c>
      <c r="V254" s="3" t="s">
        <v>1979</v>
      </c>
      <c r="W254" s="3" t="s">
        <v>1980</v>
      </c>
      <c r="X254" s="3" t="s">
        <v>1981</v>
      </c>
      <c r="Y254" s="15" t="n">
        <v>0</v>
      </c>
      <c r="Z254" s="15" t="n">
        <v>1</v>
      </c>
      <c r="AA254" s="15" t="n">
        <v>0</v>
      </c>
      <c r="AB254" s="15" t="n">
        <v>0</v>
      </c>
      <c r="AC254" s="15" t="n">
        <v>0</v>
      </c>
      <c r="AD254" s="15" t="n">
        <v>0</v>
      </c>
      <c r="AE254" s="15" t="n">
        <v>0</v>
      </c>
      <c r="AF254" s="15" t="n">
        <v>1</v>
      </c>
      <c r="AG254" s="15" t="n">
        <v>0</v>
      </c>
      <c r="AH254" s="15" t="n">
        <v>1</v>
      </c>
    </row>
    <row r="255" customFormat="false" ht="35.05" hidden="false" customHeight="false" outlineLevel="0" collapsed="false">
      <c r="A255" s="15" t="s">
        <v>1982</v>
      </c>
      <c r="B255" s="15" t="s">
        <v>37</v>
      </c>
      <c r="C255" s="15" t="s">
        <v>1912</v>
      </c>
      <c r="D255" s="15" t="n">
        <v>100</v>
      </c>
      <c r="E255" s="15" t="s">
        <v>1975</v>
      </c>
      <c r="F255" s="15" t="n">
        <v>1</v>
      </c>
      <c r="G255" s="15" t="s">
        <v>152</v>
      </c>
      <c r="H255" s="15" t="s">
        <v>142</v>
      </c>
      <c r="I255" s="3" t="s">
        <v>1983</v>
      </c>
      <c r="J255" s="3" t="s">
        <v>1984</v>
      </c>
      <c r="K255" s="15" t="s">
        <v>145</v>
      </c>
      <c r="L255" s="16" t="s">
        <v>7</v>
      </c>
      <c r="M255" s="15" t="s">
        <v>68</v>
      </c>
      <c r="N255" s="15" t="s">
        <v>83</v>
      </c>
      <c r="O255" s="15" t="s">
        <v>1985</v>
      </c>
      <c r="P255" s="15" t="s">
        <v>135</v>
      </c>
      <c r="Q255" s="15" t="s">
        <v>307</v>
      </c>
      <c r="R255" s="15" t="s">
        <v>135</v>
      </c>
      <c r="S255" s="15"/>
      <c r="T255" s="15"/>
      <c r="U255" s="3" t="s">
        <v>1986</v>
      </c>
      <c r="V255" s="3" t="s">
        <v>1987</v>
      </c>
      <c r="W255" s="3"/>
      <c r="X255" s="3" t="s">
        <v>1988</v>
      </c>
      <c r="Y255" s="15" t="n">
        <v>0</v>
      </c>
      <c r="Z255" s="15" t="n">
        <v>0</v>
      </c>
      <c r="AA255" s="15" t="n">
        <v>1</v>
      </c>
      <c r="AB255" s="15" t="n">
        <v>0</v>
      </c>
      <c r="AC255" s="15" t="n">
        <v>0</v>
      </c>
      <c r="AD255" s="15" t="n">
        <v>1</v>
      </c>
      <c r="AE255" s="15" t="n">
        <v>0</v>
      </c>
      <c r="AF255" s="15" t="n">
        <v>1</v>
      </c>
      <c r="AG255" s="15" t="n">
        <v>0</v>
      </c>
      <c r="AH255" s="15" t="n">
        <v>0</v>
      </c>
    </row>
    <row r="256" customFormat="false" ht="35.05" hidden="false" customHeight="false" outlineLevel="0" collapsed="false">
      <c r="A256" s="15" t="s">
        <v>1989</v>
      </c>
      <c r="B256" s="15" t="s">
        <v>37</v>
      </c>
      <c r="C256" s="15" t="s">
        <v>1912</v>
      </c>
      <c r="D256" s="15" t="n">
        <v>100</v>
      </c>
      <c r="E256" s="15" t="s">
        <v>1975</v>
      </c>
      <c r="F256" s="15" t="n">
        <v>2</v>
      </c>
      <c r="G256" s="15" t="s">
        <v>129</v>
      </c>
      <c r="H256" s="15" t="s">
        <v>130</v>
      </c>
      <c r="I256" s="3" t="s">
        <v>1990</v>
      </c>
      <c r="J256" s="3" t="s">
        <v>1991</v>
      </c>
      <c r="K256" s="15" t="s">
        <v>133</v>
      </c>
      <c r="L256" s="16" t="s">
        <v>7</v>
      </c>
      <c r="M256" s="15" t="s">
        <v>68</v>
      </c>
      <c r="N256" s="15" t="s">
        <v>82</v>
      </c>
      <c r="O256" s="15" t="s">
        <v>215</v>
      </c>
      <c r="P256" s="15" t="s">
        <v>135</v>
      </c>
      <c r="Q256" s="15" t="s">
        <v>307</v>
      </c>
      <c r="R256" s="15" t="s">
        <v>135</v>
      </c>
      <c r="S256" s="15"/>
      <c r="T256" s="15"/>
      <c r="U256" s="3" t="s">
        <v>1992</v>
      </c>
      <c r="V256" s="3" t="s">
        <v>1993</v>
      </c>
      <c r="W256" s="3" t="s">
        <v>1980</v>
      </c>
      <c r="X256" s="3" t="s">
        <v>1981</v>
      </c>
      <c r="Y256" s="15" t="n">
        <v>0</v>
      </c>
      <c r="Z256" s="15" t="n">
        <v>1</v>
      </c>
      <c r="AA256" s="15" t="n">
        <v>0</v>
      </c>
      <c r="AB256" s="15" t="n">
        <v>0</v>
      </c>
      <c r="AC256" s="15" t="n">
        <v>0</v>
      </c>
      <c r="AD256" s="15" t="n">
        <v>0</v>
      </c>
      <c r="AE256" s="15" t="n">
        <v>0</v>
      </c>
      <c r="AF256" s="15" t="n">
        <v>1</v>
      </c>
      <c r="AG256" s="15" t="n">
        <v>0</v>
      </c>
      <c r="AH256" s="15" t="n">
        <v>0</v>
      </c>
    </row>
    <row r="257" customFormat="false" ht="46.25" hidden="false" customHeight="false" outlineLevel="0" collapsed="false">
      <c r="A257" s="15" t="s">
        <v>1994</v>
      </c>
      <c r="B257" s="15" t="s">
        <v>37</v>
      </c>
      <c r="C257" s="15" t="s">
        <v>1995</v>
      </c>
      <c r="D257" s="15" t="n">
        <v>47</v>
      </c>
      <c r="E257" s="15" t="s">
        <v>1996</v>
      </c>
      <c r="F257" s="15" t="n">
        <v>0</v>
      </c>
      <c r="G257" s="15" t="s">
        <v>129</v>
      </c>
      <c r="H257" s="15" t="s">
        <v>130</v>
      </c>
      <c r="I257" s="3" t="s">
        <v>1997</v>
      </c>
      <c r="J257" s="3" t="s">
        <v>1998</v>
      </c>
      <c r="K257" s="15" t="s">
        <v>133</v>
      </c>
      <c r="L257" s="16" t="s">
        <v>7</v>
      </c>
      <c r="M257" s="15" t="s">
        <v>68</v>
      </c>
      <c r="N257" s="15" t="s">
        <v>84</v>
      </c>
      <c r="O257" s="15" t="s">
        <v>1377</v>
      </c>
      <c r="P257" s="15" t="s">
        <v>185</v>
      </c>
      <c r="Q257" s="15" t="s">
        <v>129</v>
      </c>
      <c r="R257" s="15" t="s">
        <v>135</v>
      </c>
      <c r="S257" s="15"/>
      <c r="T257" s="15"/>
      <c r="U257" s="3" t="s">
        <v>1999</v>
      </c>
      <c r="V257" s="3" t="s">
        <v>2000</v>
      </c>
      <c r="W257" s="3" t="s">
        <v>2001</v>
      </c>
      <c r="X257" s="3" t="s">
        <v>2002</v>
      </c>
      <c r="Y257" s="15" t="n">
        <v>0</v>
      </c>
      <c r="Z257" s="15" t="n">
        <v>0</v>
      </c>
      <c r="AA257" s="15" t="n">
        <v>0</v>
      </c>
      <c r="AB257" s="15" t="n">
        <v>1</v>
      </c>
      <c r="AC257" s="15" t="n">
        <v>1</v>
      </c>
      <c r="AD257" s="15" t="n">
        <v>0</v>
      </c>
      <c r="AE257" s="15" t="n">
        <v>0</v>
      </c>
      <c r="AF257" s="15" t="n">
        <v>0</v>
      </c>
      <c r="AG257" s="15" t="n">
        <v>0</v>
      </c>
      <c r="AH257" s="15" t="n">
        <v>0</v>
      </c>
    </row>
    <row r="258" customFormat="false" ht="46.25" hidden="false" customHeight="false" outlineLevel="0" collapsed="false">
      <c r="A258" s="15" t="s">
        <v>2003</v>
      </c>
      <c r="B258" s="15" t="s">
        <v>37</v>
      </c>
      <c r="C258" s="15" t="s">
        <v>1995</v>
      </c>
      <c r="D258" s="15" t="n">
        <v>47</v>
      </c>
      <c r="E258" s="15" t="s">
        <v>1996</v>
      </c>
      <c r="F258" s="15" t="n">
        <v>1</v>
      </c>
      <c r="G258" s="15" t="s">
        <v>141</v>
      </c>
      <c r="H258" s="15" t="s">
        <v>142</v>
      </c>
      <c r="I258" s="3" t="s">
        <v>2004</v>
      </c>
      <c r="J258" s="3" t="s">
        <v>1998</v>
      </c>
      <c r="K258" s="15" t="s">
        <v>145</v>
      </c>
      <c r="L258" s="16" t="s">
        <v>7</v>
      </c>
      <c r="M258" s="15" t="s">
        <v>68</v>
      </c>
      <c r="N258" s="15" t="s">
        <v>84</v>
      </c>
      <c r="O258" s="15" t="s">
        <v>1124</v>
      </c>
      <c r="P258" s="15" t="s">
        <v>135</v>
      </c>
      <c r="Q258" s="15" t="s">
        <v>307</v>
      </c>
      <c r="R258" s="15" t="s">
        <v>135</v>
      </c>
      <c r="S258" s="15"/>
      <c r="T258" s="15"/>
      <c r="U258" s="3" t="s">
        <v>1999</v>
      </c>
      <c r="V258" s="3" t="s">
        <v>2005</v>
      </c>
      <c r="W258" s="3" t="s">
        <v>2006</v>
      </c>
      <c r="X258" s="3" t="s">
        <v>2007</v>
      </c>
      <c r="Y258" s="15" t="n">
        <v>0</v>
      </c>
      <c r="Z258" s="15" t="n">
        <v>0</v>
      </c>
      <c r="AA258" s="15" t="n">
        <v>0</v>
      </c>
      <c r="AB258" s="15" t="n">
        <v>1</v>
      </c>
      <c r="AC258" s="15" t="n">
        <v>1</v>
      </c>
      <c r="AD258" s="15" t="n">
        <v>0</v>
      </c>
      <c r="AE258" s="15" t="n">
        <v>0</v>
      </c>
      <c r="AF258" s="15" t="n">
        <v>1</v>
      </c>
      <c r="AG258" s="15" t="n">
        <v>0</v>
      </c>
      <c r="AH258" s="15" t="n">
        <v>0</v>
      </c>
    </row>
    <row r="259" customFormat="false" ht="46.25" hidden="false" customHeight="false" outlineLevel="0" collapsed="false">
      <c r="A259" s="15" t="s">
        <v>2008</v>
      </c>
      <c r="B259" s="15" t="s">
        <v>37</v>
      </c>
      <c r="C259" s="15" t="s">
        <v>1995</v>
      </c>
      <c r="D259" s="15" t="n">
        <v>47</v>
      </c>
      <c r="E259" s="15" t="s">
        <v>1996</v>
      </c>
      <c r="F259" s="15" t="n">
        <v>2</v>
      </c>
      <c r="G259" s="15" t="s">
        <v>152</v>
      </c>
      <c r="H259" s="15" t="s">
        <v>142</v>
      </c>
      <c r="I259" s="3" t="s">
        <v>2004</v>
      </c>
      <c r="J259" s="3" t="s">
        <v>1998</v>
      </c>
      <c r="K259" s="15" t="s">
        <v>133</v>
      </c>
      <c r="L259" s="16" t="s">
        <v>7</v>
      </c>
      <c r="M259" s="15" t="s">
        <v>68</v>
      </c>
      <c r="N259" s="15" t="s">
        <v>84</v>
      </c>
      <c r="O259" s="15" t="s">
        <v>1124</v>
      </c>
      <c r="P259" s="15" t="s">
        <v>135</v>
      </c>
      <c r="Q259" s="15" t="s">
        <v>129</v>
      </c>
      <c r="R259" s="15" t="s">
        <v>135</v>
      </c>
      <c r="S259" s="15"/>
      <c r="T259" s="15"/>
      <c r="U259" s="3" t="s">
        <v>1999</v>
      </c>
      <c r="V259" s="3" t="s">
        <v>2009</v>
      </c>
      <c r="W259" s="3" t="s">
        <v>2010</v>
      </c>
      <c r="X259" s="3" t="s">
        <v>2011</v>
      </c>
      <c r="Y259" s="15" t="n">
        <v>0</v>
      </c>
      <c r="Z259" s="15" t="n">
        <v>0</v>
      </c>
      <c r="AA259" s="15" t="n">
        <v>0</v>
      </c>
      <c r="AB259" s="15" t="n">
        <v>1</v>
      </c>
      <c r="AC259" s="15" t="n">
        <v>1</v>
      </c>
      <c r="AD259" s="15" t="n">
        <v>0</v>
      </c>
      <c r="AE259" s="15" t="n">
        <v>0</v>
      </c>
      <c r="AF259" s="15" t="n">
        <v>1</v>
      </c>
      <c r="AG259" s="15" t="n">
        <v>0</v>
      </c>
      <c r="AH259" s="15" t="n">
        <v>0</v>
      </c>
    </row>
    <row r="260" customFormat="false" ht="35.05" hidden="false" customHeight="false" outlineLevel="0" collapsed="false">
      <c r="A260" s="15" t="s">
        <v>2012</v>
      </c>
      <c r="B260" s="15" t="s">
        <v>37</v>
      </c>
      <c r="C260" s="15" t="s">
        <v>1995</v>
      </c>
      <c r="D260" s="15" t="n">
        <v>49</v>
      </c>
      <c r="E260" s="15" t="s">
        <v>2013</v>
      </c>
      <c r="F260" s="15" t="n">
        <v>0</v>
      </c>
      <c r="G260" s="15" t="s">
        <v>129</v>
      </c>
      <c r="H260" s="15" t="s">
        <v>130</v>
      </c>
      <c r="I260" s="3" t="s">
        <v>2014</v>
      </c>
      <c r="J260" s="3" t="s">
        <v>2015</v>
      </c>
      <c r="K260" s="15" t="s">
        <v>133</v>
      </c>
      <c r="L260" s="16" t="s">
        <v>7</v>
      </c>
      <c r="M260" s="15" t="s">
        <v>68</v>
      </c>
      <c r="N260" s="15" t="s">
        <v>82</v>
      </c>
      <c r="O260" s="15" t="s">
        <v>606</v>
      </c>
      <c r="P260" s="15" t="s">
        <v>185</v>
      </c>
      <c r="Q260" s="15" t="s">
        <v>129</v>
      </c>
      <c r="R260" s="15" t="s">
        <v>135</v>
      </c>
      <c r="S260" s="15"/>
      <c r="T260" s="15"/>
      <c r="U260" s="3" t="s">
        <v>2016</v>
      </c>
      <c r="V260" s="3" t="s">
        <v>2017</v>
      </c>
      <c r="W260" s="3" t="s">
        <v>2018</v>
      </c>
      <c r="X260" s="3" t="s">
        <v>2019</v>
      </c>
      <c r="Y260" s="15" t="n">
        <v>0</v>
      </c>
      <c r="Z260" s="15" t="n">
        <v>1</v>
      </c>
      <c r="AA260" s="15" t="n">
        <v>0</v>
      </c>
      <c r="AB260" s="15" t="n">
        <v>0</v>
      </c>
      <c r="AC260" s="15" t="n">
        <v>1</v>
      </c>
      <c r="AD260" s="15" t="n">
        <v>0</v>
      </c>
      <c r="AE260" s="15" t="n">
        <v>0</v>
      </c>
      <c r="AF260" s="15" t="n">
        <v>0</v>
      </c>
      <c r="AG260" s="15" t="n">
        <v>0</v>
      </c>
      <c r="AH260" s="15" t="n">
        <v>0</v>
      </c>
    </row>
    <row r="261" customFormat="false" ht="35.05" hidden="false" customHeight="false" outlineLevel="0" collapsed="false">
      <c r="A261" s="15" t="s">
        <v>2020</v>
      </c>
      <c r="B261" s="15" t="s">
        <v>37</v>
      </c>
      <c r="C261" s="15" t="s">
        <v>1995</v>
      </c>
      <c r="D261" s="15" t="n">
        <v>49</v>
      </c>
      <c r="E261" s="15" t="s">
        <v>2013</v>
      </c>
      <c r="F261" s="15" t="n">
        <v>1</v>
      </c>
      <c r="G261" s="15" t="s">
        <v>141</v>
      </c>
      <c r="H261" s="15" t="s">
        <v>142</v>
      </c>
      <c r="I261" s="3" t="s">
        <v>2021</v>
      </c>
      <c r="J261" s="3" t="s">
        <v>2022</v>
      </c>
      <c r="K261" s="15" t="s">
        <v>145</v>
      </c>
      <c r="L261" s="16" t="s">
        <v>7</v>
      </c>
      <c r="M261" s="15" t="s">
        <v>68</v>
      </c>
      <c r="N261" s="15" t="s">
        <v>82</v>
      </c>
      <c r="O261" s="15" t="s">
        <v>2023</v>
      </c>
      <c r="P261" s="15" t="s">
        <v>135</v>
      </c>
      <c r="Q261" s="15" t="s">
        <v>307</v>
      </c>
      <c r="R261" s="15" t="s">
        <v>135</v>
      </c>
      <c r="S261" s="15"/>
      <c r="T261" s="15"/>
      <c r="U261" s="3" t="s">
        <v>2024</v>
      </c>
      <c r="V261" s="3" t="s">
        <v>2025</v>
      </c>
      <c r="W261" s="3" t="s">
        <v>2026</v>
      </c>
      <c r="X261" s="3" t="s">
        <v>2027</v>
      </c>
      <c r="Y261" s="15" t="n">
        <v>0</v>
      </c>
      <c r="Z261" s="15" t="n">
        <v>1</v>
      </c>
      <c r="AA261" s="15" t="n">
        <v>1</v>
      </c>
      <c r="AB261" s="15" t="n">
        <v>0</v>
      </c>
      <c r="AC261" s="15" t="n">
        <v>1</v>
      </c>
      <c r="AD261" s="15" t="n">
        <v>0</v>
      </c>
      <c r="AE261" s="15" t="n">
        <v>0</v>
      </c>
      <c r="AF261" s="15" t="n">
        <v>1</v>
      </c>
      <c r="AG261" s="15" t="n">
        <v>0</v>
      </c>
      <c r="AH261" s="15" t="n">
        <v>0</v>
      </c>
    </row>
    <row r="262" customFormat="false" ht="46.25" hidden="false" customHeight="false" outlineLevel="0" collapsed="false">
      <c r="A262" s="15" t="s">
        <v>2028</v>
      </c>
      <c r="B262" s="15" t="s">
        <v>37</v>
      </c>
      <c r="C262" s="15" t="s">
        <v>1995</v>
      </c>
      <c r="D262" s="15" t="n">
        <v>49</v>
      </c>
      <c r="E262" s="15" t="s">
        <v>2013</v>
      </c>
      <c r="F262" s="15" t="n">
        <v>2</v>
      </c>
      <c r="G262" s="15" t="s">
        <v>197</v>
      </c>
      <c r="H262" s="15" t="s">
        <v>142</v>
      </c>
      <c r="I262" s="3" t="s">
        <v>2029</v>
      </c>
      <c r="J262" s="3" t="s">
        <v>2030</v>
      </c>
      <c r="K262" s="15" t="s">
        <v>133</v>
      </c>
      <c r="L262" s="16" t="s">
        <v>7</v>
      </c>
      <c r="M262" s="15" t="s">
        <v>68</v>
      </c>
      <c r="N262" s="15" t="s">
        <v>82</v>
      </c>
      <c r="O262" s="15" t="s">
        <v>2031</v>
      </c>
      <c r="P262" s="15" t="s">
        <v>135</v>
      </c>
      <c r="Q262" s="15" t="s">
        <v>129</v>
      </c>
      <c r="R262" s="15" t="s">
        <v>135</v>
      </c>
      <c r="S262" s="15"/>
      <c r="T262" s="15"/>
      <c r="U262" s="3" t="s">
        <v>2032</v>
      </c>
      <c r="V262" s="3" t="s">
        <v>2033</v>
      </c>
      <c r="W262" s="3" t="s">
        <v>2034</v>
      </c>
      <c r="X262" s="3" t="s">
        <v>2035</v>
      </c>
      <c r="Y262" s="15" t="n">
        <v>0</v>
      </c>
      <c r="Z262" s="15" t="n">
        <v>1</v>
      </c>
      <c r="AA262" s="15" t="n">
        <v>0</v>
      </c>
      <c r="AB262" s="15" t="n">
        <v>0</v>
      </c>
      <c r="AC262" s="15" t="n">
        <v>1</v>
      </c>
      <c r="AD262" s="15" t="n">
        <v>0</v>
      </c>
      <c r="AE262" s="15" t="n">
        <v>0</v>
      </c>
      <c r="AF262" s="15" t="n">
        <v>1</v>
      </c>
      <c r="AG262" s="15" t="n">
        <v>0</v>
      </c>
      <c r="AH262" s="15" t="n">
        <v>0</v>
      </c>
    </row>
    <row r="263" customFormat="false" ht="35.05" hidden="false" customHeight="false" outlineLevel="0" collapsed="false">
      <c r="A263" s="15" t="s">
        <v>2036</v>
      </c>
      <c r="B263" s="15" t="s">
        <v>37</v>
      </c>
      <c r="C263" s="15" t="s">
        <v>1995</v>
      </c>
      <c r="D263" s="15" t="n">
        <v>56</v>
      </c>
      <c r="E263" s="15" t="s">
        <v>2037</v>
      </c>
      <c r="F263" s="15" t="n">
        <v>0</v>
      </c>
      <c r="G263" s="15" t="s">
        <v>129</v>
      </c>
      <c r="H263" s="15" t="s">
        <v>130</v>
      </c>
      <c r="I263" s="3" t="s">
        <v>2038</v>
      </c>
      <c r="J263" s="3" t="s">
        <v>2039</v>
      </c>
      <c r="K263" s="15" t="s">
        <v>133</v>
      </c>
      <c r="L263" s="18" t="s">
        <v>5</v>
      </c>
      <c r="M263" s="15" t="s">
        <v>426</v>
      </c>
      <c r="N263" s="15" t="s">
        <v>426</v>
      </c>
      <c r="O263" s="15"/>
      <c r="P263" s="15" t="s">
        <v>185</v>
      </c>
      <c r="Q263" s="15" t="s">
        <v>129</v>
      </c>
      <c r="R263" s="15" t="s">
        <v>185</v>
      </c>
      <c r="S263" s="15"/>
      <c r="T263" s="15"/>
      <c r="U263" s="3" t="s">
        <v>2040</v>
      </c>
      <c r="V263" s="3" t="s">
        <v>2041</v>
      </c>
      <c r="W263" s="3"/>
      <c r="X263" s="3"/>
      <c r="Y263" s="15" t="n">
        <v>0</v>
      </c>
      <c r="Z263" s="15" t="n">
        <v>0</v>
      </c>
      <c r="AA263" s="15" t="n">
        <v>0</v>
      </c>
      <c r="AB263" s="15" t="n">
        <v>0</v>
      </c>
      <c r="AC263" s="15" t="n">
        <v>0</v>
      </c>
      <c r="AD263" s="15" t="n">
        <v>0</v>
      </c>
      <c r="AE263" s="15" t="n">
        <v>0</v>
      </c>
      <c r="AF263" s="15" t="n">
        <v>0</v>
      </c>
      <c r="AG263" s="15" t="n">
        <v>0</v>
      </c>
      <c r="AH263" s="15" t="n">
        <v>0</v>
      </c>
    </row>
    <row r="264" customFormat="false" ht="35.05" hidden="false" customHeight="false" outlineLevel="0" collapsed="false">
      <c r="A264" s="15" t="s">
        <v>2042</v>
      </c>
      <c r="B264" s="15" t="s">
        <v>37</v>
      </c>
      <c r="C264" s="15" t="s">
        <v>1995</v>
      </c>
      <c r="D264" s="15" t="n">
        <v>56</v>
      </c>
      <c r="E264" s="15" t="s">
        <v>2037</v>
      </c>
      <c r="F264" s="15" t="n">
        <v>1</v>
      </c>
      <c r="G264" s="15" t="s">
        <v>197</v>
      </c>
      <c r="H264" s="15" t="s">
        <v>142</v>
      </c>
      <c r="I264" s="3" t="s">
        <v>2043</v>
      </c>
      <c r="J264" s="3" t="s">
        <v>2044</v>
      </c>
      <c r="K264" s="15" t="s">
        <v>133</v>
      </c>
      <c r="L264" s="16" t="s">
        <v>7</v>
      </c>
      <c r="M264" s="15" t="s">
        <v>66</v>
      </c>
      <c r="N264" s="15" t="s">
        <v>88</v>
      </c>
      <c r="O264" s="15" t="s">
        <v>2045</v>
      </c>
      <c r="P264" s="15" t="s">
        <v>135</v>
      </c>
      <c r="Q264" s="15" t="s">
        <v>129</v>
      </c>
      <c r="R264" s="15" t="s">
        <v>135</v>
      </c>
      <c r="S264" s="15"/>
      <c r="T264" s="15"/>
      <c r="U264" s="3" t="s">
        <v>2046</v>
      </c>
      <c r="V264" s="3" t="s">
        <v>2047</v>
      </c>
      <c r="W264" s="3" t="s">
        <v>2048</v>
      </c>
      <c r="X264" s="3" t="s">
        <v>2049</v>
      </c>
      <c r="Y264" s="15" t="n">
        <v>0</v>
      </c>
      <c r="Z264" s="15" t="n">
        <v>0</v>
      </c>
      <c r="AA264" s="15" t="n">
        <v>0</v>
      </c>
      <c r="AB264" s="15" t="n">
        <v>0</v>
      </c>
      <c r="AC264" s="15" t="n">
        <v>1</v>
      </c>
      <c r="AD264" s="15" t="n">
        <v>0</v>
      </c>
      <c r="AE264" s="15" t="n">
        <v>0</v>
      </c>
      <c r="AF264" s="15" t="n">
        <v>1</v>
      </c>
      <c r="AG264" s="15" t="n">
        <v>0</v>
      </c>
      <c r="AH264" s="15" t="n">
        <v>0</v>
      </c>
    </row>
    <row r="265" customFormat="false" ht="46.25" hidden="false" customHeight="false" outlineLevel="0" collapsed="false">
      <c r="A265" s="15" t="s">
        <v>2050</v>
      </c>
      <c r="B265" s="15" t="s">
        <v>37</v>
      </c>
      <c r="C265" s="15" t="s">
        <v>1995</v>
      </c>
      <c r="D265" s="15" t="n">
        <v>56</v>
      </c>
      <c r="E265" s="15" t="s">
        <v>2037</v>
      </c>
      <c r="F265" s="15" t="n">
        <v>2</v>
      </c>
      <c r="G265" s="15" t="s">
        <v>141</v>
      </c>
      <c r="H265" s="15" t="s">
        <v>142</v>
      </c>
      <c r="I265" s="3" t="s">
        <v>2051</v>
      </c>
      <c r="J265" s="3" t="s">
        <v>2052</v>
      </c>
      <c r="K265" s="15" t="s">
        <v>133</v>
      </c>
      <c r="L265" s="16" t="s">
        <v>7</v>
      </c>
      <c r="M265" s="15" t="s">
        <v>66</v>
      </c>
      <c r="N265" s="15" t="s">
        <v>88</v>
      </c>
      <c r="O265" s="15" t="s">
        <v>88</v>
      </c>
      <c r="P265" s="15" t="s">
        <v>135</v>
      </c>
      <c r="Q265" s="15" t="s">
        <v>129</v>
      </c>
      <c r="R265" s="15" t="s">
        <v>185</v>
      </c>
      <c r="S265" s="15"/>
      <c r="T265" s="15"/>
      <c r="U265" s="3" t="s">
        <v>2053</v>
      </c>
      <c r="V265" s="3" t="s">
        <v>2054</v>
      </c>
      <c r="W265" s="3"/>
      <c r="X265" s="3" t="s">
        <v>2055</v>
      </c>
      <c r="Y265" s="15" t="n">
        <v>0</v>
      </c>
      <c r="Z265" s="15" t="n">
        <v>0</v>
      </c>
      <c r="AA265" s="15" t="n">
        <v>0</v>
      </c>
      <c r="AB265" s="15" t="n">
        <v>0</v>
      </c>
      <c r="AC265" s="15" t="n">
        <v>0</v>
      </c>
      <c r="AD265" s="15" t="n">
        <v>0</v>
      </c>
      <c r="AE265" s="15" t="n">
        <v>0</v>
      </c>
      <c r="AF265" s="15" t="n">
        <v>1</v>
      </c>
      <c r="AG265" s="15" t="n">
        <v>0</v>
      </c>
      <c r="AH265" s="15" t="n">
        <v>0</v>
      </c>
    </row>
    <row r="266" customFormat="false" ht="57.45" hidden="false" customHeight="false" outlineLevel="0" collapsed="false">
      <c r="A266" s="15" t="s">
        <v>2056</v>
      </c>
      <c r="B266" s="15" t="s">
        <v>37</v>
      </c>
      <c r="C266" s="15" t="s">
        <v>1995</v>
      </c>
      <c r="D266" s="15" t="n">
        <v>69</v>
      </c>
      <c r="E266" s="15" t="s">
        <v>2057</v>
      </c>
      <c r="F266" s="15" t="n">
        <v>0</v>
      </c>
      <c r="G266" s="15" t="s">
        <v>129</v>
      </c>
      <c r="H266" s="15" t="s">
        <v>130</v>
      </c>
      <c r="I266" s="3" t="s">
        <v>2058</v>
      </c>
      <c r="J266" s="3" t="s">
        <v>2059</v>
      </c>
      <c r="K266" s="15" t="s">
        <v>133</v>
      </c>
      <c r="L266" s="16" t="s">
        <v>7</v>
      </c>
      <c r="M266" s="15" t="s">
        <v>68</v>
      </c>
      <c r="N266" s="15" t="s">
        <v>84</v>
      </c>
      <c r="O266" s="15" t="s">
        <v>1377</v>
      </c>
      <c r="P266" s="15" t="s">
        <v>185</v>
      </c>
      <c r="Q266" s="15" t="s">
        <v>129</v>
      </c>
      <c r="R266" s="15" t="s">
        <v>135</v>
      </c>
      <c r="S266" s="15"/>
      <c r="T266" s="15"/>
      <c r="U266" s="3" t="s">
        <v>2060</v>
      </c>
      <c r="V266" s="3" t="s">
        <v>2061</v>
      </c>
      <c r="W266" s="3" t="s">
        <v>2062</v>
      </c>
      <c r="X266" s="3" t="s">
        <v>2063</v>
      </c>
      <c r="Y266" s="15" t="n">
        <v>0</v>
      </c>
      <c r="Z266" s="15" t="n">
        <v>0</v>
      </c>
      <c r="AA266" s="15" t="n">
        <v>0</v>
      </c>
      <c r="AB266" s="15" t="n">
        <v>1</v>
      </c>
      <c r="AC266" s="15" t="n">
        <v>1</v>
      </c>
      <c r="AD266" s="15" t="n">
        <v>0</v>
      </c>
      <c r="AE266" s="15" t="n">
        <v>0</v>
      </c>
      <c r="AF266" s="15" t="n">
        <v>0</v>
      </c>
      <c r="AG266" s="15" t="n">
        <v>0</v>
      </c>
      <c r="AH266" s="15" t="n">
        <v>0</v>
      </c>
    </row>
    <row r="267" customFormat="false" ht="46.25" hidden="false" customHeight="false" outlineLevel="0" collapsed="false">
      <c r="A267" s="15" t="s">
        <v>2064</v>
      </c>
      <c r="B267" s="15" t="s">
        <v>37</v>
      </c>
      <c r="C267" s="15" t="s">
        <v>1995</v>
      </c>
      <c r="D267" s="15" t="n">
        <v>69</v>
      </c>
      <c r="E267" s="15" t="s">
        <v>2057</v>
      </c>
      <c r="F267" s="15" t="n">
        <v>1</v>
      </c>
      <c r="G267" s="15" t="s">
        <v>197</v>
      </c>
      <c r="H267" s="15" t="s">
        <v>142</v>
      </c>
      <c r="I267" s="3" t="s">
        <v>2065</v>
      </c>
      <c r="J267" s="3" t="s">
        <v>2066</v>
      </c>
      <c r="K267" s="15" t="s">
        <v>145</v>
      </c>
      <c r="L267" s="16" t="s">
        <v>7</v>
      </c>
      <c r="M267" s="15" t="s">
        <v>66</v>
      </c>
      <c r="N267" s="15" t="s">
        <v>87</v>
      </c>
      <c r="O267" s="15" t="s">
        <v>1238</v>
      </c>
      <c r="P267" s="15" t="s">
        <v>135</v>
      </c>
      <c r="Q267" s="15" t="s">
        <v>129</v>
      </c>
      <c r="R267" s="15" t="s">
        <v>135</v>
      </c>
      <c r="S267" s="15"/>
      <c r="T267" s="15"/>
      <c r="U267" s="3" t="s">
        <v>2067</v>
      </c>
      <c r="V267" s="3" t="s">
        <v>2068</v>
      </c>
      <c r="W267" s="3" t="s">
        <v>2069</v>
      </c>
      <c r="X267" s="3" t="s">
        <v>2070</v>
      </c>
      <c r="Y267" s="15" t="n">
        <v>0</v>
      </c>
      <c r="Z267" s="15" t="n">
        <v>0</v>
      </c>
      <c r="AA267" s="15" t="n">
        <v>0</v>
      </c>
      <c r="AB267" s="15" t="n">
        <v>0</v>
      </c>
      <c r="AC267" s="15" t="n">
        <v>0</v>
      </c>
      <c r="AD267" s="15" t="n">
        <v>0</v>
      </c>
      <c r="AE267" s="15" t="n">
        <v>1</v>
      </c>
      <c r="AF267" s="15" t="n">
        <v>1</v>
      </c>
      <c r="AG267" s="15" t="n">
        <v>0</v>
      </c>
      <c r="AH267" s="15" t="n">
        <v>1</v>
      </c>
    </row>
    <row r="268" customFormat="false" ht="46.25" hidden="false" customHeight="false" outlineLevel="0" collapsed="false">
      <c r="A268" s="15" t="s">
        <v>2071</v>
      </c>
      <c r="B268" s="15" t="s">
        <v>37</v>
      </c>
      <c r="C268" s="15" t="s">
        <v>1995</v>
      </c>
      <c r="D268" s="15" t="n">
        <v>69</v>
      </c>
      <c r="E268" s="15" t="s">
        <v>2057</v>
      </c>
      <c r="F268" s="15" t="n">
        <v>2</v>
      </c>
      <c r="G268" s="15" t="s">
        <v>141</v>
      </c>
      <c r="H268" s="15" t="s">
        <v>142</v>
      </c>
      <c r="I268" s="3" t="s">
        <v>2072</v>
      </c>
      <c r="J268" s="3" t="s">
        <v>2073</v>
      </c>
      <c r="K268" s="15" t="s">
        <v>133</v>
      </c>
      <c r="L268" s="16" t="s">
        <v>7</v>
      </c>
      <c r="M268" s="15" t="s">
        <v>68</v>
      </c>
      <c r="N268" s="15" t="s">
        <v>82</v>
      </c>
      <c r="O268" s="15" t="s">
        <v>215</v>
      </c>
      <c r="P268" s="15" t="s">
        <v>135</v>
      </c>
      <c r="Q268" s="15" t="s">
        <v>136</v>
      </c>
      <c r="R268" s="15" t="s">
        <v>135</v>
      </c>
      <c r="S268" s="15"/>
      <c r="T268" s="15"/>
      <c r="U268" s="3" t="s">
        <v>2074</v>
      </c>
      <c r="V268" s="3" t="s">
        <v>2075</v>
      </c>
      <c r="W268" s="3" t="s">
        <v>2076</v>
      </c>
      <c r="X268" s="3" t="s">
        <v>2077</v>
      </c>
      <c r="Y268" s="15" t="n">
        <v>0</v>
      </c>
      <c r="Z268" s="15" t="n">
        <v>1</v>
      </c>
      <c r="AA268" s="15" t="n">
        <v>0</v>
      </c>
      <c r="AB268" s="15" t="n">
        <v>0</v>
      </c>
      <c r="AC268" s="15" t="n">
        <v>0</v>
      </c>
      <c r="AD268" s="15" t="n">
        <v>0</v>
      </c>
      <c r="AE268" s="15" t="n">
        <v>0</v>
      </c>
      <c r="AF268" s="15" t="n">
        <v>1</v>
      </c>
      <c r="AG268" s="15" t="n">
        <v>0</v>
      </c>
      <c r="AH268" s="15" t="n">
        <v>0</v>
      </c>
    </row>
    <row r="269" customFormat="false" ht="35.05" hidden="false" customHeight="false" outlineLevel="0" collapsed="false">
      <c r="A269" s="15" t="s">
        <v>2078</v>
      </c>
      <c r="B269" s="15" t="s">
        <v>37</v>
      </c>
      <c r="C269" s="15" t="s">
        <v>1995</v>
      </c>
      <c r="D269" s="15" t="n">
        <v>70</v>
      </c>
      <c r="E269" s="15" t="s">
        <v>2079</v>
      </c>
      <c r="F269" s="15" t="n">
        <v>0</v>
      </c>
      <c r="G269" s="15" t="s">
        <v>152</v>
      </c>
      <c r="H269" s="15" t="s">
        <v>142</v>
      </c>
      <c r="I269" s="3" t="s">
        <v>2080</v>
      </c>
      <c r="J269" s="3" t="s">
        <v>2081</v>
      </c>
      <c r="K269" s="15" t="s">
        <v>133</v>
      </c>
      <c r="L269" s="16" t="s">
        <v>7</v>
      </c>
      <c r="M269" s="15" t="s">
        <v>68</v>
      </c>
      <c r="N269" s="15" t="s">
        <v>85</v>
      </c>
      <c r="O269" s="15" t="s">
        <v>733</v>
      </c>
      <c r="P269" s="15" t="s">
        <v>135</v>
      </c>
      <c r="Q269" s="15" t="s">
        <v>136</v>
      </c>
      <c r="R269" s="15" t="s">
        <v>135</v>
      </c>
      <c r="S269" s="15"/>
      <c r="T269" s="15"/>
      <c r="U269" s="3" t="s">
        <v>2082</v>
      </c>
      <c r="V269" s="3" t="s">
        <v>2083</v>
      </c>
      <c r="W269" s="3" t="s">
        <v>2084</v>
      </c>
      <c r="X269" s="3" t="s">
        <v>2085</v>
      </c>
      <c r="Y269" s="15" t="n">
        <v>0</v>
      </c>
      <c r="Z269" s="15" t="n">
        <v>1</v>
      </c>
      <c r="AA269" s="15" t="n">
        <v>0</v>
      </c>
      <c r="AB269" s="15" t="n">
        <v>0</v>
      </c>
      <c r="AC269" s="15" t="n">
        <v>1</v>
      </c>
      <c r="AD269" s="15" t="n">
        <v>0</v>
      </c>
      <c r="AE269" s="15" t="n">
        <v>0</v>
      </c>
      <c r="AF269" s="15" t="n">
        <v>1</v>
      </c>
      <c r="AG269" s="15" t="n">
        <v>0</v>
      </c>
      <c r="AH269" s="15" t="n">
        <v>0</v>
      </c>
    </row>
    <row r="270" customFormat="false" ht="57.45" hidden="false" customHeight="false" outlineLevel="0" collapsed="false">
      <c r="A270" s="15" t="s">
        <v>2086</v>
      </c>
      <c r="B270" s="15" t="s">
        <v>37</v>
      </c>
      <c r="C270" s="15" t="s">
        <v>1995</v>
      </c>
      <c r="D270" s="15" t="n">
        <v>70</v>
      </c>
      <c r="E270" s="15" t="s">
        <v>2079</v>
      </c>
      <c r="F270" s="15" t="n">
        <v>1</v>
      </c>
      <c r="G270" s="15" t="s">
        <v>136</v>
      </c>
      <c r="H270" s="15" t="s">
        <v>308</v>
      </c>
      <c r="I270" s="3" t="s">
        <v>2087</v>
      </c>
      <c r="J270" s="3" t="s">
        <v>2088</v>
      </c>
      <c r="K270" s="15" t="s">
        <v>145</v>
      </c>
      <c r="L270" s="16" t="s">
        <v>7</v>
      </c>
      <c r="M270" s="15" t="s">
        <v>68</v>
      </c>
      <c r="N270" s="15" t="s">
        <v>82</v>
      </c>
      <c r="O270" s="15" t="s">
        <v>1247</v>
      </c>
      <c r="P270" s="15" t="s">
        <v>135</v>
      </c>
      <c r="Q270" s="15" t="s">
        <v>129</v>
      </c>
      <c r="R270" s="15" t="s">
        <v>135</v>
      </c>
      <c r="S270" s="15"/>
      <c r="T270" s="15"/>
      <c r="U270" s="3" t="s">
        <v>2089</v>
      </c>
      <c r="V270" s="3" t="s">
        <v>2090</v>
      </c>
      <c r="W270" s="3" t="s">
        <v>2091</v>
      </c>
      <c r="X270" s="3" t="s">
        <v>2092</v>
      </c>
      <c r="Y270" s="15" t="n">
        <v>0</v>
      </c>
      <c r="Z270" s="15" t="n">
        <v>1</v>
      </c>
      <c r="AA270" s="15" t="n">
        <v>0</v>
      </c>
      <c r="AB270" s="15" t="n">
        <v>0</v>
      </c>
      <c r="AC270" s="15" t="n">
        <v>1</v>
      </c>
      <c r="AD270" s="15" t="n">
        <v>0</v>
      </c>
      <c r="AE270" s="15" t="n">
        <v>0</v>
      </c>
      <c r="AF270" s="15" t="n">
        <v>1</v>
      </c>
      <c r="AG270" s="15" t="n">
        <v>0</v>
      </c>
      <c r="AH270" s="15" t="n">
        <v>1</v>
      </c>
    </row>
    <row r="271" customFormat="false" ht="46.25" hidden="false" customHeight="false" outlineLevel="0" collapsed="false">
      <c r="A271" s="15" t="s">
        <v>2093</v>
      </c>
      <c r="B271" s="15" t="s">
        <v>37</v>
      </c>
      <c r="C271" s="15" t="s">
        <v>1995</v>
      </c>
      <c r="D271" s="15" t="n">
        <v>70</v>
      </c>
      <c r="E271" s="15" t="s">
        <v>2079</v>
      </c>
      <c r="F271" s="15" t="n">
        <v>2</v>
      </c>
      <c r="G271" s="15" t="s">
        <v>141</v>
      </c>
      <c r="H271" s="15" t="s">
        <v>142</v>
      </c>
      <c r="I271" s="3" t="s">
        <v>2094</v>
      </c>
      <c r="J271" s="3" t="s">
        <v>2095</v>
      </c>
      <c r="K271" s="15" t="s">
        <v>133</v>
      </c>
      <c r="L271" s="16" t="s">
        <v>7</v>
      </c>
      <c r="M271" s="15" t="s">
        <v>68</v>
      </c>
      <c r="N271" s="15" t="s">
        <v>82</v>
      </c>
      <c r="O271" s="15" t="s">
        <v>215</v>
      </c>
      <c r="P271" s="15" t="s">
        <v>135</v>
      </c>
      <c r="Q271" s="15" t="s">
        <v>136</v>
      </c>
      <c r="R271" s="15" t="s">
        <v>135</v>
      </c>
      <c r="S271" s="15"/>
      <c r="T271" s="15"/>
      <c r="U271" s="3" t="s">
        <v>2096</v>
      </c>
      <c r="V271" s="3" t="s">
        <v>2097</v>
      </c>
      <c r="W271" s="3" t="s">
        <v>2098</v>
      </c>
      <c r="X271" s="3" t="s">
        <v>2099</v>
      </c>
      <c r="Y271" s="15" t="n">
        <v>0</v>
      </c>
      <c r="Z271" s="15" t="n">
        <v>1</v>
      </c>
      <c r="AA271" s="15" t="n">
        <v>0</v>
      </c>
      <c r="AB271" s="15" t="n">
        <v>0</v>
      </c>
      <c r="AC271" s="15" t="n">
        <v>0</v>
      </c>
      <c r="AD271" s="15" t="n">
        <v>0</v>
      </c>
      <c r="AE271" s="15" t="n">
        <v>0</v>
      </c>
      <c r="AF271" s="15" t="n">
        <v>1</v>
      </c>
      <c r="AG271" s="15" t="n">
        <v>0</v>
      </c>
      <c r="AH271" s="15" t="n">
        <v>0</v>
      </c>
    </row>
    <row r="272" customFormat="false" ht="57.45" hidden="false" customHeight="false" outlineLevel="0" collapsed="false">
      <c r="A272" s="15" t="s">
        <v>2100</v>
      </c>
      <c r="B272" s="15" t="s">
        <v>37</v>
      </c>
      <c r="C272" s="15" t="s">
        <v>1995</v>
      </c>
      <c r="D272" s="15" t="n">
        <v>71</v>
      </c>
      <c r="E272" s="15" t="s">
        <v>2101</v>
      </c>
      <c r="F272" s="15" t="n">
        <v>0</v>
      </c>
      <c r="G272" s="15" t="s">
        <v>129</v>
      </c>
      <c r="H272" s="15" t="s">
        <v>130</v>
      </c>
      <c r="I272" s="3" t="s">
        <v>2102</v>
      </c>
      <c r="J272" s="3" t="s">
        <v>2103</v>
      </c>
      <c r="K272" s="15" t="s">
        <v>133</v>
      </c>
      <c r="L272" s="16" t="s">
        <v>7</v>
      </c>
      <c r="M272" s="15" t="s">
        <v>68</v>
      </c>
      <c r="N272" s="15" t="s">
        <v>82</v>
      </c>
      <c r="O272" s="15" t="s">
        <v>2104</v>
      </c>
      <c r="P272" s="15" t="s">
        <v>135</v>
      </c>
      <c r="Q272" s="15" t="s">
        <v>152</v>
      </c>
      <c r="R272" s="15" t="s">
        <v>135</v>
      </c>
      <c r="S272" s="15"/>
      <c r="T272" s="15"/>
      <c r="U272" s="3" t="s">
        <v>2105</v>
      </c>
      <c r="V272" s="3" t="s">
        <v>2106</v>
      </c>
      <c r="W272" s="3"/>
      <c r="X272" s="3" t="s">
        <v>2107</v>
      </c>
      <c r="Y272" s="15" t="n">
        <v>0</v>
      </c>
      <c r="Z272" s="15" t="n">
        <v>1</v>
      </c>
      <c r="AA272" s="15" t="n">
        <v>0</v>
      </c>
      <c r="AB272" s="15" t="n">
        <v>1</v>
      </c>
      <c r="AC272" s="15" t="n">
        <v>0</v>
      </c>
      <c r="AD272" s="15" t="n">
        <v>1</v>
      </c>
      <c r="AE272" s="15" t="n">
        <v>0</v>
      </c>
      <c r="AF272" s="15" t="n">
        <v>1</v>
      </c>
      <c r="AG272" s="15" t="n">
        <v>0</v>
      </c>
      <c r="AH272" s="15" t="n">
        <v>0</v>
      </c>
    </row>
    <row r="273" customFormat="false" ht="35.05" hidden="false" customHeight="false" outlineLevel="0" collapsed="false">
      <c r="A273" s="15" t="s">
        <v>2108</v>
      </c>
      <c r="B273" s="15" t="s">
        <v>37</v>
      </c>
      <c r="C273" s="15" t="s">
        <v>1995</v>
      </c>
      <c r="D273" s="15" t="n">
        <v>71</v>
      </c>
      <c r="E273" s="15" t="s">
        <v>2101</v>
      </c>
      <c r="F273" s="15" t="n">
        <v>1</v>
      </c>
      <c r="G273" s="15" t="s">
        <v>141</v>
      </c>
      <c r="H273" s="15" t="s">
        <v>142</v>
      </c>
      <c r="I273" s="3" t="s">
        <v>2109</v>
      </c>
      <c r="J273" s="3" t="s">
        <v>2110</v>
      </c>
      <c r="K273" s="15" t="s">
        <v>145</v>
      </c>
      <c r="L273" s="16" t="s">
        <v>7</v>
      </c>
      <c r="M273" s="15" t="s">
        <v>68</v>
      </c>
      <c r="N273" s="15" t="s">
        <v>84</v>
      </c>
      <c r="O273" s="15" t="s">
        <v>192</v>
      </c>
      <c r="P273" s="15" t="s">
        <v>135</v>
      </c>
      <c r="Q273" s="15" t="s">
        <v>152</v>
      </c>
      <c r="R273" s="15" t="s">
        <v>135</v>
      </c>
      <c r="S273" s="15"/>
      <c r="T273" s="15"/>
      <c r="U273" s="3" t="s">
        <v>2111</v>
      </c>
      <c r="V273" s="3" t="s">
        <v>2112</v>
      </c>
      <c r="W273" s="3"/>
      <c r="X273" s="3" t="s">
        <v>2113</v>
      </c>
      <c r="Y273" s="15" t="n">
        <v>0</v>
      </c>
      <c r="Z273" s="15" t="n">
        <v>1</v>
      </c>
      <c r="AA273" s="15" t="n">
        <v>0</v>
      </c>
      <c r="AB273" s="15" t="n">
        <v>1</v>
      </c>
      <c r="AC273" s="15" t="n">
        <v>0</v>
      </c>
      <c r="AD273" s="15" t="n">
        <v>0</v>
      </c>
      <c r="AE273" s="15" t="n">
        <v>0</v>
      </c>
      <c r="AF273" s="15" t="n">
        <v>1</v>
      </c>
      <c r="AG273" s="15" t="n">
        <v>0</v>
      </c>
      <c r="AH273" s="15" t="n">
        <v>0</v>
      </c>
    </row>
    <row r="274" customFormat="false" ht="35.05" hidden="false" customHeight="false" outlineLevel="0" collapsed="false">
      <c r="A274" s="15" t="s">
        <v>2114</v>
      </c>
      <c r="B274" s="15" t="s">
        <v>37</v>
      </c>
      <c r="C274" s="15" t="s">
        <v>1995</v>
      </c>
      <c r="D274" s="15" t="n">
        <v>71</v>
      </c>
      <c r="E274" s="15" t="s">
        <v>2101</v>
      </c>
      <c r="F274" s="15" t="n">
        <v>2</v>
      </c>
      <c r="G274" s="15" t="s">
        <v>152</v>
      </c>
      <c r="H274" s="15" t="s">
        <v>142</v>
      </c>
      <c r="I274" s="3" t="s">
        <v>2115</v>
      </c>
      <c r="J274" s="3" t="s">
        <v>2116</v>
      </c>
      <c r="K274" s="15" t="s">
        <v>133</v>
      </c>
      <c r="L274" s="16" t="s">
        <v>7</v>
      </c>
      <c r="M274" s="15" t="s">
        <v>68</v>
      </c>
      <c r="N274" s="15" t="s">
        <v>83</v>
      </c>
      <c r="O274" s="15" t="s">
        <v>2117</v>
      </c>
      <c r="P274" s="15" t="s">
        <v>135</v>
      </c>
      <c r="Q274" s="15" t="s">
        <v>141</v>
      </c>
      <c r="R274" s="15" t="s">
        <v>135</v>
      </c>
      <c r="S274" s="15"/>
      <c r="T274" s="15"/>
      <c r="U274" s="3" t="s">
        <v>2118</v>
      </c>
      <c r="V274" s="3" t="s">
        <v>2119</v>
      </c>
      <c r="W274" s="3"/>
      <c r="X274" s="3" t="s">
        <v>2120</v>
      </c>
      <c r="Y274" s="15" t="n">
        <v>0</v>
      </c>
      <c r="Z274" s="15" t="n">
        <v>0</v>
      </c>
      <c r="AA274" s="15" t="n">
        <v>1</v>
      </c>
      <c r="AB274" s="15" t="n">
        <v>1</v>
      </c>
      <c r="AC274" s="15" t="n">
        <v>0</v>
      </c>
      <c r="AD274" s="15" t="n">
        <v>0</v>
      </c>
      <c r="AE274" s="15" t="n">
        <v>0</v>
      </c>
      <c r="AF274" s="15" t="n">
        <v>1</v>
      </c>
      <c r="AG274" s="15" t="n">
        <v>0</v>
      </c>
      <c r="AH274" s="15" t="n">
        <v>0</v>
      </c>
    </row>
    <row r="275" customFormat="false" ht="35.05" hidden="false" customHeight="false" outlineLevel="0" collapsed="false">
      <c r="A275" s="15" t="s">
        <v>2121</v>
      </c>
      <c r="B275" s="15" t="s">
        <v>37</v>
      </c>
      <c r="C275" s="15" t="s">
        <v>2122</v>
      </c>
      <c r="D275" s="15" t="n">
        <v>33</v>
      </c>
      <c r="E275" s="15" t="s">
        <v>2123</v>
      </c>
      <c r="F275" s="15" t="n">
        <v>0</v>
      </c>
      <c r="G275" s="15" t="s">
        <v>129</v>
      </c>
      <c r="H275" s="15" t="s">
        <v>130</v>
      </c>
      <c r="I275" s="3" t="s">
        <v>2124</v>
      </c>
      <c r="J275" s="3" t="s">
        <v>2125</v>
      </c>
      <c r="K275" s="15" t="s">
        <v>133</v>
      </c>
      <c r="L275" s="16" t="s">
        <v>7</v>
      </c>
      <c r="M275" s="15" t="s">
        <v>68</v>
      </c>
      <c r="N275" s="15" t="s">
        <v>82</v>
      </c>
      <c r="O275" s="15" t="s">
        <v>606</v>
      </c>
      <c r="P275" s="15" t="s">
        <v>185</v>
      </c>
      <c r="Q275" s="15" t="s">
        <v>129</v>
      </c>
      <c r="R275" s="15" t="s">
        <v>135</v>
      </c>
      <c r="S275" s="15"/>
      <c r="T275" s="15"/>
      <c r="U275" s="3" t="s">
        <v>2126</v>
      </c>
      <c r="V275" s="3" t="s">
        <v>2127</v>
      </c>
      <c r="W275" s="3"/>
      <c r="X275" s="3" t="s">
        <v>2128</v>
      </c>
      <c r="Y275" s="15" t="n">
        <v>0</v>
      </c>
      <c r="Z275" s="15" t="n">
        <v>1</v>
      </c>
      <c r="AA275" s="15" t="n">
        <v>0</v>
      </c>
      <c r="AB275" s="15" t="n">
        <v>0</v>
      </c>
      <c r="AC275" s="15" t="n">
        <v>1</v>
      </c>
      <c r="AD275" s="15" t="n">
        <v>0</v>
      </c>
      <c r="AE275" s="15" t="n">
        <v>0</v>
      </c>
      <c r="AF275" s="15" t="n">
        <v>0</v>
      </c>
      <c r="AG275" s="15" t="n">
        <v>0</v>
      </c>
      <c r="AH275" s="15" t="n">
        <v>0</v>
      </c>
    </row>
    <row r="276" customFormat="false" ht="46.25" hidden="false" customHeight="false" outlineLevel="0" collapsed="false">
      <c r="A276" s="15" t="s">
        <v>2129</v>
      </c>
      <c r="B276" s="15" t="s">
        <v>37</v>
      </c>
      <c r="C276" s="15" t="s">
        <v>2122</v>
      </c>
      <c r="D276" s="15" t="n">
        <v>33</v>
      </c>
      <c r="E276" s="15" t="s">
        <v>2123</v>
      </c>
      <c r="F276" s="15" t="n">
        <v>1</v>
      </c>
      <c r="G276" s="15" t="s">
        <v>141</v>
      </c>
      <c r="H276" s="15" t="s">
        <v>142</v>
      </c>
      <c r="I276" s="3" t="s">
        <v>2130</v>
      </c>
      <c r="J276" s="3" t="s">
        <v>2131</v>
      </c>
      <c r="K276" s="15" t="s">
        <v>145</v>
      </c>
      <c r="L276" s="16" t="s">
        <v>7</v>
      </c>
      <c r="M276" s="15" t="s">
        <v>68</v>
      </c>
      <c r="N276" s="15" t="s">
        <v>82</v>
      </c>
      <c r="O276" s="15" t="s">
        <v>192</v>
      </c>
      <c r="P276" s="15" t="s">
        <v>135</v>
      </c>
      <c r="Q276" s="15" t="s">
        <v>307</v>
      </c>
      <c r="R276" s="15" t="s">
        <v>135</v>
      </c>
      <c r="S276" s="15"/>
      <c r="T276" s="15"/>
      <c r="U276" s="3" t="s">
        <v>2132</v>
      </c>
      <c r="V276" s="3" t="s">
        <v>2133</v>
      </c>
      <c r="W276" s="3"/>
      <c r="X276" s="3" t="s">
        <v>2134</v>
      </c>
      <c r="Y276" s="15" t="n">
        <v>0</v>
      </c>
      <c r="Z276" s="15" t="n">
        <v>1</v>
      </c>
      <c r="AA276" s="15" t="n">
        <v>0</v>
      </c>
      <c r="AB276" s="15" t="n">
        <v>1</v>
      </c>
      <c r="AC276" s="15" t="n">
        <v>0</v>
      </c>
      <c r="AD276" s="15" t="n">
        <v>0</v>
      </c>
      <c r="AE276" s="15" t="n">
        <v>0</v>
      </c>
      <c r="AF276" s="15" t="n">
        <v>1</v>
      </c>
      <c r="AG276" s="15" t="n">
        <v>0</v>
      </c>
      <c r="AH276" s="15" t="n">
        <v>0</v>
      </c>
    </row>
    <row r="277" customFormat="false" ht="57.45" hidden="false" customHeight="false" outlineLevel="0" collapsed="false">
      <c r="A277" s="15" t="s">
        <v>2135</v>
      </c>
      <c r="B277" s="15" t="s">
        <v>37</v>
      </c>
      <c r="C277" s="15" t="s">
        <v>2122</v>
      </c>
      <c r="D277" s="15" t="n">
        <v>33</v>
      </c>
      <c r="E277" s="15" t="s">
        <v>2123</v>
      </c>
      <c r="F277" s="15" t="n">
        <v>2</v>
      </c>
      <c r="G277" s="15" t="s">
        <v>152</v>
      </c>
      <c r="H277" s="15" t="s">
        <v>142</v>
      </c>
      <c r="I277" s="3" t="s">
        <v>2136</v>
      </c>
      <c r="J277" s="3" t="s">
        <v>2137</v>
      </c>
      <c r="K277" s="15" t="s">
        <v>133</v>
      </c>
      <c r="L277" s="16" t="s">
        <v>7</v>
      </c>
      <c r="M277" s="15" t="s">
        <v>68</v>
      </c>
      <c r="N277" s="15" t="s">
        <v>82</v>
      </c>
      <c r="O277" s="15" t="s">
        <v>2138</v>
      </c>
      <c r="P277" s="15" t="s">
        <v>135</v>
      </c>
      <c r="Q277" s="15" t="s">
        <v>307</v>
      </c>
      <c r="R277" s="15" t="s">
        <v>135</v>
      </c>
      <c r="S277" s="15"/>
      <c r="T277" s="15"/>
      <c r="U277" s="3" t="s">
        <v>2139</v>
      </c>
      <c r="V277" s="3" t="s">
        <v>2140</v>
      </c>
      <c r="W277" s="3"/>
      <c r="X277" s="3" t="s">
        <v>2141</v>
      </c>
      <c r="Y277" s="15" t="n">
        <v>0</v>
      </c>
      <c r="Z277" s="15" t="n">
        <v>1</v>
      </c>
      <c r="AA277" s="15" t="n">
        <v>1</v>
      </c>
      <c r="AB277" s="15" t="n">
        <v>1</v>
      </c>
      <c r="AC277" s="15" t="n">
        <v>0</v>
      </c>
      <c r="AD277" s="15" t="n">
        <v>0</v>
      </c>
      <c r="AE277" s="15" t="n">
        <v>0</v>
      </c>
      <c r="AF277" s="15" t="n">
        <v>1</v>
      </c>
      <c r="AG277" s="15" t="n">
        <v>0</v>
      </c>
      <c r="AH277" s="15" t="n">
        <v>0</v>
      </c>
    </row>
    <row r="278" customFormat="false" ht="46.25" hidden="false" customHeight="false" outlineLevel="0" collapsed="false">
      <c r="A278" s="15" t="s">
        <v>2142</v>
      </c>
      <c r="B278" s="15" t="s">
        <v>37</v>
      </c>
      <c r="C278" s="15" t="s">
        <v>2122</v>
      </c>
      <c r="D278" s="15" t="n">
        <v>35</v>
      </c>
      <c r="E278" s="15" t="s">
        <v>2143</v>
      </c>
      <c r="F278" s="15" t="n">
        <v>0</v>
      </c>
      <c r="G278" s="15" t="s">
        <v>129</v>
      </c>
      <c r="H278" s="15" t="s">
        <v>130</v>
      </c>
      <c r="I278" s="3" t="s">
        <v>2144</v>
      </c>
      <c r="J278" s="3" t="s">
        <v>2145</v>
      </c>
      <c r="K278" s="15" t="s">
        <v>133</v>
      </c>
      <c r="L278" s="16" t="s">
        <v>7</v>
      </c>
      <c r="M278" s="15" t="s">
        <v>68</v>
      </c>
      <c r="N278" s="15" t="s">
        <v>84</v>
      </c>
      <c r="O278" s="15" t="s">
        <v>529</v>
      </c>
      <c r="P278" s="15" t="s">
        <v>185</v>
      </c>
      <c r="Q278" s="15" t="s">
        <v>129</v>
      </c>
      <c r="R278" s="15" t="s">
        <v>135</v>
      </c>
      <c r="S278" s="15"/>
      <c r="T278" s="15"/>
      <c r="U278" s="3" t="s">
        <v>2146</v>
      </c>
      <c r="V278" s="3" t="s">
        <v>2147</v>
      </c>
      <c r="W278" s="3" t="s">
        <v>2148</v>
      </c>
      <c r="X278" s="3" t="s">
        <v>2149</v>
      </c>
      <c r="Y278" s="15" t="n">
        <v>0</v>
      </c>
      <c r="Z278" s="15" t="n">
        <v>0</v>
      </c>
      <c r="AA278" s="15" t="n">
        <v>0</v>
      </c>
      <c r="AB278" s="15" t="n">
        <v>1</v>
      </c>
      <c r="AC278" s="15" t="n">
        <v>0</v>
      </c>
      <c r="AD278" s="15" t="n">
        <v>0</v>
      </c>
      <c r="AE278" s="15" t="n">
        <v>0</v>
      </c>
      <c r="AF278" s="15" t="n">
        <v>0</v>
      </c>
      <c r="AG278" s="15" t="n">
        <v>0</v>
      </c>
      <c r="AH278" s="15" t="n">
        <v>1</v>
      </c>
    </row>
    <row r="279" customFormat="false" ht="46.25" hidden="false" customHeight="false" outlineLevel="0" collapsed="false">
      <c r="A279" s="15" t="s">
        <v>2150</v>
      </c>
      <c r="B279" s="15" t="s">
        <v>37</v>
      </c>
      <c r="C279" s="15" t="s">
        <v>2122</v>
      </c>
      <c r="D279" s="15" t="n">
        <v>35</v>
      </c>
      <c r="E279" s="15" t="s">
        <v>2143</v>
      </c>
      <c r="F279" s="15" t="n">
        <v>1</v>
      </c>
      <c r="G279" s="15" t="s">
        <v>141</v>
      </c>
      <c r="H279" s="15" t="s">
        <v>142</v>
      </c>
      <c r="I279" s="3" t="s">
        <v>2151</v>
      </c>
      <c r="J279" s="3" t="s">
        <v>2152</v>
      </c>
      <c r="K279" s="15" t="s">
        <v>145</v>
      </c>
      <c r="L279" s="16" t="s">
        <v>7</v>
      </c>
      <c r="M279" s="15" t="s">
        <v>68</v>
      </c>
      <c r="N279" s="15" t="s">
        <v>82</v>
      </c>
      <c r="O279" s="15" t="s">
        <v>239</v>
      </c>
      <c r="P279" s="15" t="s">
        <v>135</v>
      </c>
      <c r="Q279" s="15" t="s">
        <v>129</v>
      </c>
      <c r="R279" s="15" t="s">
        <v>135</v>
      </c>
      <c r="S279" s="15"/>
      <c r="T279" s="15"/>
      <c r="U279" s="3" t="s">
        <v>2153</v>
      </c>
      <c r="V279" s="3" t="s">
        <v>2154</v>
      </c>
      <c r="W279" s="3" t="s">
        <v>2155</v>
      </c>
      <c r="X279" s="3" t="s">
        <v>2156</v>
      </c>
      <c r="Y279" s="15" t="n">
        <v>0</v>
      </c>
      <c r="Z279" s="15" t="n">
        <v>1</v>
      </c>
      <c r="AA279" s="15" t="n">
        <v>0</v>
      </c>
      <c r="AB279" s="15" t="n">
        <v>0</v>
      </c>
      <c r="AC279" s="15" t="n">
        <v>0</v>
      </c>
      <c r="AD279" s="15" t="n">
        <v>0</v>
      </c>
      <c r="AE279" s="15" t="n">
        <v>0</v>
      </c>
      <c r="AF279" s="15" t="n">
        <v>1</v>
      </c>
      <c r="AG279" s="15" t="n">
        <v>0</v>
      </c>
      <c r="AH279" s="15" t="n">
        <v>1</v>
      </c>
    </row>
    <row r="280" customFormat="false" ht="46.25" hidden="false" customHeight="false" outlineLevel="0" collapsed="false">
      <c r="A280" s="15" t="s">
        <v>2157</v>
      </c>
      <c r="B280" s="15" t="s">
        <v>37</v>
      </c>
      <c r="C280" s="15" t="s">
        <v>2122</v>
      </c>
      <c r="D280" s="15" t="n">
        <v>35</v>
      </c>
      <c r="E280" s="15" t="s">
        <v>2143</v>
      </c>
      <c r="F280" s="15" t="n">
        <v>2</v>
      </c>
      <c r="G280" s="15" t="s">
        <v>197</v>
      </c>
      <c r="H280" s="15" t="s">
        <v>142</v>
      </c>
      <c r="I280" s="3" t="s">
        <v>2158</v>
      </c>
      <c r="J280" s="3" t="s">
        <v>2159</v>
      </c>
      <c r="K280" s="15" t="s">
        <v>133</v>
      </c>
      <c r="L280" s="16" t="s">
        <v>7</v>
      </c>
      <c r="M280" s="15" t="s">
        <v>68</v>
      </c>
      <c r="N280" s="15" t="s">
        <v>82</v>
      </c>
      <c r="O280" s="15" t="s">
        <v>2160</v>
      </c>
      <c r="P280" s="15" t="s">
        <v>135</v>
      </c>
      <c r="Q280" s="15" t="s">
        <v>129</v>
      </c>
      <c r="R280" s="15" t="s">
        <v>135</v>
      </c>
      <c r="S280" s="15"/>
      <c r="T280" s="15"/>
      <c r="U280" s="3" t="s">
        <v>2161</v>
      </c>
      <c r="V280" s="3" t="s">
        <v>2162</v>
      </c>
      <c r="W280" s="3" t="s">
        <v>2163</v>
      </c>
      <c r="X280" s="3" t="s">
        <v>2164</v>
      </c>
      <c r="Y280" s="15" t="n">
        <v>0</v>
      </c>
      <c r="Z280" s="15" t="n">
        <v>1</v>
      </c>
      <c r="AA280" s="15" t="n">
        <v>0</v>
      </c>
      <c r="AB280" s="15" t="n">
        <v>1</v>
      </c>
      <c r="AC280" s="15" t="n">
        <v>0</v>
      </c>
      <c r="AD280" s="15" t="n">
        <v>0</v>
      </c>
      <c r="AE280" s="15" t="n">
        <v>0</v>
      </c>
      <c r="AF280" s="15" t="n">
        <v>1</v>
      </c>
      <c r="AG280" s="15" t="n">
        <v>0</v>
      </c>
      <c r="AH280" s="15" t="n">
        <v>1</v>
      </c>
    </row>
    <row r="281" customFormat="false" ht="35.05" hidden="false" customHeight="false" outlineLevel="0" collapsed="false">
      <c r="A281" s="15" t="s">
        <v>2165</v>
      </c>
      <c r="B281" s="15" t="s">
        <v>37</v>
      </c>
      <c r="C281" s="15" t="s">
        <v>2122</v>
      </c>
      <c r="D281" s="15" t="n">
        <v>36</v>
      </c>
      <c r="E281" s="15" t="s">
        <v>2166</v>
      </c>
      <c r="F281" s="15" t="n">
        <v>0</v>
      </c>
      <c r="G281" s="15" t="s">
        <v>129</v>
      </c>
      <c r="H281" s="15" t="s">
        <v>130</v>
      </c>
      <c r="I281" s="3" t="s">
        <v>2167</v>
      </c>
      <c r="J281" s="3" t="s">
        <v>2168</v>
      </c>
      <c r="K281" s="15" t="s">
        <v>133</v>
      </c>
      <c r="L281" s="16" t="s">
        <v>7</v>
      </c>
      <c r="M281" s="15" t="s">
        <v>68</v>
      </c>
      <c r="N281" s="15" t="s">
        <v>82</v>
      </c>
      <c r="O281" s="15" t="s">
        <v>176</v>
      </c>
      <c r="P281" s="15" t="s">
        <v>135</v>
      </c>
      <c r="Q281" s="15" t="s">
        <v>307</v>
      </c>
      <c r="R281" s="15" t="s">
        <v>135</v>
      </c>
      <c r="S281" s="15"/>
      <c r="T281" s="15"/>
      <c r="U281" s="3" t="s">
        <v>2169</v>
      </c>
      <c r="V281" s="3" t="s">
        <v>2170</v>
      </c>
      <c r="W281" s="3" t="s">
        <v>2171</v>
      </c>
      <c r="X281" s="3" t="s">
        <v>2172</v>
      </c>
      <c r="Y281" s="15" t="n">
        <v>0</v>
      </c>
      <c r="Z281" s="15" t="n">
        <v>1</v>
      </c>
      <c r="AA281" s="15" t="n">
        <v>0</v>
      </c>
      <c r="AB281" s="15" t="n">
        <v>0</v>
      </c>
      <c r="AC281" s="15" t="n">
        <v>1</v>
      </c>
      <c r="AD281" s="15" t="n">
        <v>0</v>
      </c>
      <c r="AE281" s="15" t="n">
        <v>0</v>
      </c>
      <c r="AF281" s="15" t="n">
        <v>1</v>
      </c>
      <c r="AG281" s="15" t="n">
        <v>0</v>
      </c>
      <c r="AH281" s="15" t="n">
        <v>0</v>
      </c>
    </row>
    <row r="282" customFormat="false" ht="46.25" hidden="false" customHeight="false" outlineLevel="0" collapsed="false">
      <c r="A282" s="15" t="s">
        <v>2173</v>
      </c>
      <c r="B282" s="15" t="s">
        <v>37</v>
      </c>
      <c r="C282" s="15" t="s">
        <v>2122</v>
      </c>
      <c r="D282" s="15" t="n">
        <v>36</v>
      </c>
      <c r="E282" s="15" t="s">
        <v>2166</v>
      </c>
      <c r="F282" s="15" t="n">
        <v>1</v>
      </c>
      <c r="G282" s="15" t="s">
        <v>141</v>
      </c>
      <c r="H282" s="15" t="s">
        <v>142</v>
      </c>
      <c r="I282" s="3" t="s">
        <v>2174</v>
      </c>
      <c r="J282" s="3" t="s">
        <v>2175</v>
      </c>
      <c r="K282" s="15" t="s">
        <v>145</v>
      </c>
      <c r="L282" s="16" t="s">
        <v>7</v>
      </c>
      <c r="M282" s="15" t="s">
        <v>68</v>
      </c>
      <c r="N282" s="15" t="s">
        <v>82</v>
      </c>
      <c r="O282" s="15" t="s">
        <v>2023</v>
      </c>
      <c r="P282" s="15" t="s">
        <v>135</v>
      </c>
      <c r="Q282" s="15" t="s">
        <v>307</v>
      </c>
      <c r="R282" s="15" t="s">
        <v>135</v>
      </c>
      <c r="S282" s="15"/>
      <c r="T282" s="15"/>
      <c r="U282" s="3" t="s">
        <v>2176</v>
      </c>
      <c r="V282" s="3" t="s">
        <v>2177</v>
      </c>
      <c r="W282" s="3" t="s">
        <v>2178</v>
      </c>
      <c r="X282" s="3" t="s">
        <v>2179</v>
      </c>
      <c r="Y282" s="15" t="n">
        <v>0</v>
      </c>
      <c r="Z282" s="15" t="n">
        <v>1</v>
      </c>
      <c r="AA282" s="15" t="n">
        <v>1</v>
      </c>
      <c r="AB282" s="15" t="n">
        <v>0</v>
      </c>
      <c r="AC282" s="15" t="n">
        <v>1</v>
      </c>
      <c r="AD282" s="15" t="n">
        <v>0</v>
      </c>
      <c r="AE282" s="15" t="n">
        <v>0</v>
      </c>
      <c r="AF282" s="15" t="n">
        <v>1</v>
      </c>
      <c r="AG282" s="15" t="n">
        <v>0</v>
      </c>
      <c r="AH282" s="15" t="n">
        <v>0</v>
      </c>
    </row>
    <row r="283" customFormat="false" ht="46.25" hidden="false" customHeight="false" outlineLevel="0" collapsed="false">
      <c r="A283" s="15" t="s">
        <v>2180</v>
      </c>
      <c r="B283" s="15" t="s">
        <v>37</v>
      </c>
      <c r="C283" s="15" t="s">
        <v>2122</v>
      </c>
      <c r="D283" s="15" t="n">
        <v>36</v>
      </c>
      <c r="E283" s="15" t="s">
        <v>2166</v>
      </c>
      <c r="F283" s="15" t="n">
        <v>2</v>
      </c>
      <c r="G283" s="15" t="s">
        <v>152</v>
      </c>
      <c r="H283" s="15" t="s">
        <v>142</v>
      </c>
      <c r="I283" s="3" t="s">
        <v>2181</v>
      </c>
      <c r="J283" s="3" t="s">
        <v>2182</v>
      </c>
      <c r="K283" s="15" t="s">
        <v>133</v>
      </c>
      <c r="L283" s="16" t="s">
        <v>7</v>
      </c>
      <c r="M283" s="15" t="s">
        <v>68</v>
      </c>
      <c r="N283" s="15" t="s">
        <v>82</v>
      </c>
      <c r="O283" s="15" t="s">
        <v>176</v>
      </c>
      <c r="P283" s="15" t="s">
        <v>135</v>
      </c>
      <c r="Q283" s="15" t="s">
        <v>136</v>
      </c>
      <c r="R283" s="15" t="s">
        <v>135</v>
      </c>
      <c r="S283" s="15"/>
      <c r="T283" s="15"/>
      <c r="U283" s="3" t="s">
        <v>2183</v>
      </c>
      <c r="V283" s="3" t="s">
        <v>2184</v>
      </c>
      <c r="W283" s="3" t="s">
        <v>2185</v>
      </c>
      <c r="X283" s="3" t="s">
        <v>2186</v>
      </c>
      <c r="Y283" s="15" t="n">
        <v>0</v>
      </c>
      <c r="Z283" s="15" t="n">
        <v>1</v>
      </c>
      <c r="AA283" s="15" t="n">
        <v>0</v>
      </c>
      <c r="AB283" s="15" t="n">
        <v>0</v>
      </c>
      <c r="AC283" s="15" t="n">
        <v>1</v>
      </c>
      <c r="AD283" s="15" t="n">
        <v>0</v>
      </c>
      <c r="AE283" s="15" t="n">
        <v>0</v>
      </c>
      <c r="AF283" s="15" t="n">
        <v>1</v>
      </c>
      <c r="AG283" s="15" t="n">
        <v>0</v>
      </c>
      <c r="AH283" s="15" t="n">
        <v>0</v>
      </c>
    </row>
    <row r="284" customFormat="false" ht="35.05" hidden="false" customHeight="false" outlineLevel="0" collapsed="false">
      <c r="A284" s="15" t="s">
        <v>2187</v>
      </c>
      <c r="B284" s="15" t="s">
        <v>37</v>
      </c>
      <c r="C284" s="15" t="s">
        <v>2122</v>
      </c>
      <c r="D284" s="15" t="n">
        <v>39</v>
      </c>
      <c r="E284" s="15" t="s">
        <v>2188</v>
      </c>
      <c r="F284" s="15" t="n">
        <v>0</v>
      </c>
      <c r="G284" s="15" t="s">
        <v>129</v>
      </c>
      <c r="H284" s="15" t="s">
        <v>130</v>
      </c>
      <c r="I284" s="3" t="s">
        <v>2189</v>
      </c>
      <c r="J284" s="3" t="s">
        <v>2190</v>
      </c>
      <c r="K284" s="15" t="s">
        <v>133</v>
      </c>
      <c r="L284" s="16" t="s">
        <v>7</v>
      </c>
      <c r="M284" s="15" t="s">
        <v>68</v>
      </c>
      <c r="N284" s="15" t="s">
        <v>82</v>
      </c>
      <c r="O284" s="15" t="s">
        <v>606</v>
      </c>
      <c r="P284" s="15" t="s">
        <v>185</v>
      </c>
      <c r="Q284" s="15" t="s">
        <v>129</v>
      </c>
      <c r="R284" s="15" t="s">
        <v>135</v>
      </c>
      <c r="S284" s="15"/>
      <c r="T284" s="15"/>
      <c r="U284" s="3" t="s">
        <v>2191</v>
      </c>
      <c r="V284" s="3" t="s">
        <v>2192</v>
      </c>
      <c r="W284" s="3" t="s">
        <v>2193</v>
      </c>
      <c r="X284" s="3" t="s">
        <v>2194</v>
      </c>
      <c r="Y284" s="15" t="n">
        <v>0</v>
      </c>
      <c r="Z284" s="15" t="n">
        <v>1</v>
      </c>
      <c r="AA284" s="15" t="n">
        <v>0</v>
      </c>
      <c r="AB284" s="15" t="n">
        <v>0</v>
      </c>
      <c r="AC284" s="15" t="n">
        <v>1</v>
      </c>
      <c r="AD284" s="15" t="n">
        <v>0</v>
      </c>
      <c r="AE284" s="15" t="n">
        <v>0</v>
      </c>
      <c r="AF284" s="15" t="n">
        <v>0</v>
      </c>
      <c r="AG284" s="15" t="n">
        <v>0</v>
      </c>
      <c r="AH284" s="15" t="n">
        <v>0</v>
      </c>
    </row>
    <row r="285" customFormat="false" ht="35.05" hidden="false" customHeight="false" outlineLevel="0" collapsed="false">
      <c r="A285" s="15" t="s">
        <v>2195</v>
      </c>
      <c r="B285" s="15" t="s">
        <v>37</v>
      </c>
      <c r="C285" s="15" t="s">
        <v>2122</v>
      </c>
      <c r="D285" s="15" t="n">
        <v>39</v>
      </c>
      <c r="E285" s="15" t="s">
        <v>2188</v>
      </c>
      <c r="F285" s="15" t="n">
        <v>1</v>
      </c>
      <c r="G285" s="15" t="s">
        <v>197</v>
      </c>
      <c r="H285" s="15" t="s">
        <v>142</v>
      </c>
      <c r="I285" s="3" t="s">
        <v>2196</v>
      </c>
      <c r="J285" s="3" t="s">
        <v>2197</v>
      </c>
      <c r="K285" s="15" t="s">
        <v>145</v>
      </c>
      <c r="L285" s="16" t="s">
        <v>7</v>
      </c>
      <c r="M285" s="15" t="s">
        <v>68</v>
      </c>
      <c r="N285" s="15" t="s">
        <v>82</v>
      </c>
      <c r="O285" s="15" t="s">
        <v>549</v>
      </c>
      <c r="P285" s="15" t="s">
        <v>185</v>
      </c>
      <c r="Q285" s="15" t="s">
        <v>197</v>
      </c>
      <c r="R285" s="15" t="s">
        <v>135</v>
      </c>
      <c r="S285" s="15"/>
      <c r="T285" s="15"/>
      <c r="U285" s="3" t="s">
        <v>2198</v>
      </c>
      <c r="V285" s="3" t="s">
        <v>2199</v>
      </c>
      <c r="W285" s="3" t="s">
        <v>2200</v>
      </c>
      <c r="X285" s="3" t="s">
        <v>2201</v>
      </c>
      <c r="Y285" s="15" t="n">
        <v>0</v>
      </c>
      <c r="Z285" s="15" t="n">
        <v>1</v>
      </c>
      <c r="AA285" s="15" t="n">
        <v>0</v>
      </c>
      <c r="AB285" s="15" t="n">
        <v>0</v>
      </c>
      <c r="AC285" s="15" t="n">
        <v>0</v>
      </c>
      <c r="AD285" s="15" t="n">
        <v>0</v>
      </c>
      <c r="AE285" s="15" t="n">
        <v>0</v>
      </c>
      <c r="AF285" s="15" t="n">
        <v>0</v>
      </c>
      <c r="AG285" s="15" t="n">
        <v>0</v>
      </c>
      <c r="AH285" s="15" t="n">
        <v>1</v>
      </c>
    </row>
    <row r="286" customFormat="false" ht="46.25" hidden="false" customHeight="false" outlineLevel="0" collapsed="false">
      <c r="A286" s="15" t="s">
        <v>2202</v>
      </c>
      <c r="B286" s="15" t="s">
        <v>37</v>
      </c>
      <c r="C286" s="15" t="s">
        <v>2122</v>
      </c>
      <c r="D286" s="15" t="n">
        <v>39</v>
      </c>
      <c r="E286" s="15" t="s">
        <v>2188</v>
      </c>
      <c r="F286" s="15" t="n">
        <v>2</v>
      </c>
      <c r="G286" s="15" t="s">
        <v>141</v>
      </c>
      <c r="H286" s="15" t="s">
        <v>142</v>
      </c>
      <c r="I286" s="3" t="s">
        <v>2203</v>
      </c>
      <c r="J286" s="3" t="s">
        <v>2204</v>
      </c>
      <c r="K286" s="15" t="s">
        <v>133</v>
      </c>
      <c r="L286" s="17" t="s">
        <v>9</v>
      </c>
      <c r="M286" s="15" t="s">
        <v>70</v>
      </c>
      <c r="N286" s="15" t="s">
        <v>81</v>
      </c>
      <c r="O286" s="15" t="s">
        <v>340</v>
      </c>
      <c r="P286" s="15" t="s">
        <v>135</v>
      </c>
      <c r="Q286" s="15" t="s">
        <v>136</v>
      </c>
      <c r="R286" s="15" t="s">
        <v>135</v>
      </c>
      <c r="S286" s="15" t="s">
        <v>341</v>
      </c>
      <c r="T286" s="15" t="s">
        <v>327</v>
      </c>
      <c r="U286" s="3" t="s">
        <v>2205</v>
      </c>
      <c r="V286" s="3" t="s">
        <v>2206</v>
      </c>
      <c r="W286" s="3"/>
      <c r="X286" s="3"/>
      <c r="Y286" s="15" t="n">
        <v>1</v>
      </c>
      <c r="Z286" s="15" t="n">
        <v>0</v>
      </c>
      <c r="AA286" s="15" t="n">
        <v>0</v>
      </c>
      <c r="AB286" s="15" t="n">
        <v>0</v>
      </c>
      <c r="AC286" s="15" t="n">
        <v>0</v>
      </c>
      <c r="AD286" s="15" t="n">
        <v>0</v>
      </c>
      <c r="AE286" s="15" t="n">
        <v>0</v>
      </c>
      <c r="AF286" s="15" t="n">
        <v>0</v>
      </c>
      <c r="AG286" s="15" t="n">
        <v>0</v>
      </c>
      <c r="AH286" s="15" t="n">
        <v>1</v>
      </c>
    </row>
    <row r="287" customFormat="false" ht="57.45" hidden="false" customHeight="false" outlineLevel="0" collapsed="false">
      <c r="A287" s="15" t="s">
        <v>2207</v>
      </c>
      <c r="B287" s="15" t="s">
        <v>37</v>
      </c>
      <c r="C287" s="15" t="s">
        <v>2122</v>
      </c>
      <c r="D287" s="15" t="n">
        <v>49</v>
      </c>
      <c r="E287" s="15" t="s">
        <v>2208</v>
      </c>
      <c r="F287" s="15" t="n">
        <v>0</v>
      </c>
      <c r="G287" s="15" t="s">
        <v>152</v>
      </c>
      <c r="H287" s="15" t="s">
        <v>142</v>
      </c>
      <c r="I287" s="3" t="s">
        <v>2209</v>
      </c>
      <c r="J287" s="3" t="s">
        <v>2210</v>
      </c>
      <c r="K287" s="15" t="s">
        <v>133</v>
      </c>
      <c r="L287" s="16" t="s">
        <v>7</v>
      </c>
      <c r="M287" s="15" t="s">
        <v>68</v>
      </c>
      <c r="N287" s="15" t="s">
        <v>82</v>
      </c>
      <c r="O287" s="15" t="s">
        <v>2211</v>
      </c>
      <c r="P287" s="15" t="s">
        <v>185</v>
      </c>
      <c r="Q287" s="15" t="s">
        <v>152</v>
      </c>
      <c r="R287" s="15" t="s">
        <v>135</v>
      </c>
      <c r="S287" s="15"/>
      <c r="T287" s="15"/>
      <c r="U287" s="3" t="s">
        <v>2212</v>
      </c>
      <c r="V287" s="3" t="s">
        <v>2213</v>
      </c>
      <c r="W287" s="3" t="s">
        <v>2214</v>
      </c>
      <c r="X287" s="3" t="s">
        <v>2215</v>
      </c>
      <c r="Y287" s="15" t="n">
        <v>0</v>
      </c>
      <c r="Z287" s="15" t="n">
        <v>1</v>
      </c>
      <c r="AA287" s="15" t="n">
        <v>0</v>
      </c>
      <c r="AB287" s="15" t="n">
        <v>0</v>
      </c>
      <c r="AC287" s="15" t="n">
        <v>0</v>
      </c>
      <c r="AD287" s="15" t="n">
        <v>1</v>
      </c>
      <c r="AE287" s="15" t="n">
        <v>1</v>
      </c>
      <c r="AF287" s="15" t="n">
        <v>0</v>
      </c>
      <c r="AG287" s="15" t="n">
        <v>0</v>
      </c>
      <c r="AH287" s="15" t="n">
        <v>1</v>
      </c>
    </row>
    <row r="288" customFormat="false" ht="46.25" hidden="false" customHeight="false" outlineLevel="0" collapsed="false">
      <c r="A288" s="15" t="s">
        <v>2216</v>
      </c>
      <c r="B288" s="15" t="s">
        <v>37</v>
      </c>
      <c r="C288" s="15" t="s">
        <v>2122</v>
      </c>
      <c r="D288" s="15" t="n">
        <v>49</v>
      </c>
      <c r="E288" s="15" t="s">
        <v>2208</v>
      </c>
      <c r="F288" s="15" t="n">
        <v>1</v>
      </c>
      <c r="G288" s="15" t="s">
        <v>129</v>
      </c>
      <c r="H288" s="15" t="s">
        <v>130</v>
      </c>
      <c r="I288" s="3" t="s">
        <v>2217</v>
      </c>
      <c r="J288" s="3" t="s">
        <v>2218</v>
      </c>
      <c r="K288" s="15" t="s">
        <v>145</v>
      </c>
      <c r="L288" s="16" t="s">
        <v>7</v>
      </c>
      <c r="M288" s="15" t="s">
        <v>68</v>
      </c>
      <c r="N288" s="15" t="s">
        <v>82</v>
      </c>
      <c r="O288" s="15" t="s">
        <v>1012</v>
      </c>
      <c r="P288" s="15" t="s">
        <v>135</v>
      </c>
      <c r="Q288" s="15" t="s">
        <v>197</v>
      </c>
      <c r="R288" s="15" t="s">
        <v>135</v>
      </c>
      <c r="S288" s="15"/>
      <c r="T288" s="15"/>
      <c r="U288" s="3" t="s">
        <v>2219</v>
      </c>
      <c r="V288" s="3" t="s">
        <v>2220</v>
      </c>
      <c r="W288" s="3" t="s">
        <v>2221</v>
      </c>
      <c r="X288" s="3" t="s">
        <v>2222</v>
      </c>
      <c r="Y288" s="15" t="n">
        <v>0</v>
      </c>
      <c r="Z288" s="15" t="n">
        <v>1</v>
      </c>
      <c r="AA288" s="15" t="n">
        <v>0</v>
      </c>
      <c r="AB288" s="15" t="n">
        <v>0</v>
      </c>
      <c r="AC288" s="15" t="n">
        <v>1</v>
      </c>
      <c r="AD288" s="15" t="n">
        <v>1</v>
      </c>
      <c r="AE288" s="15" t="n">
        <v>0</v>
      </c>
      <c r="AF288" s="15" t="n">
        <v>1</v>
      </c>
      <c r="AG288" s="15" t="n">
        <v>0</v>
      </c>
      <c r="AH288" s="15" t="n">
        <v>0</v>
      </c>
    </row>
    <row r="289" customFormat="false" ht="46.25" hidden="false" customHeight="false" outlineLevel="0" collapsed="false">
      <c r="A289" s="15" t="s">
        <v>2223</v>
      </c>
      <c r="B289" s="15" t="s">
        <v>37</v>
      </c>
      <c r="C289" s="15" t="s">
        <v>2122</v>
      </c>
      <c r="D289" s="15" t="n">
        <v>49</v>
      </c>
      <c r="E289" s="15" t="s">
        <v>2208</v>
      </c>
      <c r="F289" s="15" t="n">
        <v>2</v>
      </c>
      <c r="G289" s="15" t="s">
        <v>197</v>
      </c>
      <c r="H289" s="15" t="s">
        <v>142</v>
      </c>
      <c r="I289" s="3" t="s">
        <v>2224</v>
      </c>
      <c r="J289" s="3" t="s">
        <v>2225</v>
      </c>
      <c r="K289" s="15" t="s">
        <v>133</v>
      </c>
      <c r="L289" s="16" t="s">
        <v>7</v>
      </c>
      <c r="M289" s="15" t="s">
        <v>68</v>
      </c>
      <c r="N289" s="15" t="s">
        <v>82</v>
      </c>
      <c r="O289" s="15" t="s">
        <v>2104</v>
      </c>
      <c r="P289" s="15" t="s">
        <v>135</v>
      </c>
      <c r="Q289" s="15" t="s">
        <v>141</v>
      </c>
      <c r="R289" s="15" t="s">
        <v>135</v>
      </c>
      <c r="S289" s="15"/>
      <c r="T289" s="15"/>
      <c r="U289" s="3" t="s">
        <v>2226</v>
      </c>
      <c r="V289" s="3" t="s">
        <v>2227</v>
      </c>
      <c r="W289" s="3" t="s">
        <v>2228</v>
      </c>
      <c r="X289" s="3" t="s">
        <v>2229</v>
      </c>
      <c r="Y289" s="15" t="n">
        <v>0</v>
      </c>
      <c r="Z289" s="15" t="n">
        <v>1</v>
      </c>
      <c r="AA289" s="15" t="n">
        <v>0</v>
      </c>
      <c r="AB289" s="15" t="n">
        <v>1</v>
      </c>
      <c r="AC289" s="15" t="n">
        <v>0</v>
      </c>
      <c r="AD289" s="15" t="n">
        <v>1</v>
      </c>
      <c r="AE289" s="15" t="n">
        <v>0</v>
      </c>
      <c r="AF289" s="15" t="n">
        <v>1</v>
      </c>
      <c r="AG289" s="15" t="n">
        <v>0</v>
      </c>
      <c r="AH289" s="15" t="n">
        <v>0</v>
      </c>
    </row>
    <row r="290" customFormat="false" ht="57.45" hidden="false" customHeight="false" outlineLevel="0" collapsed="false">
      <c r="A290" s="15" t="s">
        <v>2230</v>
      </c>
      <c r="B290" s="15" t="s">
        <v>37</v>
      </c>
      <c r="C290" s="15" t="s">
        <v>2122</v>
      </c>
      <c r="D290" s="15" t="n">
        <v>81</v>
      </c>
      <c r="E290" s="15" t="s">
        <v>2231</v>
      </c>
      <c r="F290" s="15" t="n">
        <v>0</v>
      </c>
      <c r="G290" s="15" t="s">
        <v>129</v>
      </c>
      <c r="H290" s="15" t="s">
        <v>130</v>
      </c>
      <c r="I290" s="3" t="s">
        <v>2232</v>
      </c>
      <c r="J290" s="3" t="s">
        <v>2233</v>
      </c>
      <c r="K290" s="15" t="s">
        <v>133</v>
      </c>
      <c r="L290" s="16" t="s">
        <v>7</v>
      </c>
      <c r="M290" s="15" t="s">
        <v>66</v>
      </c>
      <c r="N290" s="15" t="s">
        <v>87</v>
      </c>
      <c r="O290" s="15" t="s">
        <v>2234</v>
      </c>
      <c r="P290" s="15" t="s">
        <v>185</v>
      </c>
      <c r="Q290" s="15" t="s">
        <v>129</v>
      </c>
      <c r="R290" s="15" t="s">
        <v>135</v>
      </c>
      <c r="S290" s="15"/>
      <c r="T290" s="15"/>
      <c r="U290" s="3" t="s">
        <v>2235</v>
      </c>
      <c r="V290" s="3" t="s">
        <v>2236</v>
      </c>
      <c r="W290" s="3" t="s">
        <v>2237</v>
      </c>
      <c r="X290" s="3" t="s">
        <v>2238</v>
      </c>
      <c r="Y290" s="15" t="n">
        <v>0</v>
      </c>
      <c r="Z290" s="15" t="n">
        <v>0</v>
      </c>
      <c r="AA290" s="15" t="n">
        <v>0</v>
      </c>
      <c r="AB290" s="15" t="n">
        <v>0</v>
      </c>
      <c r="AC290" s="15" t="n">
        <v>0</v>
      </c>
      <c r="AD290" s="15" t="n">
        <v>0</v>
      </c>
      <c r="AE290" s="15" t="n">
        <v>1</v>
      </c>
      <c r="AF290" s="15" t="n">
        <v>0</v>
      </c>
      <c r="AG290" s="15" t="n">
        <v>0</v>
      </c>
      <c r="AH290" s="15" t="n">
        <v>1</v>
      </c>
    </row>
    <row r="291" customFormat="false" ht="46.25" hidden="false" customHeight="false" outlineLevel="0" collapsed="false">
      <c r="A291" s="15" t="s">
        <v>2239</v>
      </c>
      <c r="B291" s="15" t="s">
        <v>37</v>
      </c>
      <c r="C291" s="15" t="s">
        <v>2122</v>
      </c>
      <c r="D291" s="15" t="n">
        <v>81</v>
      </c>
      <c r="E291" s="15" t="s">
        <v>2231</v>
      </c>
      <c r="F291" s="15" t="n">
        <v>1</v>
      </c>
      <c r="G291" s="15" t="s">
        <v>141</v>
      </c>
      <c r="H291" s="15" t="s">
        <v>142</v>
      </c>
      <c r="I291" s="3" t="s">
        <v>2240</v>
      </c>
      <c r="J291" s="3" t="s">
        <v>2241</v>
      </c>
      <c r="K291" s="15" t="s">
        <v>145</v>
      </c>
      <c r="L291" s="16" t="s">
        <v>7</v>
      </c>
      <c r="M291" s="15" t="s">
        <v>68</v>
      </c>
      <c r="N291" s="15" t="s">
        <v>82</v>
      </c>
      <c r="O291" s="15" t="s">
        <v>2104</v>
      </c>
      <c r="P291" s="15" t="s">
        <v>135</v>
      </c>
      <c r="Q291" s="15" t="s">
        <v>307</v>
      </c>
      <c r="R291" s="15" t="s">
        <v>135</v>
      </c>
      <c r="S291" s="15"/>
      <c r="T291" s="15"/>
      <c r="U291" s="3" t="s">
        <v>2242</v>
      </c>
      <c r="V291" s="3" t="s">
        <v>2243</v>
      </c>
      <c r="W291" s="3" t="s">
        <v>2244</v>
      </c>
      <c r="X291" s="3" t="s">
        <v>2245</v>
      </c>
      <c r="Y291" s="15" t="n">
        <v>0</v>
      </c>
      <c r="Z291" s="15" t="n">
        <v>1</v>
      </c>
      <c r="AA291" s="15" t="n">
        <v>0</v>
      </c>
      <c r="AB291" s="15" t="n">
        <v>1</v>
      </c>
      <c r="AC291" s="15" t="n">
        <v>0</v>
      </c>
      <c r="AD291" s="15" t="n">
        <v>1</v>
      </c>
      <c r="AE291" s="15" t="n">
        <v>0</v>
      </c>
      <c r="AF291" s="15" t="n">
        <v>1</v>
      </c>
      <c r="AG291" s="15" t="n">
        <v>0</v>
      </c>
      <c r="AH291" s="15" t="n">
        <v>0</v>
      </c>
    </row>
    <row r="292" customFormat="false" ht="46.25" hidden="false" customHeight="false" outlineLevel="0" collapsed="false">
      <c r="A292" s="15" t="s">
        <v>2246</v>
      </c>
      <c r="B292" s="15" t="s">
        <v>37</v>
      </c>
      <c r="C292" s="15" t="s">
        <v>2122</v>
      </c>
      <c r="D292" s="15" t="n">
        <v>81</v>
      </c>
      <c r="E292" s="15" t="s">
        <v>2231</v>
      </c>
      <c r="F292" s="15" t="n">
        <v>2</v>
      </c>
      <c r="G292" s="15" t="s">
        <v>197</v>
      </c>
      <c r="H292" s="15" t="s">
        <v>142</v>
      </c>
      <c r="I292" s="3" t="s">
        <v>2247</v>
      </c>
      <c r="J292" s="3" t="s">
        <v>2248</v>
      </c>
      <c r="K292" s="15" t="s">
        <v>133</v>
      </c>
      <c r="L292" s="16" t="s">
        <v>7</v>
      </c>
      <c r="M292" s="15" t="s">
        <v>68</v>
      </c>
      <c r="N292" s="15" t="s">
        <v>82</v>
      </c>
      <c r="O292" s="15" t="s">
        <v>2249</v>
      </c>
      <c r="P292" s="15" t="s">
        <v>135</v>
      </c>
      <c r="Q292" s="15" t="s">
        <v>307</v>
      </c>
      <c r="R292" s="15" t="s">
        <v>135</v>
      </c>
      <c r="S292" s="15"/>
      <c r="T292" s="15"/>
      <c r="U292" s="3" t="s">
        <v>2250</v>
      </c>
      <c r="V292" s="3" t="s">
        <v>2251</v>
      </c>
      <c r="W292" s="3" t="s">
        <v>2252</v>
      </c>
      <c r="X292" s="3" t="s">
        <v>2253</v>
      </c>
      <c r="Y292" s="15" t="n">
        <v>0</v>
      </c>
      <c r="Z292" s="15" t="n">
        <v>1</v>
      </c>
      <c r="AA292" s="15" t="n">
        <v>0</v>
      </c>
      <c r="AB292" s="15" t="n">
        <v>1</v>
      </c>
      <c r="AC292" s="15" t="n">
        <v>0</v>
      </c>
      <c r="AD292" s="15" t="n">
        <v>0</v>
      </c>
      <c r="AE292" s="15" t="n">
        <v>0</v>
      </c>
      <c r="AF292" s="15" t="n">
        <v>1</v>
      </c>
      <c r="AG292" s="15" t="n">
        <v>0</v>
      </c>
      <c r="AH292" s="15" t="n">
        <v>1</v>
      </c>
    </row>
    <row r="293" customFormat="false" ht="46.25" hidden="false" customHeight="false" outlineLevel="0" collapsed="false">
      <c r="A293" s="15" t="s">
        <v>2254</v>
      </c>
      <c r="B293" s="15" t="s">
        <v>37</v>
      </c>
      <c r="C293" s="15" t="s">
        <v>2122</v>
      </c>
      <c r="D293" s="15" t="n">
        <v>82</v>
      </c>
      <c r="E293" s="15" t="s">
        <v>2255</v>
      </c>
      <c r="F293" s="15" t="n">
        <v>0</v>
      </c>
      <c r="G293" s="15" t="s">
        <v>152</v>
      </c>
      <c r="H293" s="15" t="s">
        <v>142</v>
      </c>
      <c r="I293" s="3" t="s">
        <v>2256</v>
      </c>
      <c r="J293" s="3" t="s">
        <v>2257</v>
      </c>
      <c r="K293" s="15" t="s">
        <v>133</v>
      </c>
      <c r="L293" s="16" t="s">
        <v>7</v>
      </c>
      <c r="M293" s="15" t="s">
        <v>68</v>
      </c>
      <c r="N293" s="15" t="s">
        <v>82</v>
      </c>
      <c r="O293" s="15" t="s">
        <v>222</v>
      </c>
      <c r="P293" s="15" t="s">
        <v>135</v>
      </c>
      <c r="Q293" s="15" t="s">
        <v>136</v>
      </c>
      <c r="R293" s="15" t="s">
        <v>135</v>
      </c>
      <c r="S293" s="15"/>
      <c r="T293" s="15"/>
      <c r="U293" s="3" t="s">
        <v>2258</v>
      </c>
      <c r="V293" s="3" t="s">
        <v>2259</v>
      </c>
      <c r="W293" s="3" t="s">
        <v>2260</v>
      </c>
      <c r="X293" s="3" t="s">
        <v>2261</v>
      </c>
      <c r="Y293" s="15" t="n">
        <v>0</v>
      </c>
      <c r="Z293" s="15" t="n">
        <v>1</v>
      </c>
      <c r="AA293" s="15" t="n">
        <v>0</v>
      </c>
      <c r="AB293" s="15" t="n">
        <v>0</v>
      </c>
      <c r="AC293" s="15" t="n">
        <v>0</v>
      </c>
      <c r="AD293" s="15" t="n">
        <v>0</v>
      </c>
      <c r="AE293" s="15" t="n">
        <v>0</v>
      </c>
      <c r="AF293" s="15" t="n">
        <v>1</v>
      </c>
      <c r="AG293" s="15" t="n">
        <v>0</v>
      </c>
      <c r="AH293" s="15" t="n">
        <v>1</v>
      </c>
    </row>
    <row r="294" customFormat="false" ht="35.05" hidden="false" customHeight="false" outlineLevel="0" collapsed="false">
      <c r="A294" s="15" t="s">
        <v>2262</v>
      </c>
      <c r="B294" s="15" t="s">
        <v>37</v>
      </c>
      <c r="C294" s="15" t="s">
        <v>2122</v>
      </c>
      <c r="D294" s="15" t="n">
        <v>82</v>
      </c>
      <c r="E294" s="15" t="s">
        <v>2255</v>
      </c>
      <c r="F294" s="15" t="n">
        <v>1</v>
      </c>
      <c r="G294" s="15" t="s">
        <v>141</v>
      </c>
      <c r="H294" s="15" t="s">
        <v>142</v>
      </c>
      <c r="I294" s="3" t="s">
        <v>2263</v>
      </c>
      <c r="J294" s="3" t="s">
        <v>2264</v>
      </c>
      <c r="K294" s="15" t="s">
        <v>145</v>
      </c>
      <c r="L294" s="16" t="s">
        <v>7</v>
      </c>
      <c r="M294" s="15" t="s">
        <v>66</v>
      </c>
      <c r="N294" s="15" t="s">
        <v>90</v>
      </c>
      <c r="O294" s="15" t="s">
        <v>513</v>
      </c>
      <c r="P294" s="15" t="s">
        <v>135</v>
      </c>
      <c r="Q294" s="15" t="s">
        <v>136</v>
      </c>
      <c r="R294" s="15" t="s">
        <v>185</v>
      </c>
      <c r="S294" s="15"/>
      <c r="T294" s="15"/>
      <c r="U294" s="3" t="s">
        <v>2265</v>
      </c>
      <c r="V294" s="3" t="s">
        <v>2266</v>
      </c>
      <c r="W294" s="3" t="s">
        <v>2267</v>
      </c>
      <c r="X294" s="3" t="s">
        <v>2268</v>
      </c>
      <c r="Y294" s="15" t="n">
        <v>0</v>
      </c>
      <c r="Z294" s="15" t="n">
        <v>0</v>
      </c>
      <c r="AA294" s="15" t="n">
        <v>0</v>
      </c>
      <c r="AB294" s="15" t="n">
        <v>0</v>
      </c>
      <c r="AC294" s="15" t="n">
        <v>0</v>
      </c>
      <c r="AD294" s="15" t="n">
        <v>0</v>
      </c>
      <c r="AE294" s="15" t="n">
        <v>0</v>
      </c>
      <c r="AF294" s="15" t="n">
        <v>1</v>
      </c>
      <c r="AG294" s="15" t="n">
        <v>0</v>
      </c>
      <c r="AH294" s="15" t="n">
        <v>1</v>
      </c>
    </row>
    <row r="295" customFormat="false" ht="46.25" hidden="false" customHeight="false" outlineLevel="0" collapsed="false">
      <c r="A295" s="15" t="s">
        <v>2269</v>
      </c>
      <c r="B295" s="15" t="s">
        <v>37</v>
      </c>
      <c r="C295" s="15" t="s">
        <v>2122</v>
      </c>
      <c r="D295" s="15" t="n">
        <v>82</v>
      </c>
      <c r="E295" s="15" t="s">
        <v>2255</v>
      </c>
      <c r="F295" s="15" t="n">
        <v>2</v>
      </c>
      <c r="G295" s="15" t="s">
        <v>129</v>
      </c>
      <c r="H295" s="15" t="s">
        <v>130</v>
      </c>
      <c r="I295" s="3" t="s">
        <v>2270</v>
      </c>
      <c r="J295" s="3" t="s">
        <v>2271</v>
      </c>
      <c r="K295" s="15" t="s">
        <v>133</v>
      </c>
      <c r="L295" s="16" t="s">
        <v>7</v>
      </c>
      <c r="M295" s="15" t="s">
        <v>66</v>
      </c>
      <c r="N295" s="15" t="s">
        <v>90</v>
      </c>
      <c r="O295" s="15" t="s">
        <v>513</v>
      </c>
      <c r="P295" s="15" t="s">
        <v>135</v>
      </c>
      <c r="Q295" s="15" t="s">
        <v>136</v>
      </c>
      <c r="R295" s="15" t="s">
        <v>185</v>
      </c>
      <c r="S295" s="15"/>
      <c r="T295" s="15"/>
      <c r="U295" s="3" t="s">
        <v>2272</v>
      </c>
      <c r="V295" s="3" t="s">
        <v>2273</v>
      </c>
      <c r="W295" s="3" t="s">
        <v>2274</v>
      </c>
      <c r="X295" s="3" t="s">
        <v>2275</v>
      </c>
      <c r="Y295" s="15" t="n">
        <v>0</v>
      </c>
      <c r="Z295" s="15" t="n">
        <v>0</v>
      </c>
      <c r="AA295" s="15" t="n">
        <v>0</v>
      </c>
      <c r="AB295" s="15" t="n">
        <v>0</v>
      </c>
      <c r="AC295" s="15" t="n">
        <v>0</v>
      </c>
      <c r="AD295" s="15" t="n">
        <v>0</v>
      </c>
      <c r="AE295" s="15" t="n">
        <v>0</v>
      </c>
      <c r="AF295" s="15" t="n">
        <v>1</v>
      </c>
      <c r="AG295" s="15" t="n">
        <v>0</v>
      </c>
      <c r="AH295" s="15" t="n">
        <v>1</v>
      </c>
    </row>
    <row r="296" customFormat="false" ht="35.05" hidden="false" customHeight="false" outlineLevel="0" collapsed="false">
      <c r="A296" s="15" t="s">
        <v>2276</v>
      </c>
      <c r="B296" s="15" t="s">
        <v>37</v>
      </c>
      <c r="C296" s="15" t="s">
        <v>2122</v>
      </c>
      <c r="D296" s="15" t="n">
        <v>83</v>
      </c>
      <c r="E296" s="15" t="s">
        <v>2277</v>
      </c>
      <c r="F296" s="15" t="n">
        <v>0</v>
      </c>
      <c r="G296" s="15" t="s">
        <v>141</v>
      </c>
      <c r="H296" s="15" t="s">
        <v>142</v>
      </c>
      <c r="I296" s="3" t="s">
        <v>2278</v>
      </c>
      <c r="J296" s="3" t="s">
        <v>2279</v>
      </c>
      <c r="K296" s="15" t="s">
        <v>133</v>
      </c>
      <c r="L296" s="16" t="s">
        <v>7</v>
      </c>
      <c r="M296" s="15" t="s">
        <v>68</v>
      </c>
      <c r="N296" s="15" t="s">
        <v>82</v>
      </c>
      <c r="O296" s="15" t="s">
        <v>162</v>
      </c>
      <c r="P296" s="15" t="s">
        <v>135</v>
      </c>
      <c r="Q296" s="15" t="s">
        <v>307</v>
      </c>
      <c r="R296" s="15" t="s">
        <v>135</v>
      </c>
      <c r="S296" s="15"/>
      <c r="T296" s="15"/>
      <c r="U296" s="3" t="s">
        <v>2280</v>
      </c>
      <c r="V296" s="3" t="s">
        <v>2281</v>
      </c>
      <c r="W296" s="3"/>
      <c r="X296" s="3" t="s">
        <v>2282</v>
      </c>
      <c r="Y296" s="15" t="n">
        <v>0</v>
      </c>
      <c r="Z296" s="15" t="n">
        <v>1</v>
      </c>
      <c r="AA296" s="15" t="n">
        <v>0</v>
      </c>
      <c r="AB296" s="15" t="n">
        <v>1</v>
      </c>
      <c r="AC296" s="15" t="n">
        <v>0</v>
      </c>
      <c r="AD296" s="15" t="n">
        <v>1</v>
      </c>
      <c r="AE296" s="15" t="n">
        <v>0</v>
      </c>
      <c r="AF296" s="15" t="n">
        <v>1</v>
      </c>
      <c r="AG296" s="15" t="n">
        <v>0</v>
      </c>
      <c r="AH296" s="15" t="n">
        <v>0</v>
      </c>
    </row>
    <row r="297" customFormat="false" ht="46.25" hidden="false" customHeight="false" outlineLevel="0" collapsed="false">
      <c r="A297" s="15" t="s">
        <v>2283</v>
      </c>
      <c r="B297" s="15" t="s">
        <v>37</v>
      </c>
      <c r="C297" s="15" t="s">
        <v>2122</v>
      </c>
      <c r="D297" s="15" t="n">
        <v>83</v>
      </c>
      <c r="E297" s="15" t="s">
        <v>2277</v>
      </c>
      <c r="F297" s="15" t="n">
        <v>1</v>
      </c>
      <c r="G297" s="15" t="s">
        <v>197</v>
      </c>
      <c r="H297" s="15" t="s">
        <v>142</v>
      </c>
      <c r="I297" s="3" t="s">
        <v>2284</v>
      </c>
      <c r="J297" s="3" t="s">
        <v>2285</v>
      </c>
      <c r="K297" s="15" t="s">
        <v>145</v>
      </c>
      <c r="L297" s="17" t="s">
        <v>9</v>
      </c>
      <c r="M297" s="15" t="s">
        <v>70</v>
      </c>
      <c r="N297" s="15" t="s">
        <v>81</v>
      </c>
      <c r="O297" s="15" t="s">
        <v>81</v>
      </c>
      <c r="P297" s="15" t="s">
        <v>135</v>
      </c>
      <c r="Q297" s="15" t="s">
        <v>129</v>
      </c>
      <c r="R297" s="15" t="s">
        <v>135</v>
      </c>
      <c r="S297" s="15" t="s">
        <v>405</v>
      </c>
      <c r="T297" s="15" t="s">
        <v>327</v>
      </c>
      <c r="U297" s="3" t="s">
        <v>2286</v>
      </c>
      <c r="V297" s="3" t="s">
        <v>2287</v>
      </c>
      <c r="W297" s="3"/>
      <c r="X297" s="3"/>
      <c r="Y297" s="15" t="n">
        <v>1</v>
      </c>
      <c r="Z297" s="15" t="n">
        <v>0</v>
      </c>
      <c r="AA297" s="15" t="n">
        <v>0</v>
      </c>
      <c r="AB297" s="15" t="n">
        <v>0</v>
      </c>
      <c r="AC297" s="15" t="n">
        <v>0</v>
      </c>
      <c r="AD297" s="15" t="n">
        <v>0</v>
      </c>
      <c r="AE297" s="15" t="n">
        <v>0</v>
      </c>
      <c r="AF297" s="15" t="n">
        <v>0</v>
      </c>
      <c r="AG297" s="15" t="n">
        <v>0</v>
      </c>
      <c r="AH297" s="15" t="n">
        <v>0</v>
      </c>
    </row>
    <row r="298" customFormat="false" ht="57.45" hidden="false" customHeight="false" outlineLevel="0" collapsed="false">
      <c r="A298" s="15" t="s">
        <v>2288</v>
      </c>
      <c r="B298" s="15" t="s">
        <v>37</v>
      </c>
      <c r="C298" s="15" t="s">
        <v>2122</v>
      </c>
      <c r="D298" s="15" t="n">
        <v>83</v>
      </c>
      <c r="E298" s="15" t="s">
        <v>2277</v>
      </c>
      <c r="F298" s="15" t="n">
        <v>2</v>
      </c>
      <c r="G298" s="15" t="s">
        <v>129</v>
      </c>
      <c r="H298" s="15" t="s">
        <v>130</v>
      </c>
      <c r="I298" s="3" t="s">
        <v>2278</v>
      </c>
      <c r="J298" s="3" t="s">
        <v>2289</v>
      </c>
      <c r="K298" s="15" t="s">
        <v>133</v>
      </c>
      <c r="L298" s="16" t="s">
        <v>7</v>
      </c>
      <c r="M298" s="15" t="s">
        <v>68</v>
      </c>
      <c r="N298" s="15" t="s">
        <v>82</v>
      </c>
      <c r="O298" s="15" t="s">
        <v>2290</v>
      </c>
      <c r="P298" s="15" t="s">
        <v>185</v>
      </c>
      <c r="Q298" s="15" t="s">
        <v>129</v>
      </c>
      <c r="R298" s="15" t="s">
        <v>135</v>
      </c>
      <c r="S298" s="15"/>
      <c r="T298" s="15"/>
      <c r="U298" s="3" t="s">
        <v>2291</v>
      </c>
      <c r="V298" s="3" t="s">
        <v>2292</v>
      </c>
      <c r="W298" s="3"/>
      <c r="X298" s="3" t="s">
        <v>2293</v>
      </c>
      <c r="Y298" s="15" t="n">
        <v>0</v>
      </c>
      <c r="Z298" s="15" t="n">
        <v>1</v>
      </c>
      <c r="AA298" s="15" t="n">
        <v>1</v>
      </c>
      <c r="AB298" s="15" t="n">
        <v>1</v>
      </c>
      <c r="AC298" s="15" t="n">
        <v>0</v>
      </c>
      <c r="AD298" s="15" t="n">
        <v>1</v>
      </c>
      <c r="AE298" s="15" t="n">
        <v>0</v>
      </c>
      <c r="AF298" s="15" t="n">
        <v>0</v>
      </c>
      <c r="AG298" s="15" t="n">
        <v>0</v>
      </c>
      <c r="AH298" s="15" t="n">
        <v>0</v>
      </c>
    </row>
    <row r="299" customFormat="false" ht="57.45" hidden="false" customHeight="false" outlineLevel="0" collapsed="false">
      <c r="A299" s="15" t="s">
        <v>2294</v>
      </c>
      <c r="B299" s="15" t="s">
        <v>37</v>
      </c>
      <c r="C299" s="15" t="s">
        <v>2295</v>
      </c>
      <c r="D299" s="15" t="n">
        <v>23</v>
      </c>
      <c r="E299" s="15" t="s">
        <v>2296</v>
      </c>
      <c r="F299" s="15" t="n">
        <v>0</v>
      </c>
      <c r="G299" s="15" t="s">
        <v>129</v>
      </c>
      <c r="H299" s="15" t="s">
        <v>130</v>
      </c>
      <c r="I299" s="3" t="s">
        <v>2297</v>
      </c>
      <c r="J299" s="3" t="s">
        <v>2298</v>
      </c>
      <c r="K299" s="15" t="s">
        <v>133</v>
      </c>
      <c r="L299" s="16" t="s">
        <v>7</v>
      </c>
      <c r="M299" s="15" t="s">
        <v>68</v>
      </c>
      <c r="N299" s="15" t="s">
        <v>85</v>
      </c>
      <c r="O299" s="15" t="s">
        <v>2299</v>
      </c>
      <c r="P299" s="15" t="s">
        <v>185</v>
      </c>
      <c r="Q299" s="15" t="s">
        <v>129</v>
      </c>
      <c r="R299" s="15" t="s">
        <v>135</v>
      </c>
      <c r="S299" s="15"/>
      <c r="T299" s="15"/>
      <c r="U299" s="3" t="s">
        <v>2300</v>
      </c>
      <c r="V299" s="3" t="s">
        <v>2301</v>
      </c>
      <c r="W299" s="3" t="s">
        <v>2302</v>
      </c>
      <c r="X299" s="3" t="s">
        <v>2303</v>
      </c>
      <c r="Y299" s="15" t="n">
        <v>0</v>
      </c>
      <c r="Z299" s="15" t="n">
        <v>0</v>
      </c>
      <c r="AA299" s="15" t="n">
        <v>0</v>
      </c>
      <c r="AB299" s="15" t="n">
        <v>1</v>
      </c>
      <c r="AC299" s="15" t="n">
        <v>1</v>
      </c>
      <c r="AD299" s="15" t="n">
        <v>0</v>
      </c>
      <c r="AE299" s="15" t="n">
        <v>1</v>
      </c>
      <c r="AF299" s="15" t="n">
        <v>0</v>
      </c>
      <c r="AG299" s="15" t="n">
        <v>0</v>
      </c>
      <c r="AH299" s="15" t="n">
        <v>0</v>
      </c>
    </row>
    <row r="300" customFormat="false" ht="57.45" hidden="false" customHeight="false" outlineLevel="0" collapsed="false">
      <c r="A300" s="15" t="s">
        <v>2304</v>
      </c>
      <c r="B300" s="15" t="s">
        <v>37</v>
      </c>
      <c r="C300" s="15" t="s">
        <v>2295</v>
      </c>
      <c r="D300" s="15" t="n">
        <v>23</v>
      </c>
      <c r="E300" s="15" t="s">
        <v>2296</v>
      </c>
      <c r="F300" s="15" t="n">
        <v>1</v>
      </c>
      <c r="G300" s="15" t="s">
        <v>141</v>
      </c>
      <c r="H300" s="15" t="s">
        <v>142</v>
      </c>
      <c r="I300" s="3" t="s">
        <v>2305</v>
      </c>
      <c r="J300" s="3" t="s">
        <v>2306</v>
      </c>
      <c r="K300" s="15" t="s">
        <v>145</v>
      </c>
      <c r="L300" s="16" t="s">
        <v>7</v>
      </c>
      <c r="M300" s="15" t="s">
        <v>68</v>
      </c>
      <c r="N300" s="15" t="s">
        <v>84</v>
      </c>
      <c r="O300" s="15" t="s">
        <v>2307</v>
      </c>
      <c r="P300" s="15" t="s">
        <v>135</v>
      </c>
      <c r="Q300" s="15" t="s">
        <v>129</v>
      </c>
      <c r="R300" s="15" t="s">
        <v>135</v>
      </c>
      <c r="S300" s="15"/>
      <c r="T300" s="15"/>
      <c r="U300" s="3" t="s">
        <v>2308</v>
      </c>
      <c r="V300" s="3" t="s">
        <v>2309</v>
      </c>
      <c r="W300" s="3" t="s">
        <v>2310</v>
      </c>
      <c r="X300" s="3" t="s">
        <v>2311</v>
      </c>
      <c r="Y300" s="15" t="n">
        <v>0</v>
      </c>
      <c r="Z300" s="15" t="n">
        <v>0</v>
      </c>
      <c r="AA300" s="15" t="n">
        <v>0</v>
      </c>
      <c r="AB300" s="15" t="n">
        <v>1</v>
      </c>
      <c r="AC300" s="15" t="n">
        <v>0</v>
      </c>
      <c r="AD300" s="15" t="n">
        <v>0</v>
      </c>
      <c r="AE300" s="15" t="n">
        <v>0</v>
      </c>
      <c r="AF300" s="15" t="n">
        <v>1</v>
      </c>
      <c r="AG300" s="15" t="n">
        <v>0</v>
      </c>
      <c r="AH300" s="15" t="n">
        <v>1</v>
      </c>
    </row>
    <row r="301" customFormat="false" ht="57.45" hidden="false" customHeight="false" outlineLevel="0" collapsed="false">
      <c r="A301" s="15" t="s">
        <v>2312</v>
      </c>
      <c r="B301" s="15" t="s">
        <v>37</v>
      </c>
      <c r="C301" s="15" t="s">
        <v>2295</v>
      </c>
      <c r="D301" s="15" t="n">
        <v>23</v>
      </c>
      <c r="E301" s="15" t="s">
        <v>2296</v>
      </c>
      <c r="F301" s="15" t="n">
        <v>2</v>
      </c>
      <c r="G301" s="15" t="s">
        <v>152</v>
      </c>
      <c r="H301" s="15" t="s">
        <v>142</v>
      </c>
      <c r="I301" s="3" t="s">
        <v>2313</v>
      </c>
      <c r="J301" s="3" t="s">
        <v>2306</v>
      </c>
      <c r="K301" s="15" t="s">
        <v>133</v>
      </c>
      <c r="L301" s="16" t="s">
        <v>7</v>
      </c>
      <c r="M301" s="15" t="s">
        <v>68</v>
      </c>
      <c r="N301" s="15" t="s">
        <v>84</v>
      </c>
      <c r="O301" s="15" t="s">
        <v>2307</v>
      </c>
      <c r="P301" s="15" t="s">
        <v>135</v>
      </c>
      <c r="Q301" s="15" t="s">
        <v>129</v>
      </c>
      <c r="R301" s="15" t="s">
        <v>135</v>
      </c>
      <c r="S301" s="15"/>
      <c r="T301" s="15"/>
      <c r="U301" s="3" t="s">
        <v>2314</v>
      </c>
      <c r="V301" s="3" t="s">
        <v>2315</v>
      </c>
      <c r="W301" s="3" t="s">
        <v>2316</v>
      </c>
      <c r="X301" s="3" t="s">
        <v>2317</v>
      </c>
      <c r="Y301" s="15" t="n">
        <v>0</v>
      </c>
      <c r="Z301" s="15" t="n">
        <v>0</v>
      </c>
      <c r="AA301" s="15" t="n">
        <v>0</v>
      </c>
      <c r="AB301" s="15" t="n">
        <v>1</v>
      </c>
      <c r="AC301" s="15" t="n">
        <v>0</v>
      </c>
      <c r="AD301" s="15" t="n">
        <v>0</v>
      </c>
      <c r="AE301" s="15" t="n">
        <v>0</v>
      </c>
      <c r="AF301" s="15" t="n">
        <v>1</v>
      </c>
      <c r="AG301" s="15" t="n">
        <v>0</v>
      </c>
      <c r="AH301" s="15" t="n">
        <v>1</v>
      </c>
    </row>
    <row r="302" customFormat="false" ht="57.45" hidden="false" customHeight="false" outlineLevel="0" collapsed="false">
      <c r="A302" s="15" t="s">
        <v>2318</v>
      </c>
      <c r="B302" s="15" t="s">
        <v>37</v>
      </c>
      <c r="C302" s="15" t="s">
        <v>2295</v>
      </c>
      <c r="D302" s="15" t="n">
        <v>42</v>
      </c>
      <c r="E302" s="15" t="s">
        <v>2319</v>
      </c>
      <c r="F302" s="15" t="n">
        <v>0</v>
      </c>
      <c r="G302" s="15" t="s">
        <v>141</v>
      </c>
      <c r="H302" s="15" t="s">
        <v>142</v>
      </c>
      <c r="I302" s="3" t="s">
        <v>2320</v>
      </c>
      <c r="J302" s="3" t="s">
        <v>2321</v>
      </c>
      <c r="K302" s="15" t="s">
        <v>133</v>
      </c>
      <c r="L302" s="17" t="s">
        <v>9</v>
      </c>
      <c r="M302" s="15" t="s">
        <v>70</v>
      </c>
      <c r="N302" s="15" t="s">
        <v>81</v>
      </c>
      <c r="O302" s="15" t="s">
        <v>1146</v>
      </c>
      <c r="P302" s="15" t="s">
        <v>135</v>
      </c>
      <c r="Q302" s="15" t="s">
        <v>129</v>
      </c>
      <c r="R302" s="15" t="s">
        <v>135</v>
      </c>
      <c r="S302" s="15" t="s">
        <v>405</v>
      </c>
      <c r="T302" s="15" t="s">
        <v>390</v>
      </c>
      <c r="U302" s="3" t="s">
        <v>2322</v>
      </c>
      <c r="V302" s="3" t="s">
        <v>2323</v>
      </c>
      <c r="W302" s="3"/>
      <c r="X302" s="3"/>
      <c r="Y302" s="15" t="n">
        <v>1</v>
      </c>
      <c r="Z302" s="15" t="n">
        <v>1</v>
      </c>
      <c r="AA302" s="15" t="n">
        <v>0</v>
      </c>
      <c r="AB302" s="15" t="n">
        <v>0</v>
      </c>
      <c r="AC302" s="15" t="n">
        <v>0</v>
      </c>
      <c r="AD302" s="15" t="n">
        <v>0</v>
      </c>
      <c r="AE302" s="15" t="n">
        <v>0</v>
      </c>
      <c r="AF302" s="15" t="n">
        <v>0</v>
      </c>
      <c r="AG302" s="15" t="n">
        <v>0</v>
      </c>
      <c r="AH302" s="15" t="n">
        <v>0</v>
      </c>
    </row>
    <row r="303" customFormat="false" ht="68.65" hidden="false" customHeight="false" outlineLevel="0" collapsed="false">
      <c r="A303" s="15" t="s">
        <v>2324</v>
      </c>
      <c r="B303" s="15" t="s">
        <v>37</v>
      </c>
      <c r="C303" s="15" t="s">
        <v>2295</v>
      </c>
      <c r="D303" s="15" t="n">
        <v>42</v>
      </c>
      <c r="E303" s="15" t="s">
        <v>2319</v>
      </c>
      <c r="F303" s="15" t="n">
        <v>1</v>
      </c>
      <c r="G303" s="15" t="s">
        <v>152</v>
      </c>
      <c r="H303" s="15" t="s">
        <v>142</v>
      </c>
      <c r="I303" s="3" t="s">
        <v>2325</v>
      </c>
      <c r="J303" s="3" t="s">
        <v>2326</v>
      </c>
      <c r="K303" s="15" t="s">
        <v>145</v>
      </c>
      <c r="L303" s="16" t="s">
        <v>7</v>
      </c>
      <c r="M303" s="15" t="s">
        <v>68</v>
      </c>
      <c r="N303" s="15" t="s">
        <v>82</v>
      </c>
      <c r="O303" s="15" t="s">
        <v>2211</v>
      </c>
      <c r="P303" s="15" t="s">
        <v>185</v>
      </c>
      <c r="Q303" s="15" t="s">
        <v>152</v>
      </c>
      <c r="R303" s="15" t="s">
        <v>135</v>
      </c>
      <c r="S303" s="15"/>
      <c r="T303" s="15"/>
      <c r="U303" s="3" t="s">
        <v>2327</v>
      </c>
      <c r="V303" s="3" t="s">
        <v>2328</v>
      </c>
      <c r="W303" s="3" t="s">
        <v>2329</v>
      </c>
      <c r="X303" s="3" t="s">
        <v>2330</v>
      </c>
      <c r="Y303" s="15" t="n">
        <v>0</v>
      </c>
      <c r="Z303" s="15" t="n">
        <v>1</v>
      </c>
      <c r="AA303" s="15" t="n">
        <v>0</v>
      </c>
      <c r="AB303" s="15" t="n">
        <v>0</v>
      </c>
      <c r="AC303" s="15" t="n">
        <v>0</v>
      </c>
      <c r="AD303" s="15" t="n">
        <v>1</v>
      </c>
      <c r="AE303" s="15" t="n">
        <v>1</v>
      </c>
      <c r="AF303" s="15" t="n">
        <v>0</v>
      </c>
      <c r="AG303" s="15" t="n">
        <v>0</v>
      </c>
      <c r="AH303" s="15" t="n">
        <v>1</v>
      </c>
    </row>
    <row r="304" customFormat="false" ht="35.05" hidden="false" customHeight="false" outlineLevel="0" collapsed="false">
      <c r="A304" s="15" t="s">
        <v>2331</v>
      </c>
      <c r="B304" s="15" t="s">
        <v>37</v>
      </c>
      <c r="C304" s="15" t="s">
        <v>2295</v>
      </c>
      <c r="D304" s="15" t="n">
        <v>42</v>
      </c>
      <c r="E304" s="15" t="s">
        <v>2319</v>
      </c>
      <c r="F304" s="15" t="n">
        <v>2</v>
      </c>
      <c r="G304" s="15" t="s">
        <v>129</v>
      </c>
      <c r="H304" s="15" t="s">
        <v>130</v>
      </c>
      <c r="I304" s="3" t="s">
        <v>2332</v>
      </c>
      <c r="J304" s="3" t="s">
        <v>2333</v>
      </c>
      <c r="K304" s="15" t="s">
        <v>133</v>
      </c>
      <c r="L304" s="17" t="s">
        <v>9</v>
      </c>
      <c r="M304" s="15" t="s">
        <v>70</v>
      </c>
      <c r="N304" s="15" t="s">
        <v>81</v>
      </c>
      <c r="O304" s="15" t="s">
        <v>1146</v>
      </c>
      <c r="P304" s="15" t="s">
        <v>185</v>
      </c>
      <c r="Q304" s="15" t="s">
        <v>129</v>
      </c>
      <c r="R304" s="15" t="s">
        <v>135</v>
      </c>
      <c r="S304" s="15" t="s">
        <v>405</v>
      </c>
      <c r="T304" s="15" t="s">
        <v>390</v>
      </c>
      <c r="U304" s="3" t="s">
        <v>2334</v>
      </c>
      <c r="V304" s="3" t="s">
        <v>2335</v>
      </c>
      <c r="W304" s="3"/>
      <c r="X304" s="3"/>
      <c r="Y304" s="15" t="n">
        <v>1</v>
      </c>
      <c r="Z304" s="15" t="n">
        <v>1</v>
      </c>
      <c r="AA304" s="15" t="n">
        <v>0</v>
      </c>
      <c r="AB304" s="15" t="n">
        <v>0</v>
      </c>
      <c r="AC304" s="15" t="n">
        <v>0</v>
      </c>
      <c r="AD304" s="15" t="n">
        <v>0</v>
      </c>
      <c r="AE304" s="15" t="n">
        <v>0</v>
      </c>
      <c r="AF304" s="15" t="n">
        <v>0</v>
      </c>
      <c r="AG304" s="15" t="n">
        <v>0</v>
      </c>
      <c r="AH304" s="15" t="n">
        <v>0</v>
      </c>
    </row>
    <row r="305" customFormat="false" ht="35.05" hidden="false" customHeight="false" outlineLevel="0" collapsed="false">
      <c r="A305" s="15" t="s">
        <v>2336</v>
      </c>
      <c r="B305" s="15" t="s">
        <v>37</v>
      </c>
      <c r="C305" s="15" t="s">
        <v>2295</v>
      </c>
      <c r="D305" s="15" t="n">
        <v>43</v>
      </c>
      <c r="E305" s="15" t="s">
        <v>2337</v>
      </c>
      <c r="F305" s="15" t="n">
        <v>0</v>
      </c>
      <c r="G305" s="15" t="s">
        <v>129</v>
      </c>
      <c r="H305" s="15" t="s">
        <v>130</v>
      </c>
      <c r="I305" s="3" t="s">
        <v>2338</v>
      </c>
      <c r="J305" s="3" t="s">
        <v>2339</v>
      </c>
      <c r="K305" s="15" t="s">
        <v>133</v>
      </c>
      <c r="L305" s="18" t="s">
        <v>5</v>
      </c>
      <c r="M305" s="15" t="s">
        <v>426</v>
      </c>
      <c r="N305" s="15" t="s">
        <v>426</v>
      </c>
      <c r="O305" s="15"/>
      <c r="P305" s="15" t="s">
        <v>185</v>
      </c>
      <c r="Q305" s="15" t="s">
        <v>129</v>
      </c>
      <c r="R305" s="15" t="s">
        <v>185</v>
      </c>
      <c r="S305" s="15"/>
      <c r="T305" s="15"/>
      <c r="U305" s="3" t="s">
        <v>2340</v>
      </c>
      <c r="V305" s="3" t="s">
        <v>2341</v>
      </c>
      <c r="W305" s="3"/>
      <c r="X305" s="3"/>
      <c r="Y305" s="15" t="n">
        <v>0</v>
      </c>
      <c r="Z305" s="15" t="n">
        <v>0</v>
      </c>
      <c r="AA305" s="15" t="n">
        <v>0</v>
      </c>
      <c r="AB305" s="15" t="n">
        <v>0</v>
      </c>
      <c r="AC305" s="15" t="n">
        <v>0</v>
      </c>
      <c r="AD305" s="15" t="n">
        <v>0</v>
      </c>
      <c r="AE305" s="15" t="n">
        <v>0</v>
      </c>
      <c r="AF305" s="15" t="n">
        <v>0</v>
      </c>
      <c r="AG305" s="15" t="n">
        <v>0</v>
      </c>
      <c r="AH305" s="15" t="n">
        <v>0</v>
      </c>
    </row>
    <row r="306" customFormat="false" ht="57.45" hidden="false" customHeight="false" outlineLevel="0" collapsed="false">
      <c r="A306" s="15" t="s">
        <v>2342</v>
      </c>
      <c r="B306" s="15" t="s">
        <v>37</v>
      </c>
      <c r="C306" s="15" t="s">
        <v>2295</v>
      </c>
      <c r="D306" s="15" t="n">
        <v>43</v>
      </c>
      <c r="E306" s="15" t="s">
        <v>2337</v>
      </c>
      <c r="F306" s="15" t="n">
        <v>1</v>
      </c>
      <c r="G306" s="15" t="s">
        <v>141</v>
      </c>
      <c r="H306" s="15" t="s">
        <v>142</v>
      </c>
      <c r="I306" s="3" t="s">
        <v>2343</v>
      </c>
      <c r="J306" s="3" t="s">
        <v>2344</v>
      </c>
      <c r="K306" s="15" t="s">
        <v>145</v>
      </c>
      <c r="L306" s="16" t="s">
        <v>7</v>
      </c>
      <c r="M306" s="15" t="s">
        <v>68</v>
      </c>
      <c r="N306" s="15" t="s">
        <v>82</v>
      </c>
      <c r="O306" s="15" t="s">
        <v>215</v>
      </c>
      <c r="P306" s="15" t="s">
        <v>135</v>
      </c>
      <c r="Q306" s="15" t="s">
        <v>129</v>
      </c>
      <c r="R306" s="15" t="s">
        <v>135</v>
      </c>
      <c r="S306" s="15"/>
      <c r="T306" s="15"/>
      <c r="U306" s="3" t="s">
        <v>2345</v>
      </c>
      <c r="V306" s="3" t="s">
        <v>2346</v>
      </c>
      <c r="W306" s="3"/>
      <c r="X306" s="3" t="s">
        <v>2347</v>
      </c>
      <c r="Y306" s="15" t="n">
        <v>0</v>
      </c>
      <c r="Z306" s="15" t="n">
        <v>1</v>
      </c>
      <c r="AA306" s="15" t="n">
        <v>0</v>
      </c>
      <c r="AB306" s="15" t="n">
        <v>0</v>
      </c>
      <c r="AC306" s="15" t="n">
        <v>0</v>
      </c>
      <c r="AD306" s="15" t="n">
        <v>0</v>
      </c>
      <c r="AE306" s="15" t="n">
        <v>0</v>
      </c>
      <c r="AF306" s="15" t="n">
        <v>1</v>
      </c>
      <c r="AG306" s="15" t="n">
        <v>0</v>
      </c>
      <c r="AH306" s="15" t="n">
        <v>0</v>
      </c>
    </row>
    <row r="307" customFormat="false" ht="46.25" hidden="false" customHeight="false" outlineLevel="0" collapsed="false">
      <c r="A307" s="15" t="s">
        <v>2348</v>
      </c>
      <c r="B307" s="15" t="s">
        <v>37</v>
      </c>
      <c r="C307" s="15" t="s">
        <v>2295</v>
      </c>
      <c r="D307" s="15" t="n">
        <v>43</v>
      </c>
      <c r="E307" s="15" t="s">
        <v>2337</v>
      </c>
      <c r="F307" s="15" t="n">
        <v>2</v>
      </c>
      <c r="G307" s="15" t="s">
        <v>152</v>
      </c>
      <c r="H307" s="15" t="s">
        <v>142</v>
      </c>
      <c r="I307" s="3" t="s">
        <v>2349</v>
      </c>
      <c r="J307" s="3" t="s">
        <v>2350</v>
      </c>
      <c r="K307" s="15" t="s">
        <v>133</v>
      </c>
      <c r="L307" s="16" t="s">
        <v>7</v>
      </c>
      <c r="M307" s="15" t="s">
        <v>68</v>
      </c>
      <c r="N307" s="15" t="s">
        <v>82</v>
      </c>
      <c r="O307" s="15" t="s">
        <v>192</v>
      </c>
      <c r="P307" s="15" t="s">
        <v>135</v>
      </c>
      <c r="Q307" s="15" t="s">
        <v>129</v>
      </c>
      <c r="R307" s="15" t="s">
        <v>135</v>
      </c>
      <c r="S307" s="15"/>
      <c r="T307" s="15"/>
      <c r="U307" s="3" t="s">
        <v>2351</v>
      </c>
      <c r="V307" s="3" t="s">
        <v>2352</v>
      </c>
      <c r="W307" s="3"/>
      <c r="X307" s="3" t="s">
        <v>2353</v>
      </c>
      <c r="Y307" s="15" t="n">
        <v>0</v>
      </c>
      <c r="Z307" s="15" t="n">
        <v>1</v>
      </c>
      <c r="AA307" s="15" t="n">
        <v>0</v>
      </c>
      <c r="AB307" s="15" t="n">
        <v>1</v>
      </c>
      <c r="AC307" s="15" t="n">
        <v>0</v>
      </c>
      <c r="AD307" s="15" t="n">
        <v>0</v>
      </c>
      <c r="AE307" s="15" t="n">
        <v>0</v>
      </c>
      <c r="AF307" s="15" t="n">
        <v>1</v>
      </c>
      <c r="AG307" s="15" t="n">
        <v>0</v>
      </c>
      <c r="AH307" s="15" t="n">
        <v>0</v>
      </c>
    </row>
    <row r="308" customFormat="false" ht="57.45" hidden="false" customHeight="false" outlineLevel="0" collapsed="false">
      <c r="A308" s="15" t="s">
        <v>2354</v>
      </c>
      <c r="B308" s="15" t="s">
        <v>37</v>
      </c>
      <c r="C308" s="15" t="s">
        <v>2295</v>
      </c>
      <c r="D308" s="15" t="n">
        <v>53</v>
      </c>
      <c r="E308" s="15" t="s">
        <v>2355</v>
      </c>
      <c r="F308" s="15" t="n">
        <v>0</v>
      </c>
      <c r="G308" s="15" t="s">
        <v>129</v>
      </c>
      <c r="H308" s="15" t="s">
        <v>130</v>
      </c>
      <c r="I308" s="3" t="s">
        <v>2356</v>
      </c>
      <c r="J308" s="3" t="s">
        <v>2357</v>
      </c>
      <c r="K308" s="15" t="s">
        <v>133</v>
      </c>
      <c r="L308" s="16" t="s">
        <v>7</v>
      </c>
      <c r="M308" s="15" t="s">
        <v>66</v>
      </c>
      <c r="N308" s="15" t="s">
        <v>85</v>
      </c>
      <c r="O308" s="15" t="s">
        <v>2358</v>
      </c>
      <c r="P308" s="15" t="s">
        <v>185</v>
      </c>
      <c r="Q308" s="15" t="s">
        <v>129</v>
      </c>
      <c r="R308" s="15" t="s">
        <v>135</v>
      </c>
      <c r="S308" s="15"/>
      <c r="T308" s="15"/>
      <c r="U308" s="3" t="s">
        <v>2359</v>
      </c>
      <c r="V308" s="3" t="s">
        <v>2360</v>
      </c>
      <c r="W308" s="3"/>
      <c r="X308" s="3" t="s">
        <v>2361</v>
      </c>
      <c r="Y308" s="15" t="n">
        <v>0</v>
      </c>
      <c r="Z308" s="15" t="n">
        <v>0</v>
      </c>
      <c r="AA308" s="15" t="n">
        <v>0</v>
      </c>
      <c r="AB308" s="15" t="n">
        <v>1</v>
      </c>
      <c r="AC308" s="15" t="n">
        <v>1</v>
      </c>
      <c r="AD308" s="15" t="n">
        <v>0</v>
      </c>
      <c r="AE308" s="15" t="n">
        <v>0</v>
      </c>
      <c r="AF308" s="15" t="n">
        <v>0</v>
      </c>
      <c r="AG308" s="15" t="n">
        <v>0</v>
      </c>
      <c r="AH308" s="15" t="n">
        <v>0</v>
      </c>
    </row>
    <row r="309" customFormat="false" ht="79.85" hidden="false" customHeight="false" outlineLevel="0" collapsed="false">
      <c r="A309" s="15" t="s">
        <v>2362</v>
      </c>
      <c r="B309" s="15" t="s">
        <v>37</v>
      </c>
      <c r="C309" s="15" t="s">
        <v>2295</v>
      </c>
      <c r="D309" s="15" t="n">
        <v>53</v>
      </c>
      <c r="E309" s="15" t="s">
        <v>2355</v>
      </c>
      <c r="F309" s="15" t="n">
        <v>1</v>
      </c>
      <c r="G309" s="15" t="s">
        <v>152</v>
      </c>
      <c r="H309" s="15" t="s">
        <v>142</v>
      </c>
      <c r="I309" s="3" t="s">
        <v>2363</v>
      </c>
      <c r="J309" s="3" t="s">
        <v>2364</v>
      </c>
      <c r="K309" s="15" t="s">
        <v>145</v>
      </c>
      <c r="L309" s="16" t="s">
        <v>7</v>
      </c>
      <c r="M309" s="15" t="s">
        <v>66</v>
      </c>
      <c r="N309" s="15" t="s">
        <v>87</v>
      </c>
      <c r="O309" s="15" t="s">
        <v>2234</v>
      </c>
      <c r="P309" s="15" t="s">
        <v>185</v>
      </c>
      <c r="Q309" s="15" t="s">
        <v>152</v>
      </c>
      <c r="R309" s="15" t="s">
        <v>135</v>
      </c>
      <c r="S309" s="15"/>
      <c r="T309" s="15"/>
      <c r="U309" s="3" t="s">
        <v>2365</v>
      </c>
      <c r="V309" s="3" t="s">
        <v>2366</v>
      </c>
      <c r="W309" s="3" t="s">
        <v>2367</v>
      </c>
      <c r="X309" s="3" t="s">
        <v>2368</v>
      </c>
      <c r="Y309" s="15" t="n">
        <v>0</v>
      </c>
      <c r="Z309" s="15" t="n">
        <v>0</v>
      </c>
      <c r="AA309" s="15" t="n">
        <v>0</v>
      </c>
      <c r="AB309" s="15" t="n">
        <v>0</v>
      </c>
      <c r="AC309" s="15" t="n">
        <v>0</v>
      </c>
      <c r="AD309" s="15" t="n">
        <v>0</v>
      </c>
      <c r="AE309" s="15" t="n">
        <v>1</v>
      </c>
      <c r="AF309" s="15" t="n">
        <v>0</v>
      </c>
      <c r="AG309" s="15" t="n">
        <v>0</v>
      </c>
      <c r="AH309" s="15" t="n">
        <v>1</v>
      </c>
    </row>
    <row r="310" customFormat="false" ht="57.45" hidden="false" customHeight="false" outlineLevel="0" collapsed="false">
      <c r="A310" s="15" t="s">
        <v>2369</v>
      </c>
      <c r="B310" s="15" t="s">
        <v>37</v>
      </c>
      <c r="C310" s="15" t="s">
        <v>2295</v>
      </c>
      <c r="D310" s="15" t="n">
        <v>53</v>
      </c>
      <c r="E310" s="15" t="s">
        <v>2355</v>
      </c>
      <c r="F310" s="15" t="n">
        <v>2</v>
      </c>
      <c r="G310" s="15" t="s">
        <v>141</v>
      </c>
      <c r="H310" s="15" t="s">
        <v>142</v>
      </c>
      <c r="I310" s="3" t="s">
        <v>2370</v>
      </c>
      <c r="J310" s="3" t="s">
        <v>2371</v>
      </c>
      <c r="K310" s="15" t="s">
        <v>133</v>
      </c>
      <c r="L310" s="16" t="s">
        <v>7</v>
      </c>
      <c r="M310" s="15" t="s">
        <v>68</v>
      </c>
      <c r="N310" s="15" t="s">
        <v>84</v>
      </c>
      <c r="O310" s="15" t="s">
        <v>192</v>
      </c>
      <c r="P310" s="15" t="s">
        <v>135</v>
      </c>
      <c r="Q310" s="15" t="s">
        <v>129</v>
      </c>
      <c r="R310" s="15" t="s">
        <v>135</v>
      </c>
      <c r="S310" s="15"/>
      <c r="T310" s="15"/>
      <c r="U310" s="3" t="s">
        <v>2372</v>
      </c>
      <c r="V310" s="3" t="s">
        <v>2373</v>
      </c>
      <c r="W310" s="3" t="s">
        <v>2374</v>
      </c>
      <c r="X310" s="3" t="s">
        <v>2375</v>
      </c>
      <c r="Y310" s="15" t="n">
        <v>0</v>
      </c>
      <c r="Z310" s="15" t="n">
        <v>1</v>
      </c>
      <c r="AA310" s="15" t="n">
        <v>0</v>
      </c>
      <c r="AB310" s="15" t="n">
        <v>1</v>
      </c>
      <c r="AC310" s="15" t="n">
        <v>0</v>
      </c>
      <c r="AD310" s="15" t="n">
        <v>0</v>
      </c>
      <c r="AE310" s="15" t="n">
        <v>0</v>
      </c>
      <c r="AF310" s="15" t="n">
        <v>1</v>
      </c>
      <c r="AG310" s="15" t="n">
        <v>0</v>
      </c>
      <c r="AH310" s="15" t="n">
        <v>0</v>
      </c>
    </row>
    <row r="311" customFormat="false" ht="57.45" hidden="false" customHeight="false" outlineLevel="0" collapsed="false">
      <c r="A311" s="15" t="s">
        <v>2376</v>
      </c>
      <c r="B311" s="15" t="s">
        <v>37</v>
      </c>
      <c r="C311" s="15" t="s">
        <v>2295</v>
      </c>
      <c r="D311" s="15" t="n">
        <v>63</v>
      </c>
      <c r="E311" s="15" t="s">
        <v>2377</v>
      </c>
      <c r="F311" s="15" t="n">
        <v>0</v>
      </c>
      <c r="G311" s="15" t="s">
        <v>129</v>
      </c>
      <c r="H311" s="15" t="s">
        <v>130</v>
      </c>
      <c r="I311" s="3" t="s">
        <v>2378</v>
      </c>
      <c r="J311" s="3" t="s">
        <v>2379</v>
      </c>
      <c r="K311" s="15" t="s">
        <v>145</v>
      </c>
      <c r="L311" s="16" t="s">
        <v>7</v>
      </c>
      <c r="M311" s="15" t="s">
        <v>68</v>
      </c>
      <c r="N311" s="15" t="s">
        <v>82</v>
      </c>
      <c r="O311" s="15" t="s">
        <v>2380</v>
      </c>
      <c r="P311" s="15" t="s">
        <v>185</v>
      </c>
      <c r="Q311" s="15" t="s">
        <v>129</v>
      </c>
      <c r="R311" s="15" t="s">
        <v>135</v>
      </c>
      <c r="S311" s="15"/>
      <c r="T311" s="15"/>
      <c r="U311" s="3" t="s">
        <v>2381</v>
      </c>
      <c r="V311" s="3" t="s">
        <v>2382</v>
      </c>
      <c r="W311" s="3" t="s">
        <v>2383</v>
      </c>
      <c r="X311" s="3" t="s">
        <v>2384</v>
      </c>
      <c r="Y311" s="15" t="n">
        <v>0</v>
      </c>
      <c r="Z311" s="15" t="n">
        <v>1</v>
      </c>
      <c r="AA311" s="15" t="n">
        <v>0</v>
      </c>
      <c r="AB311" s="15" t="n">
        <v>0</v>
      </c>
      <c r="AC311" s="15" t="n">
        <v>0</v>
      </c>
      <c r="AD311" s="15" t="n">
        <v>0</v>
      </c>
      <c r="AE311" s="15" t="n">
        <v>1</v>
      </c>
      <c r="AF311" s="15" t="n">
        <v>0</v>
      </c>
      <c r="AG311" s="15" t="n">
        <v>0</v>
      </c>
      <c r="AH311" s="15" t="n">
        <v>0</v>
      </c>
    </row>
    <row r="312" customFormat="false" ht="57.45" hidden="false" customHeight="false" outlineLevel="0" collapsed="false">
      <c r="A312" s="15" t="s">
        <v>2385</v>
      </c>
      <c r="B312" s="15" t="s">
        <v>37</v>
      </c>
      <c r="C312" s="15" t="s">
        <v>2295</v>
      </c>
      <c r="D312" s="15" t="n">
        <v>63</v>
      </c>
      <c r="E312" s="15" t="s">
        <v>2377</v>
      </c>
      <c r="F312" s="15" t="n">
        <v>1</v>
      </c>
      <c r="G312" s="15" t="s">
        <v>197</v>
      </c>
      <c r="H312" s="15" t="s">
        <v>142</v>
      </c>
      <c r="I312" s="3" t="s">
        <v>2386</v>
      </c>
      <c r="J312" s="3" t="s">
        <v>2387</v>
      </c>
      <c r="K312" s="15" t="s">
        <v>133</v>
      </c>
      <c r="L312" s="16" t="s">
        <v>7</v>
      </c>
      <c r="M312" s="15" t="s">
        <v>68</v>
      </c>
      <c r="N312" s="15" t="s">
        <v>82</v>
      </c>
      <c r="O312" s="15" t="s">
        <v>82</v>
      </c>
      <c r="P312" s="15" t="s">
        <v>185</v>
      </c>
      <c r="Q312" s="15" t="s">
        <v>197</v>
      </c>
      <c r="R312" s="15" t="s">
        <v>135</v>
      </c>
      <c r="S312" s="15"/>
      <c r="T312" s="15"/>
      <c r="U312" s="3" t="s">
        <v>2388</v>
      </c>
      <c r="V312" s="3" t="s">
        <v>2389</v>
      </c>
      <c r="W312" s="3"/>
      <c r="X312" s="3" t="s">
        <v>2390</v>
      </c>
      <c r="Y312" s="15" t="n">
        <v>0</v>
      </c>
      <c r="Z312" s="15" t="n">
        <v>1</v>
      </c>
      <c r="AA312" s="15" t="n">
        <v>0</v>
      </c>
      <c r="AB312" s="15" t="n">
        <v>0</v>
      </c>
      <c r="AC312" s="15" t="n">
        <v>0</v>
      </c>
      <c r="AD312" s="15" t="n">
        <v>0</v>
      </c>
      <c r="AE312" s="15" t="n">
        <v>0</v>
      </c>
      <c r="AF312" s="15" t="n">
        <v>0</v>
      </c>
      <c r="AG312" s="15" t="n">
        <v>0</v>
      </c>
      <c r="AH312" s="15" t="n">
        <v>0</v>
      </c>
    </row>
    <row r="313" customFormat="false" ht="46.25" hidden="false" customHeight="false" outlineLevel="0" collapsed="false">
      <c r="A313" s="15" t="s">
        <v>2391</v>
      </c>
      <c r="B313" s="15" t="s">
        <v>37</v>
      </c>
      <c r="C313" s="15" t="s">
        <v>2295</v>
      </c>
      <c r="D313" s="15" t="n">
        <v>63</v>
      </c>
      <c r="E313" s="15" t="s">
        <v>2377</v>
      </c>
      <c r="F313" s="15" t="n">
        <v>2</v>
      </c>
      <c r="G313" s="15" t="s">
        <v>141</v>
      </c>
      <c r="H313" s="15" t="s">
        <v>142</v>
      </c>
      <c r="I313" s="3" t="s">
        <v>2386</v>
      </c>
      <c r="J313" s="3" t="s">
        <v>2387</v>
      </c>
      <c r="K313" s="15" t="s">
        <v>133</v>
      </c>
      <c r="L313" s="16" t="s">
        <v>7</v>
      </c>
      <c r="M313" s="15" t="s">
        <v>68</v>
      </c>
      <c r="N313" s="15" t="s">
        <v>82</v>
      </c>
      <c r="O313" s="15" t="s">
        <v>1731</v>
      </c>
      <c r="P313" s="15" t="s">
        <v>185</v>
      </c>
      <c r="Q313" s="15" t="s">
        <v>141</v>
      </c>
      <c r="R313" s="15" t="s">
        <v>135</v>
      </c>
      <c r="S313" s="15"/>
      <c r="T313" s="15"/>
      <c r="U313" s="3" t="s">
        <v>2392</v>
      </c>
      <c r="V313" s="3" t="s">
        <v>2393</v>
      </c>
      <c r="W313" s="3"/>
      <c r="X313" s="3" t="s">
        <v>2394</v>
      </c>
      <c r="Y313" s="15" t="n">
        <v>0</v>
      </c>
      <c r="Z313" s="15" t="n">
        <v>1</v>
      </c>
      <c r="AA313" s="15" t="n">
        <v>1</v>
      </c>
      <c r="AB313" s="15" t="n">
        <v>0</v>
      </c>
      <c r="AC313" s="15" t="n">
        <v>0</v>
      </c>
      <c r="AD313" s="15" t="n">
        <v>0</v>
      </c>
      <c r="AE313" s="15" t="n">
        <v>0</v>
      </c>
      <c r="AF313" s="15" t="n">
        <v>0</v>
      </c>
      <c r="AG313" s="15" t="n">
        <v>0</v>
      </c>
      <c r="AH313" s="15" t="n">
        <v>0</v>
      </c>
    </row>
    <row r="314" customFormat="false" ht="57.45" hidden="false" customHeight="false" outlineLevel="0" collapsed="false">
      <c r="A314" s="15" t="s">
        <v>2395</v>
      </c>
      <c r="B314" s="15" t="s">
        <v>37</v>
      </c>
      <c r="C314" s="15" t="s">
        <v>2295</v>
      </c>
      <c r="D314" s="15" t="n">
        <v>75</v>
      </c>
      <c r="E314" s="15" t="s">
        <v>2396</v>
      </c>
      <c r="F314" s="15" t="n">
        <v>0</v>
      </c>
      <c r="G314" s="15" t="s">
        <v>141</v>
      </c>
      <c r="H314" s="15" t="s">
        <v>142</v>
      </c>
      <c r="I314" s="3" t="s">
        <v>2397</v>
      </c>
      <c r="J314" s="3" t="s">
        <v>2398</v>
      </c>
      <c r="K314" s="15" t="s">
        <v>133</v>
      </c>
      <c r="L314" s="16" t="s">
        <v>7</v>
      </c>
      <c r="M314" s="15" t="s">
        <v>66</v>
      </c>
      <c r="N314" s="15" t="s">
        <v>87</v>
      </c>
      <c r="O314" s="15" t="s">
        <v>2399</v>
      </c>
      <c r="P314" s="15" t="s">
        <v>185</v>
      </c>
      <c r="Q314" s="15" t="s">
        <v>141</v>
      </c>
      <c r="R314" s="15" t="s">
        <v>135</v>
      </c>
      <c r="S314" s="15"/>
      <c r="T314" s="15"/>
      <c r="U314" s="3" t="s">
        <v>2400</v>
      </c>
      <c r="V314" s="3" t="s">
        <v>2401</v>
      </c>
      <c r="W314" s="3"/>
      <c r="X314" s="3" t="s">
        <v>2402</v>
      </c>
      <c r="Y314" s="15" t="n">
        <v>0</v>
      </c>
      <c r="Z314" s="15" t="n">
        <v>0</v>
      </c>
      <c r="AA314" s="15" t="n">
        <v>1</v>
      </c>
      <c r="AB314" s="15" t="n">
        <v>0</v>
      </c>
      <c r="AC314" s="15" t="n">
        <v>0</v>
      </c>
      <c r="AD314" s="15" t="n">
        <v>0</v>
      </c>
      <c r="AE314" s="15" t="n">
        <v>1</v>
      </c>
      <c r="AF314" s="15" t="n">
        <v>0</v>
      </c>
      <c r="AG314" s="15" t="n">
        <v>0</v>
      </c>
      <c r="AH314" s="15" t="n">
        <v>0</v>
      </c>
    </row>
    <row r="315" customFormat="false" ht="46.25" hidden="false" customHeight="false" outlineLevel="0" collapsed="false">
      <c r="A315" s="15" t="s">
        <v>2403</v>
      </c>
      <c r="B315" s="15" t="s">
        <v>37</v>
      </c>
      <c r="C315" s="15" t="s">
        <v>2295</v>
      </c>
      <c r="D315" s="15" t="n">
        <v>75</v>
      </c>
      <c r="E315" s="15" t="s">
        <v>2396</v>
      </c>
      <c r="F315" s="15" t="n">
        <v>1</v>
      </c>
      <c r="G315" s="15" t="s">
        <v>197</v>
      </c>
      <c r="H315" s="15" t="s">
        <v>142</v>
      </c>
      <c r="I315" s="3" t="s">
        <v>2404</v>
      </c>
      <c r="J315" s="3" t="s">
        <v>2405</v>
      </c>
      <c r="K315" s="15" t="s">
        <v>145</v>
      </c>
      <c r="L315" s="17" t="s">
        <v>9</v>
      </c>
      <c r="M315" s="15" t="s">
        <v>70</v>
      </c>
      <c r="N315" s="15" t="s">
        <v>81</v>
      </c>
      <c r="O315" s="15" t="s">
        <v>81</v>
      </c>
      <c r="P315" s="15" t="s">
        <v>135</v>
      </c>
      <c r="Q315" s="15" t="s">
        <v>129</v>
      </c>
      <c r="R315" s="15" t="s">
        <v>135</v>
      </c>
      <c r="S315" s="15" t="s">
        <v>405</v>
      </c>
      <c r="T315" s="15" t="s">
        <v>327</v>
      </c>
      <c r="U315" s="3" t="s">
        <v>2406</v>
      </c>
      <c r="V315" s="3" t="s">
        <v>2407</v>
      </c>
      <c r="W315" s="3"/>
      <c r="X315" s="3"/>
      <c r="Y315" s="15" t="n">
        <v>1</v>
      </c>
      <c r="Z315" s="15" t="n">
        <v>0</v>
      </c>
      <c r="AA315" s="15" t="n">
        <v>0</v>
      </c>
      <c r="AB315" s="15" t="n">
        <v>0</v>
      </c>
      <c r="AC315" s="15" t="n">
        <v>0</v>
      </c>
      <c r="AD315" s="15" t="n">
        <v>0</v>
      </c>
      <c r="AE315" s="15" t="n">
        <v>0</v>
      </c>
      <c r="AF315" s="15" t="n">
        <v>0</v>
      </c>
      <c r="AG315" s="15" t="n">
        <v>0</v>
      </c>
      <c r="AH315" s="15" t="n">
        <v>0</v>
      </c>
    </row>
    <row r="316" customFormat="false" ht="57.45" hidden="false" customHeight="false" outlineLevel="0" collapsed="false">
      <c r="A316" s="15" t="s">
        <v>2408</v>
      </c>
      <c r="B316" s="15" t="s">
        <v>37</v>
      </c>
      <c r="C316" s="15" t="s">
        <v>2295</v>
      </c>
      <c r="D316" s="15" t="n">
        <v>75</v>
      </c>
      <c r="E316" s="15" t="s">
        <v>2396</v>
      </c>
      <c r="F316" s="15" t="n">
        <v>2</v>
      </c>
      <c r="G316" s="15" t="s">
        <v>129</v>
      </c>
      <c r="H316" s="15" t="s">
        <v>130</v>
      </c>
      <c r="I316" s="3" t="s">
        <v>2409</v>
      </c>
      <c r="J316" s="3" t="s">
        <v>2410</v>
      </c>
      <c r="K316" s="15" t="s">
        <v>133</v>
      </c>
      <c r="L316" s="16" t="s">
        <v>7</v>
      </c>
      <c r="M316" s="15" t="s">
        <v>68</v>
      </c>
      <c r="N316" s="15" t="s">
        <v>82</v>
      </c>
      <c r="O316" s="15" t="s">
        <v>271</v>
      </c>
      <c r="P316" s="15" t="s">
        <v>185</v>
      </c>
      <c r="Q316" s="15" t="s">
        <v>129</v>
      </c>
      <c r="R316" s="15" t="s">
        <v>135</v>
      </c>
      <c r="S316" s="15"/>
      <c r="T316" s="15"/>
      <c r="U316" s="3" t="s">
        <v>2411</v>
      </c>
      <c r="V316" s="3" t="s">
        <v>2412</v>
      </c>
      <c r="W316" s="3"/>
      <c r="X316" s="3" t="s">
        <v>2413</v>
      </c>
      <c r="Y316" s="15" t="n">
        <v>0</v>
      </c>
      <c r="Z316" s="15" t="n">
        <v>1</v>
      </c>
      <c r="AA316" s="15" t="n">
        <v>0</v>
      </c>
      <c r="AB316" s="15" t="n">
        <v>1</v>
      </c>
      <c r="AC316" s="15" t="n">
        <v>0</v>
      </c>
      <c r="AD316" s="15" t="n">
        <v>0</v>
      </c>
      <c r="AE316" s="15" t="n">
        <v>0</v>
      </c>
      <c r="AF316" s="15" t="n">
        <v>0</v>
      </c>
      <c r="AG316" s="15" t="n">
        <v>0</v>
      </c>
      <c r="AH316" s="15" t="n">
        <v>0</v>
      </c>
    </row>
    <row r="317" customFormat="false" ht="57.45" hidden="false" customHeight="false" outlineLevel="0" collapsed="false">
      <c r="A317" s="15" t="s">
        <v>2414</v>
      </c>
      <c r="B317" s="15" t="s">
        <v>37</v>
      </c>
      <c r="C317" s="15" t="s">
        <v>2295</v>
      </c>
      <c r="D317" s="15" t="n">
        <v>103</v>
      </c>
      <c r="E317" s="15" t="s">
        <v>2415</v>
      </c>
      <c r="F317" s="15" t="n">
        <v>0</v>
      </c>
      <c r="G317" s="15" t="s">
        <v>129</v>
      </c>
      <c r="H317" s="15" t="s">
        <v>130</v>
      </c>
      <c r="I317" s="3" t="s">
        <v>2416</v>
      </c>
      <c r="J317" s="3" t="s">
        <v>2417</v>
      </c>
      <c r="K317" s="15" t="s">
        <v>133</v>
      </c>
      <c r="L317" s="17" t="s">
        <v>9</v>
      </c>
      <c r="M317" s="15" t="s">
        <v>70</v>
      </c>
      <c r="N317" s="15" t="s">
        <v>81</v>
      </c>
      <c r="O317" s="15" t="s">
        <v>340</v>
      </c>
      <c r="P317" s="15" t="s">
        <v>185</v>
      </c>
      <c r="Q317" s="15" t="s">
        <v>129</v>
      </c>
      <c r="R317" s="15" t="s">
        <v>135</v>
      </c>
      <c r="S317" s="15" t="s">
        <v>341</v>
      </c>
      <c r="T317" s="15" t="s">
        <v>327</v>
      </c>
      <c r="U317" s="3" t="s">
        <v>2418</v>
      </c>
      <c r="V317" s="3" t="s">
        <v>2419</v>
      </c>
      <c r="W317" s="3"/>
      <c r="X317" s="3"/>
      <c r="Y317" s="15" t="n">
        <v>1</v>
      </c>
      <c r="Z317" s="15" t="n">
        <v>0</v>
      </c>
      <c r="AA317" s="15" t="n">
        <v>0</v>
      </c>
      <c r="AB317" s="15" t="n">
        <v>0</v>
      </c>
      <c r="AC317" s="15" t="n">
        <v>0</v>
      </c>
      <c r="AD317" s="15" t="n">
        <v>0</v>
      </c>
      <c r="AE317" s="15" t="n">
        <v>0</v>
      </c>
      <c r="AF317" s="15" t="n">
        <v>0</v>
      </c>
      <c r="AG317" s="15" t="n">
        <v>0</v>
      </c>
      <c r="AH317" s="15" t="n">
        <v>1</v>
      </c>
    </row>
    <row r="318" customFormat="false" ht="35.05" hidden="false" customHeight="false" outlineLevel="0" collapsed="false">
      <c r="A318" s="15" t="s">
        <v>2420</v>
      </c>
      <c r="B318" s="15" t="s">
        <v>37</v>
      </c>
      <c r="C318" s="15" t="s">
        <v>2295</v>
      </c>
      <c r="D318" s="15" t="n">
        <v>103</v>
      </c>
      <c r="E318" s="15" t="s">
        <v>2415</v>
      </c>
      <c r="F318" s="15" t="n">
        <v>1</v>
      </c>
      <c r="G318" s="15" t="s">
        <v>141</v>
      </c>
      <c r="H318" s="15" t="s">
        <v>142</v>
      </c>
      <c r="I318" s="3" t="s">
        <v>2421</v>
      </c>
      <c r="J318" s="3" t="s">
        <v>2422</v>
      </c>
      <c r="K318" s="15" t="s">
        <v>145</v>
      </c>
      <c r="L318" s="16" t="s">
        <v>7</v>
      </c>
      <c r="M318" s="15" t="s">
        <v>68</v>
      </c>
      <c r="N318" s="15" t="s">
        <v>82</v>
      </c>
      <c r="O318" s="15" t="s">
        <v>192</v>
      </c>
      <c r="P318" s="15" t="s">
        <v>135</v>
      </c>
      <c r="Q318" s="15" t="s">
        <v>307</v>
      </c>
      <c r="R318" s="15" t="s">
        <v>135</v>
      </c>
      <c r="S318" s="15"/>
      <c r="T318" s="15"/>
      <c r="U318" s="3" t="s">
        <v>2423</v>
      </c>
      <c r="V318" s="3" t="s">
        <v>2424</v>
      </c>
      <c r="W318" s="3"/>
      <c r="X318" s="3" t="s">
        <v>2425</v>
      </c>
      <c r="Y318" s="15" t="n">
        <v>0</v>
      </c>
      <c r="Z318" s="15" t="n">
        <v>1</v>
      </c>
      <c r="AA318" s="15" t="n">
        <v>0</v>
      </c>
      <c r="AB318" s="15" t="n">
        <v>1</v>
      </c>
      <c r="AC318" s="15" t="n">
        <v>0</v>
      </c>
      <c r="AD318" s="15" t="n">
        <v>0</v>
      </c>
      <c r="AE318" s="15" t="n">
        <v>0</v>
      </c>
      <c r="AF318" s="15" t="n">
        <v>1</v>
      </c>
      <c r="AG318" s="15" t="n">
        <v>0</v>
      </c>
      <c r="AH318" s="15" t="n">
        <v>0</v>
      </c>
    </row>
    <row r="319" customFormat="false" ht="46.25" hidden="false" customHeight="false" outlineLevel="0" collapsed="false">
      <c r="A319" s="15" t="s">
        <v>2426</v>
      </c>
      <c r="B319" s="15" t="s">
        <v>37</v>
      </c>
      <c r="C319" s="15" t="s">
        <v>2295</v>
      </c>
      <c r="D319" s="15" t="n">
        <v>103</v>
      </c>
      <c r="E319" s="15" t="s">
        <v>2415</v>
      </c>
      <c r="F319" s="15" t="n">
        <v>2</v>
      </c>
      <c r="G319" s="15" t="s">
        <v>197</v>
      </c>
      <c r="H319" s="15" t="s">
        <v>142</v>
      </c>
      <c r="I319" s="3" t="s">
        <v>2421</v>
      </c>
      <c r="J319" s="3" t="s">
        <v>2422</v>
      </c>
      <c r="K319" s="15" t="s">
        <v>133</v>
      </c>
      <c r="L319" s="16" t="s">
        <v>7</v>
      </c>
      <c r="M319" s="15" t="s">
        <v>68</v>
      </c>
      <c r="N319" s="15" t="s">
        <v>82</v>
      </c>
      <c r="O319" s="15" t="s">
        <v>192</v>
      </c>
      <c r="P319" s="15" t="s">
        <v>135</v>
      </c>
      <c r="Q319" s="15" t="s">
        <v>129</v>
      </c>
      <c r="R319" s="15" t="s">
        <v>135</v>
      </c>
      <c r="S319" s="15"/>
      <c r="T319" s="15"/>
      <c r="U319" s="3" t="s">
        <v>2427</v>
      </c>
      <c r="V319" s="3" t="s">
        <v>2428</v>
      </c>
      <c r="W319" s="3"/>
      <c r="X319" s="3" t="s">
        <v>2429</v>
      </c>
      <c r="Y319" s="15" t="n">
        <v>0</v>
      </c>
      <c r="Z319" s="15" t="n">
        <v>1</v>
      </c>
      <c r="AA319" s="15" t="n">
        <v>0</v>
      </c>
      <c r="AB319" s="15" t="n">
        <v>1</v>
      </c>
      <c r="AC319" s="15" t="n">
        <v>0</v>
      </c>
      <c r="AD319" s="15" t="n">
        <v>0</v>
      </c>
      <c r="AE319" s="15" t="n">
        <v>0</v>
      </c>
      <c r="AF319" s="15" t="n">
        <v>1</v>
      </c>
      <c r="AG319" s="15" t="n">
        <v>0</v>
      </c>
      <c r="AH319" s="15" t="n">
        <v>0</v>
      </c>
    </row>
    <row r="320" customFormat="false" ht="57.45" hidden="false" customHeight="false" outlineLevel="0" collapsed="false">
      <c r="A320" s="15" t="s">
        <v>2430</v>
      </c>
      <c r="B320" s="15" t="s">
        <v>37</v>
      </c>
      <c r="C320" s="15" t="s">
        <v>2295</v>
      </c>
      <c r="D320" s="15" t="n">
        <v>117</v>
      </c>
      <c r="E320" s="15" t="s">
        <v>2431</v>
      </c>
      <c r="F320" s="15" t="n">
        <v>0</v>
      </c>
      <c r="G320" s="15" t="s">
        <v>152</v>
      </c>
      <c r="H320" s="15" t="s">
        <v>142</v>
      </c>
      <c r="I320" s="3" t="s">
        <v>2432</v>
      </c>
      <c r="J320" s="3" t="s">
        <v>2433</v>
      </c>
      <c r="K320" s="15" t="s">
        <v>133</v>
      </c>
      <c r="L320" s="16" t="s">
        <v>7</v>
      </c>
      <c r="M320" s="15" t="s">
        <v>68</v>
      </c>
      <c r="N320" s="15" t="s">
        <v>82</v>
      </c>
      <c r="O320" s="15" t="s">
        <v>606</v>
      </c>
      <c r="P320" s="15" t="s">
        <v>185</v>
      </c>
      <c r="Q320" s="15" t="s">
        <v>152</v>
      </c>
      <c r="R320" s="15" t="s">
        <v>135</v>
      </c>
      <c r="S320" s="15"/>
      <c r="T320" s="15"/>
      <c r="U320" s="3" t="s">
        <v>2434</v>
      </c>
      <c r="V320" s="3" t="s">
        <v>2435</v>
      </c>
      <c r="W320" s="3" t="s">
        <v>2436</v>
      </c>
      <c r="X320" s="3" t="s">
        <v>2437</v>
      </c>
      <c r="Y320" s="15" t="n">
        <v>0</v>
      </c>
      <c r="Z320" s="15" t="n">
        <v>1</v>
      </c>
      <c r="AA320" s="15" t="n">
        <v>0</v>
      </c>
      <c r="AB320" s="15" t="n">
        <v>0</v>
      </c>
      <c r="AC320" s="15" t="n">
        <v>1</v>
      </c>
      <c r="AD320" s="15" t="n">
        <v>0</v>
      </c>
      <c r="AE320" s="15" t="n">
        <v>0</v>
      </c>
      <c r="AF320" s="15" t="n">
        <v>0</v>
      </c>
      <c r="AG320" s="15" t="n">
        <v>0</v>
      </c>
      <c r="AH320" s="15" t="n">
        <v>0</v>
      </c>
    </row>
    <row r="321" customFormat="false" ht="46.25" hidden="false" customHeight="false" outlineLevel="0" collapsed="false">
      <c r="A321" s="15" t="s">
        <v>2438</v>
      </c>
      <c r="B321" s="15" t="s">
        <v>37</v>
      </c>
      <c r="C321" s="15" t="s">
        <v>2295</v>
      </c>
      <c r="D321" s="15" t="n">
        <v>117</v>
      </c>
      <c r="E321" s="15" t="s">
        <v>2431</v>
      </c>
      <c r="F321" s="15" t="n">
        <v>1</v>
      </c>
      <c r="G321" s="15" t="s">
        <v>141</v>
      </c>
      <c r="H321" s="15" t="s">
        <v>142</v>
      </c>
      <c r="I321" s="3" t="s">
        <v>2439</v>
      </c>
      <c r="J321" s="3" t="s">
        <v>2440</v>
      </c>
      <c r="K321" s="15" t="s">
        <v>145</v>
      </c>
      <c r="L321" s="16" t="s">
        <v>7</v>
      </c>
      <c r="M321" s="15" t="s">
        <v>68</v>
      </c>
      <c r="N321" s="15" t="s">
        <v>82</v>
      </c>
      <c r="O321" s="15" t="s">
        <v>2441</v>
      </c>
      <c r="P321" s="15" t="s">
        <v>185</v>
      </c>
      <c r="Q321" s="15" t="s">
        <v>141</v>
      </c>
      <c r="R321" s="15" t="s">
        <v>135</v>
      </c>
      <c r="S321" s="15"/>
      <c r="T321" s="15"/>
      <c r="U321" s="3" t="s">
        <v>2442</v>
      </c>
      <c r="V321" s="3" t="s">
        <v>2443</v>
      </c>
      <c r="W321" s="3" t="s">
        <v>2444</v>
      </c>
      <c r="X321" s="3" t="s">
        <v>2445</v>
      </c>
      <c r="Y321" s="15" t="n">
        <v>0</v>
      </c>
      <c r="Z321" s="15" t="n">
        <v>1</v>
      </c>
      <c r="AA321" s="15" t="n">
        <v>1</v>
      </c>
      <c r="AB321" s="15" t="n">
        <v>0</v>
      </c>
      <c r="AC321" s="15" t="n">
        <v>0</v>
      </c>
      <c r="AD321" s="15" t="n">
        <v>0</v>
      </c>
      <c r="AE321" s="15" t="n">
        <v>0</v>
      </c>
      <c r="AF321" s="15" t="n">
        <v>0</v>
      </c>
      <c r="AG321" s="15" t="n">
        <v>0</v>
      </c>
      <c r="AH321" s="15" t="n">
        <v>1</v>
      </c>
    </row>
    <row r="322" customFormat="false" ht="35.05" hidden="false" customHeight="false" outlineLevel="0" collapsed="false">
      <c r="A322" s="15" t="s">
        <v>2446</v>
      </c>
      <c r="B322" s="15" t="s">
        <v>37</v>
      </c>
      <c r="C322" s="15" t="s">
        <v>2295</v>
      </c>
      <c r="D322" s="15" t="n">
        <v>117</v>
      </c>
      <c r="E322" s="15" t="s">
        <v>2431</v>
      </c>
      <c r="F322" s="15" t="n">
        <v>2</v>
      </c>
      <c r="G322" s="15" t="s">
        <v>129</v>
      </c>
      <c r="H322" s="15" t="s">
        <v>130</v>
      </c>
      <c r="I322" s="3" t="s">
        <v>2447</v>
      </c>
      <c r="J322" s="3" t="s">
        <v>2448</v>
      </c>
      <c r="K322" s="15" t="s">
        <v>133</v>
      </c>
      <c r="L322" s="16" t="s">
        <v>7</v>
      </c>
      <c r="M322" s="15" t="s">
        <v>68</v>
      </c>
      <c r="N322" s="15" t="s">
        <v>82</v>
      </c>
      <c r="O322" s="15" t="s">
        <v>215</v>
      </c>
      <c r="P322" s="15" t="s">
        <v>135</v>
      </c>
      <c r="Q322" s="15" t="s">
        <v>307</v>
      </c>
      <c r="R322" s="15" t="s">
        <v>135</v>
      </c>
      <c r="S322" s="15"/>
      <c r="T322" s="15"/>
      <c r="U322" s="3" t="s">
        <v>2449</v>
      </c>
      <c r="V322" s="3" t="s">
        <v>2450</v>
      </c>
      <c r="W322" s="3" t="s">
        <v>2451</v>
      </c>
      <c r="X322" s="3" t="s">
        <v>2452</v>
      </c>
      <c r="Y322" s="15" t="n">
        <v>0</v>
      </c>
      <c r="Z322" s="15" t="n">
        <v>1</v>
      </c>
      <c r="AA322" s="15" t="n">
        <v>0</v>
      </c>
      <c r="AB322" s="15" t="n">
        <v>0</v>
      </c>
      <c r="AC322" s="15" t="n">
        <v>0</v>
      </c>
      <c r="AD322" s="15" t="n">
        <v>0</v>
      </c>
      <c r="AE322" s="15" t="n">
        <v>0</v>
      </c>
      <c r="AF322" s="15" t="n">
        <v>1</v>
      </c>
      <c r="AG322" s="15" t="n">
        <v>0</v>
      </c>
      <c r="AH322" s="15" t="n">
        <v>0</v>
      </c>
    </row>
    <row r="323" customFormat="false" ht="46.25" hidden="false" customHeight="false" outlineLevel="0" collapsed="false">
      <c r="A323" s="15" t="s">
        <v>2453</v>
      </c>
      <c r="B323" s="15" t="s">
        <v>37</v>
      </c>
      <c r="C323" s="15" t="s">
        <v>2295</v>
      </c>
      <c r="D323" s="15" t="n">
        <v>118</v>
      </c>
      <c r="E323" s="15" t="s">
        <v>2454</v>
      </c>
      <c r="F323" s="15" t="n">
        <v>0</v>
      </c>
      <c r="G323" s="15" t="s">
        <v>129</v>
      </c>
      <c r="H323" s="15" t="s">
        <v>130</v>
      </c>
      <c r="I323" s="3" t="s">
        <v>2455</v>
      </c>
      <c r="J323" s="3" t="s">
        <v>2456</v>
      </c>
      <c r="K323" s="15" t="s">
        <v>133</v>
      </c>
      <c r="L323" s="16" t="s">
        <v>7</v>
      </c>
      <c r="M323" s="15" t="s">
        <v>68</v>
      </c>
      <c r="N323" s="15" t="s">
        <v>82</v>
      </c>
      <c r="O323" s="15" t="s">
        <v>349</v>
      </c>
      <c r="P323" s="15" t="s">
        <v>135</v>
      </c>
      <c r="Q323" s="15" t="s">
        <v>197</v>
      </c>
      <c r="R323" s="15" t="s">
        <v>135</v>
      </c>
      <c r="S323" s="15"/>
      <c r="T323" s="15"/>
      <c r="U323" s="3" t="s">
        <v>2457</v>
      </c>
      <c r="V323" s="3" t="s">
        <v>2458</v>
      </c>
      <c r="W323" s="3" t="s">
        <v>2459</v>
      </c>
      <c r="X323" s="3" t="s">
        <v>2460</v>
      </c>
      <c r="Y323" s="15" t="n">
        <v>0</v>
      </c>
      <c r="Z323" s="15" t="n">
        <v>1</v>
      </c>
      <c r="AA323" s="15" t="n">
        <v>0</v>
      </c>
      <c r="AB323" s="15" t="n">
        <v>0</v>
      </c>
      <c r="AC323" s="15" t="n">
        <v>1</v>
      </c>
      <c r="AD323" s="15" t="n">
        <v>0</v>
      </c>
      <c r="AE323" s="15" t="n">
        <v>0</v>
      </c>
      <c r="AF323" s="15" t="n">
        <v>1</v>
      </c>
      <c r="AG323" s="15" t="n">
        <v>0</v>
      </c>
      <c r="AH323" s="15" t="n">
        <v>1</v>
      </c>
    </row>
    <row r="324" customFormat="false" ht="46.25" hidden="false" customHeight="false" outlineLevel="0" collapsed="false">
      <c r="A324" s="15" t="s">
        <v>2461</v>
      </c>
      <c r="B324" s="15" t="s">
        <v>37</v>
      </c>
      <c r="C324" s="15" t="s">
        <v>2295</v>
      </c>
      <c r="D324" s="15" t="n">
        <v>118</v>
      </c>
      <c r="E324" s="15" t="s">
        <v>2454</v>
      </c>
      <c r="F324" s="15" t="n">
        <v>1</v>
      </c>
      <c r="G324" s="15" t="s">
        <v>152</v>
      </c>
      <c r="H324" s="15" t="s">
        <v>142</v>
      </c>
      <c r="I324" s="3" t="s">
        <v>2462</v>
      </c>
      <c r="J324" s="3" t="s">
        <v>2463</v>
      </c>
      <c r="K324" s="15" t="s">
        <v>145</v>
      </c>
      <c r="L324" s="16" t="s">
        <v>7</v>
      </c>
      <c r="M324" s="15" t="s">
        <v>68</v>
      </c>
      <c r="N324" s="15" t="s">
        <v>82</v>
      </c>
      <c r="O324" s="15" t="s">
        <v>651</v>
      </c>
      <c r="P324" s="15" t="s">
        <v>185</v>
      </c>
      <c r="Q324" s="15" t="s">
        <v>152</v>
      </c>
      <c r="R324" s="15" t="s">
        <v>135</v>
      </c>
      <c r="S324" s="15"/>
      <c r="T324" s="15"/>
      <c r="U324" s="3" t="s">
        <v>2464</v>
      </c>
      <c r="V324" s="3" t="s">
        <v>2465</v>
      </c>
      <c r="W324" s="3"/>
      <c r="X324" s="3" t="s">
        <v>2466</v>
      </c>
      <c r="Y324" s="15" t="n">
        <v>0</v>
      </c>
      <c r="Z324" s="15" t="n">
        <v>1</v>
      </c>
      <c r="AA324" s="15" t="n">
        <v>0</v>
      </c>
      <c r="AB324" s="15" t="n">
        <v>0</v>
      </c>
      <c r="AC324" s="15" t="n">
        <v>0</v>
      </c>
      <c r="AD324" s="15" t="n">
        <v>1</v>
      </c>
      <c r="AE324" s="15" t="n">
        <v>0</v>
      </c>
      <c r="AF324" s="15" t="n">
        <v>0</v>
      </c>
      <c r="AG324" s="15" t="n">
        <v>0</v>
      </c>
      <c r="AH324" s="15" t="n">
        <v>0</v>
      </c>
    </row>
    <row r="325" customFormat="false" ht="68.65" hidden="false" customHeight="false" outlineLevel="0" collapsed="false">
      <c r="A325" s="15" t="s">
        <v>2467</v>
      </c>
      <c r="B325" s="15" t="s">
        <v>37</v>
      </c>
      <c r="C325" s="15" t="s">
        <v>2295</v>
      </c>
      <c r="D325" s="15" t="n">
        <v>118</v>
      </c>
      <c r="E325" s="15" t="s">
        <v>2454</v>
      </c>
      <c r="F325" s="15" t="n">
        <v>2</v>
      </c>
      <c r="G325" s="15" t="s">
        <v>307</v>
      </c>
      <c r="H325" s="15" t="s">
        <v>308</v>
      </c>
      <c r="I325" s="3" t="s">
        <v>2468</v>
      </c>
      <c r="J325" s="3" t="s">
        <v>2469</v>
      </c>
      <c r="K325" s="15" t="s">
        <v>133</v>
      </c>
      <c r="L325" s="16" t="s">
        <v>7</v>
      </c>
      <c r="M325" s="15" t="s">
        <v>68</v>
      </c>
      <c r="N325" s="15" t="s">
        <v>82</v>
      </c>
      <c r="O325" s="15" t="s">
        <v>2470</v>
      </c>
      <c r="P325" s="15" t="s">
        <v>135</v>
      </c>
      <c r="Q325" s="15" t="s">
        <v>197</v>
      </c>
      <c r="R325" s="15" t="s">
        <v>135</v>
      </c>
      <c r="S325" s="15"/>
      <c r="T325" s="15"/>
      <c r="U325" s="3" t="s">
        <v>2471</v>
      </c>
      <c r="V325" s="3" t="s">
        <v>2472</v>
      </c>
      <c r="W325" s="3" t="s">
        <v>2473</v>
      </c>
      <c r="X325" s="3" t="s">
        <v>2474</v>
      </c>
      <c r="Y325" s="15" t="n">
        <v>0</v>
      </c>
      <c r="Z325" s="15" t="n">
        <v>1</v>
      </c>
      <c r="AA325" s="15" t="n">
        <v>0</v>
      </c>
      <c r="AB325" s="15" t="n">
        <v>0</v>
      </c>
      <c r="AC325" s="15" t="n">
        <v>0</v>
      </c>
      <c r="AD325" s="15" t="n">
        <v>1</v>
      </c>
      <c r="AE325" s="15" t="n">
        <v>0</v>
      </c>
      <c r="AF325" s="15" t="n">
        <v>1</v>
      </c>
      <c r="AG325" s="15" t="n">
        <v>0</v>
      </c>
      <c r="AH325" s="15" t="n">
        <v>1</v>
      </c>
    </row>
    <row r="326" customFormat="false" ht="46.25" hidden="false" customHeight="false" outlineLevel="0" collapsed="false">
      <c r="A326" s="15" t="s">
        <v>2475</v>
      </c>
      <c r="B326" s="15" t="s">
        <v>37</v>
      </c>
      <c r="C326" s="15" t="s">
        <v>2295</v>
      </c>
      <c r="D326" s="15" t="n">
        <v>120</v>
      </c>
      <c r="E326" s="15" t="s">
        <v>2476</v>
      </c>
      <c r="F326" s="15" t="n">
        <v>0</v>
      </c>
      <c r="G326" s="15" t="s">
        <v>152</v>
      </c>
      <c r="H326" s="15" t="s">
        <v>142</v>
      </c>
      <c r="I326" s="3" t="s">
        <v>2477</v>
      </c>
      <c r="J326" s="3" t="s">
        <v>2478</v>
      </c>
      <c r="K326" s="15" t="s">
        <v>133</v>
      </c>
      <c r="L326" s="16" t="s">
        <v>7</v>
      </c>
      <c r="M326" s="15" t="s">
        <v>68</v>
      </c>
      <c r="N326" s="15" t="s">
        <v>82</v>
      </c>
      <c r="O326" s="15" t="s">
        <v>2479</v>
      </c>
      <c r="P326" s="15" t="s">
        <v>185</v>
      </c>
      <c r="Q326" s="15" t="s">
        <v>152</v>
      </c>
      <c r="R326" s="15" t="s">
        <v>135</v>
      </c>
      <c r="S326" s="15"/>
      <c r="T326" s="15"/>
      <c r="U326" s="3" t="s">
        <v>2480</v>
      </c>
      <c r="V326" s="3" t="s">
        <v>2481</v>
      </c>
      <c r="W326" s="3"/>
      <c r="X326" s="3" t="s">
        <v>2482</v>
      </c>
      <c r="Y326" s="15" t="n">
        <v>0</v>
      </c>
      <c r="Z326" s="15" t="n">
        <v>1</v>
      </c>
      <c r="AA326" s="15" t="n">
        <v>0</v>
      </c>
      <c r="AB326" s="15" t="n">
        <v>1</v>
      </c>
      <c r="AC326" s="15" t="n">
        <v>1</v>
      </c>
      <c r="AD326" s="15" t="n">
        <v>0</v>
      </c>
      <c r="AE326" s="15" t="n">
        <v>0</v>
      </c>
      <c r="AF326" s="15" t="n">
        <v>0</v>
      </c>
      <c r="AG326" s="15" t="n">
        <v>0</v>
      </c>
      <c r="AH326" s="15" t="n">
        <v>0</v>
      </c>
    </row>
    <row r="327" customFormat="false" ht="35.05" hidden="false" customHeight="false" outlineLevel="0" collapsed="false">
      <c r="A327" s="15" t="s">
        <v>2483</v>
      </c>
      <c r="B327" s="15" t="s">
        <v>37</v>
      </c>
      <c r="C327" s="15" t="s">
        <v>2295</v>
      </c>
      <c r="D327" s="15" t="n">
        <v>120</v>
      </c>
      <c r="E327" s="15" t="s">
        <v>2476</v>
      </c>
      <c r="F327" s="15" t="n">
        <v>1</v>
      </c>
      <c r="G327" s="15" t="s">
        <v>129</v>
      </c>
      <c r="H327" s="15" t="s">
        <v>130</v>
      </c>
      <c r="I327" s="3" t="s">
        <v>2484</v>
      </c>
      <c r="J327" s="3" t="s">
        <v>2485</v>
      </c>
      <c r="K327" s="15" t="s">
        <v>145</v>
      </c>
      <c r="L327" s="16" t="s">
        <v>7</v>
      </c>
      <c r="M327" s="15" t="s">
        <v>68</v>
      </c>
      <c r="N327" s="15" t="s">
        <v>82</v>
      </c>
      <c r="O327" s="15" t="s">
        <v>215</v>
      </c>
      <c r="P327" s="15" t="s">
        <v>135</v>
      </c>
      <c r="Q327" s="15" t="s">
        <v>197</v>
      </c>
      <c r="R327" s="15" t="s">
        <v>135</v>
      </c>
      <c r="S327" s="15"/>
      <c r="T327" s="15"/>
      <c r="U327" s="3" t="s">
        <v>2486</v>
      </c>
      <c r="V327" s="3" t="s">
        <v>2487</v>
      </c>
      <c r="W327" s="3" t="s">
        <v>2488</v>
      </c>
      <c r="X327" s="3" t="s">
        <v>2489</v>
      </c>
      <c r="Y327" s="15" t="n">
        <v>0</v>
      </c>
      <c r="Z327" s="15" t="n">
        <v>1</v>
      </c>
      <c r="AA327" s="15" t="n">
        <v>0</v>
      </c>
      <c r="AB327" s="15" t="n">
        <v>0</v>
      </c>
      <c r="AC327" s="15" t="n">
        <v>0</v>
      </c>
      <c r="AD327" s="15" t="n">
        <v>0</v>
      </c>
      <c r="AE327" s="15" t="n">
        <v>0</v>
      </c>
      <c r="AF327" s="15" t="n">
        <v>1</v>
      </c>
      <c r="AG327" s="15" t="n">
        <v>0</v>
      </c>
      <c r="AH327" s="15" t="n">
        <v>0</v>
      </c>
    </row>
    <row r="328" customFormat="false" ht="46.25" hidden="false" customHeight="false" outlineLevel="0" collapsed="false">
      <c r="A328" s="15" t="s">
        <v>2490</v>
      </c>
      <c r="B328" s="15" t="s">
        <v>37</v>
      </c>
      <c r="C328" s="15" t="s">
        <v>2295</v>
      </c>
      <c r="D328" s="15" t="n">
        <v>120</v>
      </c>
      <c r="E328" s="15" t="s">
        <v>2476</v>
      </c>
      <c r="F328" s="15" t="n">
        <v>2</v>
      </c>
      <c r="G328" s="15" t="s">
        <v>197</v>
      </c>
      <c r="H328" s="15" t="s">
        <v>142</v>
      </c>
      <c r="I328" s="3" t="s">
        <v>2491</v>
      </c>
      <c r="J328" s="3" t="s">
        <v>2492</v>
      </c>
      <c r="K328" s="15" t="s">
        <v>133</v>
      </c>
      <c r="L328" s="16" t="s">
        <v>7</v>
      </c>
      <c r="M328" s="15" t="s">
        <v>68</v>
      </c>
      <c r="N328" s="15" t="s">
        <v>82</v>
      </c>
      <c r="O328" s="15" t="s">
        <v>651</v>
      </c>
      <c r="P328" s="15" t="s">
        <v>185</v>
      </c>
      <c r="Q328" s="15" t="s">
        <v>197</v>
      </c>
      <c r="R328" s="15" t="s">
        <v>135</v>
      </c>
      <c r="S328" s="15"/>
      <c r="T328" s="15"/>
      <c r="U328" s="3" t="s">
        <v>2493</v>
      </c>
      <c r="V328" s="3" t="s">
        <v>2494</v>
      </c>
      <c r="W328" s="3"/>
      <c r="X328" s="3" t="s">
        <v>2495</v>
      </c>
      <c r="Y328" s="15" t="n">
        <v>0</v>
      </c>
      <c r="Z328" s="15" t="n">
        <v>1</v>
      </c>
      <c r="AA328" s="15" t="n">
        <v>0</v>
      </c>
      <c r="AB328" s="15" t="n">
        <v>0</v>
      </c>
      <c r="AC328" s="15" t="n">
        <v>0</v>
      </c>
      <c r="AD328" s="15" t="n">
        <v>1</v>
      </c>
      <c r="AE328" s="15" t="n">
        <v>0</v>
      </c>
      <c r="AF328" s="15" t="n">
        <v>0</v>
      </c>
      <c r="AG328" s="15" t="n">
        <v>0</v>
      </c>
      <c r="AH328" s="15" t="n">
        <v>0</v>
      </c>
    </row>
    <row r="329" customFormat="false" ht="46.25" hidden="false" customHeight="false" outlineLevel="0" collapsed="false">
      <c r="A329" s="15" t="s">
        <v>2496</v>
      </c>
      <c r="B329" s="15" t="s">
        <v>37</v>
      </c>
      <c r="C329" s="15" t="s">
        <v>2497</v>
      </c>
      <c r="D329" s="15" t="n">
        <v>40</v>
      </c>
      <c r="E329" s="15" t="s">
        <v>2498</v>
      </c>
      <c r="F329" s="15" t="n">
        <v>0</v>
      </c>
      <c r="G329" s="15" t="s">
        <v>197</v>
      </c>
      <c r="H329" s="15" t="s">
        <v>142</v>
      </c>
      <c r="I329" s="3" t="s">
        <v>2499</v>
      </c>
      <c r="J329" s="3" t="s">
        <v>2500</v>
      </c>
      <c r="K329" s="15" t="s">
        <v>133</v>
      </c>
      <c r="L329" s="16" t="s">
        <v>7</v>
      </c>
      <c r="M329" s="15" t="s">
        <v>68</v>
      </c>
      <c r="N329" s="15" t="s">
        <v>82</v>
      </c>
      <c r="O329" s="15" t="s">
        <v>1247</v>
      </c>
      <c r="P329" s="15" t="s">
        <v>135</v>
      </c>
      <c r="Q329" s="15" t="s">
        <v>129</v>
      </c>
      <c r="R329" s="15" t="s">
        <v>135</v>
      </c>
      <c r="S329" s="15"/>
      <c r="T329" s="15"/>
      <c r="U329" s="3" t="s">
        <v>2501</v>
      </c>
      <c r="V329" s="3" t="s">
        <v>2502</v>
      </c>
      <c r="W329" s="3" t="s">
        <v>2503</v>
      </c>
      <c r="X329" s="3" t="s">
        <v>2504</v>
      </c>
      <c r="Y329" s="15" t="n">
        <v>0</v>
      </c>
      <c r="Z329" s="15" t="n">
        <v>1</v>
      </c>
      <c r="AA329" s="15" t="n">
        <v>0</v>
      </c>
      <c r="AB329" s="15" t="n">
        <v>0</v>
      </c>
      <c r="AC329" s="15" t="n">
        <v>1</v>
      </c>
      <c r="AD329" s="15" t="n">
        <v>0</v>
      </c>
      <c r="AE329" s="15" t="n">
        <v>0</v>
      </c>
      <c r="AF329" s="15" t="n">
        <v>1</v>
      </c>
      <c r="AG329" s="15" t="n">
        <v>0</v>
      </c>
      <c r="AH329" s="15" t="n">
        <v>1</v>
      </c>
    </row>
    <row r="330" customFormat="false" ht="46.25" hidden="false" customHeight="false" outlineLevel="0" collapsed="false">
      <c r="A330" s="15" t="s">
        <v>2505</v>
      </c>
      <c r="B330" s="15" t="s">
        <v>37</v>
      </c>
      <c r="C330" s="15" t="s">
        <v>2497</v>
      </c>
      <c r="D330" s="15" t="n">
        <v>40</v>
      </c>
      <c r="E330" s="15" t="s">
        <v>2498</v>
      </c>
      <c r="F330" s="15" t="n">
        <v>1</v>
      </c>
      <c r="G330" s="15" t="s">
        <v>141</v>
      </c>
      <c r="H330" s="15" t="s">
        <v>142</v>
      </c>
      <c r="I330" s="3" t="s">
        <v>2506</v>
      </c>
      <c r="J330" s="3" t="s">
        <v>2507</v>
      </c>
      <c r="K330" s="15" t="s">
        <v>145</v>
      </c>
      <c r="L330" s="16" t="s">
        <v>7</v>
      </c>
      <c r="M330" s="15" t="s">
        <v>68</v>
      </c>
      <c r="N330" s="15" t="s">
        <v>85</v>
      </c>
      <c r="O330" s="15" t="s">
        <v>483</v>
      </c>
      <c r="P330" s="15" t="s">
        <v>135</v>
      </c>
      <c r="Q330" s="15" t="s">
        <v>129</v>
      </c>
      <c r="R330" s="15" t="s">
        <v>135</v>
      </c>
      <c r="S330" s="15"/>
      <c r="T330" s="15"/>
      <c r="U330" s="3" t="s">
        <v>2508</v>
      </c>
      <c r="V330" s="3" t="s">
        <v>2509</v>
      </c>
      <c r="W330" s="3" t="s">
        <v>2510</v>
      </c>
      <c r="X330" s="3" t="s">
        <v>2511</v>
      </c>
      <c r="Y330" s="15" t="n">
        <v>0</v>
      </c>
      <c r="Z330" s="15" t="n">
        <v>0</v>
      </c>
      <c r="AA330" s="15" t="n">
        <v>0</v>
      </c>
      <c r="AB330" s="15" t="n">
        <v>0</v>
      </c>
      <c r="AC330" s="15" t="n">
        <v>1</v>
      </c>
      <c r="AD330" s="15" t="n">
        <v>0</v>
      </c>
      <c r="AE330" s="15" t="n">
        <v>0</v>
      </c>
      <c r="AF330" s="15" t="n">
        <v>1</v>
      </c>
      <c r="AG330" s="15" t="n">
        <v>0</v>
      </c>
      <c r="AH330" s="15" t="n">
        <v>1</v>
      </c>
    </row>
    <row r="331" customFormat="false" ht="35.05" hidden="false" customHeight="false" outlineLevel="0" collapsed="false">
      <c r="A331" s="15" t="s">
        <v>2512</v>
      </c>
      <c r="B331" s="15" t="s">
        <v>37</v>
      </c>
      <c r="C331" s="15" t="s">
        <v>2497</v>
      </c>
      <c r="D331" s="15" t="n">
        <v>40</v>
      </c>
      <c r="E331" s="15" t="s">
        <v>2498</v>
      </c>
      <c r="F331" s="15" t="n">
        <v>2</v>
      </c>
      <c r="G331" s="15" t="s">
        <v>129</v>
      </c>
      <c r="H331" s="15" t="s">
        <v>130</v>
      </c>
      <c r="I331" s="3" t="s">
        <v>2513</v>
      </c>
      <c r="J331" s="3" t="s">
        <v>2514</v>
      </c>
      <c r="K331" s="15" t="s">
        <v>133</v>
      </c>
      <c r="L331" s="16" t="s">
        <v>7</v>
      </c>
      <c r="M331" s="15" t="s">
        <v>68</v>
      </c>
      <c r="N331" s="15" t="s">
        <v>82</v>
      </c>
      <c r="O331" s="15" t="s">
        <v>176</v>
      </c>
      <c r="P331" s="15" t="s">
        <v>135</v>
      </c>
      <c r="Q331" s="15" t="s">
        <v>136</v>
      </c>
      <c r="R331" s="15" t="s">
        <v>135</v>
      </c>
      <c r="S331" s="15"/>
      <c r="T331" s="15"/>
      <c r="U331" s="3" t="s">
        <v>2515</v>
      </c>
      <c r="V331" s="3" t="s">
        <v>2516</v>
      </c>
      <c r="W331" s="3" t="s">
        <v>2517</v>
      </c>
      <c r="X331" s="3" t="s">
        <v>2518</v>
      </c>
      <c r="Y331" s="15" t="n">
        <v>0</v>
      </c>
      <c r="Z331" s="15" t="n">
        <v>1</v>
      </c>
      <c r="AA331" s="15" t="n">
        <v>0</v>
      </c>
      <c r="AB331" s="15" t="n">
        <v>0</v>
      </c>
      <c r="AC331" s="15" t="n">
        <v>1</v>
      </c>
      <c r="AD331" s="15" t="n">
        <v>0</v>
      </c>
      <c r="AE331" s="15" t="n">
        <v>0</v>
      </c>
      <c r="AF331" s="15" t="n">
        <v>1</v>
      </c>
      <c r="AG331" s="15" t="n">
        <v>0</v>
      </c>
      <c r="AH331" s="15" t="n">
        <v>0</v>
      </c>
    </row>
    <row r="332" customFormat="false" ht="46.25" hidden="false" customHeight="false" outlineLevel="0" collapsed="false">
      <c r="A332" s="15" t="s">
        <v>2519</v>
      </c>
      <c r="B332" s="15" t="s">
        <v>37</v>
      </c>
      <c r="C332" s="15" t="s">
        <v>2497</v>
      </c>
      <c r="D332" s="15" t="n">
        <v>41</v>
      </c>
      <c r="E332" s="15" t="s">
        <v>2520</v>
      </c>
      <c r="F332" s="15" t="n">
        <v>0</v>
      </c>
      <c r="G332" s="15" t="s">
        <v>197</v>
      </c>
      <c r="H332" s="15" t="s">
        <v>142</v>
      </c>
      <c r="I332" s="3" t="s">
        <v>2521</v>
      </c>
      <c r="J332" s="3" t="s">
        <v>2522</v>
      </c>
      <c r="K332" s="15" t="s">
        <v>133</v>
      </c>
      <c r="L332" s="16" t="s">
        <v>7</v>
      </c>
      <c r="M332" s="15" t="s">
        <v>68</v>
      </c>
      <c r="N332" s="15" t="s">
        <v>82</v>
      </c>
      <c r="O332" s="15" t="s">
        <v>222</v>
      </c>
      <c r="P332" s="15" t="s">
        <v>135</v>
      </c>
      <c r="Q332" s="15" t="s">
        <v>129</v>
      </c>
      <c r="R332" s="15" t="s">
        <v>135</v>
      </c>
      <c r="S332" s="15"/>
      <c r="T332" s="15"/>
      <c r="U332" s="3" t="s">
        <v>2523</v>
      </c>
      <c r="V332" s="3" t="s">
        <v>2524</v>
      </c>
      <c r="W332" s="3" t="s">
        <v>2525</v>
      </c>
      <c r="X332" s="3" t="s">
        <v>2526</v>
      </c>
      <c r="Y332" s="15" t="n">
        <v>0</v>
      </c>
      <c r="Z332" s="15" t="n">
        <v>1</v>
      </c>
      <c r="AA332" s="15" t="n">
        <v>0</v>
      </c>
      <c r="AB332" s="15" t="n">
        <v>0</v>
      </c>
      <c r="AC332" s="15" t="n">
        <v>0</v>
      </c>
      <c r="AD332" s="15" t="n">
        <v>0</v>
      </c>
      <c r="AE332" s="15" t="n">
        <v>0</v>
      </c>
      <c r="AF332" s="15" t="n">
        <v>1</v>
      </c>
      <c r="AG332" s="15" t="n">
        <v>0</v>
      </c>
      <c r="AH332" s="15" t="n">
        <v>1</v>
      </c>
    </row>
    <row r="333" customFormat="false" ht="46.25" hidden="false" customHeight="false" outlineLevel="0" collapsed="false">
      <c r="A333" s="15" t="s">
        <v>2527</v>
      </c>
      <c r="B333" s="15" t="s">
        <v>37</v>
      </c>
      <c r="C333" s="15" t="s">
        <v>2497</v>
      </c>
      <c r="D333" s="15" t="n">
        <v>41</v>
      </c>
      <c r="E333" s="15" t="s">
        <v>2520</v>
      </c>
      <c r="F333" s="15" t="n">
        <v>1</v>
      </c>
      <c r="G333" s="15" t="s">
        <v>152</v>
      </c>
      <c r="H333" s="15" t="s">
        <v>142</v>
      </c>
      <c r="I333" s="3" t="s">
        <v>2528</v>
      </c>
      <c r="J333" s="3" t="s">
        <v>2529</v>
      </c>
      <c r="K333" s="15" t="s">
        <v>145</v>
      </c>
      <c r="L333" s="16" t="s">
        <v>7</v>
      </c>
      <c r="M333" s="15" t="s">
        <v>68</v>
      </c>
      <c r="N333" s="15" t="s">
        <v>82</v>
      </c>
      <c r="O333" s="15" t="s">
        <v>192</v>
      </c>
      <c r="P333" s="15" t="s">
        <v>135</v>
      </c>
      <c r="Q333" s="15" t="s">
        <v>136</v>
      </c>
      <c r="R333" s="15" t="s">
        <v>135</v>
      </c>
      <c r="S333" s="15"/>
      <c r="T333" s="15"/>
      <c r="U333" s="3" t="s">
        <v>2530</v>
      </c>
      <c r="V333" s="3" t="s">
        <v>2531</v>
      </c>
      <c r="W333" s="3" t="s">
        <v>2532</v>
      </c>
      <c r="X333" s="3" t="s">
        <v>2533</v>
      </c>
      <c r="Y333" s="15" t="n">
        <v>0</v>
      </c>
      <c r="Z333" s="15" t="n">
        <v>1</v>
      </c>
      <c r="AA333" s="15" t="n">
        <v>0</v>
      </c>
      <c r="AB333" s="15" t="n">
        <v>1</v>
      </c>
      <c r="AC333" s="15" t="n">
        <v>0</v>
      </c>
      <c r="AD333" s="15" t="n">
        <v>0</v>
      </c>
      <c r="AE333" s="15" t="n">
        <v>0</v>
      </c>
      <c r="AF333" s="15" t="n">
        <v>1</v>
      </c>
      <c r="AG333" s="15" t="n">
        <v>0</v>
      </c>
      <c r="AH333" s="15" t="n">
        <v>0</v>
      </c>
    </row>
    <row r="334" customFormat="false" ht="46.25" hidden="false" customHeight="false" outlineLevel="0" collapsed="false">
      <c r="A334" s="15" t="s">
        <v>2534</v>
      </c>
      <c r="B334" s="15" t="s">
        <v>37</v>
      </c>
      <c r="C334" s="15" t="s">
        <v>2497</v>
      </c>
      <c r="D334" s="15" t="n">
        <v>41</v>
      </c>
      <c r="E334" s="15" t="s">
        <v>2520</v>
      </c>
      <c r="F334" s="15" t="n">
        <v>2</v>
      </c>
      <c r="G334" s="15" t="s">
        <v>141</v>
      </c>
      <c r="H334" s="15" t="s">
        <v>142</v>
      </c>
      <c r="I334" s="3" t="s">
        <v>2535</v>
      </c>
      <c r="J334" s="3" t="s">
        <v>2536</v>
      </c>
      <c r="K334" s="15" t="s">
        <v>133</v>
      </c>
      <c r="L334" s="16" t="s">
        <v>7</v>
      </c>
      <c r="M334" s="15" t="s">
        <v>68</v>
      </c>
      <c r="N334" s="15" t="s">
        <v>82</v>
      </c>
      <c r="O334" s="15" t="s">
        <v>1116</v>
      </c>
      <c r="P334" s="15" t="s">
        <v>135</v>
      </c>
      <c r="Q334" s="15" t="s">
        <v>307</v>
      </c>
      <c r="R334" s="15" t="s">
        <v>135</v>
      </c>
      <c r="S334" s="15"/>
      <c r="T334" s="15"/>
      <c r="U334" s="3" t="s">
        <v>2537</v>
      </c>
      <c r="V334" s="3" t="s">
        <v>2538</v>
      </c>
      <c r="W334" s="3" t="s">
        <v>2539</v>
      </c>
      <c r="X334" s="3" t="s">
        <v>2540</v>
      </c>
      <c r="Y334" s="15" t="n">
        <v>0</v>
      </c>
      <c r="Z334" s="15" t="n">
        <v>1</v>
      </c>
      <c r="AA334" s="15" t="n">
        <v>1</v>
      </c>
      <c r="AB334" s="15" t="n">
        <v>0</v>
      </c>
      <c r="AC334" s="15" t="n">
        <v>0</v>
      </c>
      <c r="AD334" s="15" t="n">
        <v>0</v>
      </c>
      <c r="AE334" s="15" t="n">
        <v>0</v>
      </c>
      <c r="AF334" s="15" t="n">
        <v>1</v>
      </c>
      <c r="AG334" s="15" t="n">
        <v>0</v>
      </c>
      <c r="AH334" s="15" t="n">
        <v>0</v>
      </c>
    </row>
    <row r="335" customFormat="false" ht="46.25" hidden="false" customHeight="false" outlineLevel="0" collapsed="false">
      <c r="A335" s="15" t="s">
        <v>2541</v>
      </c>
      <c r="B335" s="15" t="s">
        <v>37</v>
      </c>
      <c r="C335" s="15" t="s">
        <v>2497</v>
      </c>
      <c r="D335" s="15" t="n">
        <v>46</v>
      </c>
      <c r="E335" s="15" t="s">
        <v>2542</v>
      </c>
      <c r="F335" s="15" t="n">
        <v>0</v>
      </c>
      <c r="G335" s="15" t="s">
        <v>197</v>
      </c>
      <c r="H335" s="15" t="s">
        <v>142</v>
      </c>
      <c r="I335" s="3" t="s">
        <v>2543</v>
      </c>
      <c r="J335" s="3" t="s">
        <v>2544</v>
      </c>
      <c r="K335" s="15" t="s">
        <v>133</v>
      </c>
      <c r="L335" s="17" t="s">
        <v>9</v>
      </c>
      <c r="M335" s="15" t="s">
        <v>70</v>
      </c>
      <c r="N335" s="15" t="s">
        <v>81</v>
      </c>
      <c r="O335" s="15" t="s">
        <v>81</v>
      </c>
      <c r="P335" s="15" t="s">
        <v>135</v>
      </c>
      <c r="Q335" s="15" t="s">
        <v>129</v>
      </c>
      <c r="R335" s="15" t="s">
        <v>135</v>
      </c>
      <c r="S335" s="15" t="s">
        <v>1166</v>
      </c>
      <c r="T335" s="15" t="s">
        <v>390</v>
      </c>
      <c r="U335" s="3" t="s">
        <v>2545</v>
      </c>
      <c r="V335" s="3" t="s">
        <v>2546</v>
      </c>
      <c r="W335" s="3"/>
      <c r="X335" s="3"/>
      <c r="Y335" s="15" t="n">
        <v>1</v>
      </c>
      <c r="Z335" s="15" t="n">
        <v>0</v>
      </c>
      <c r="AA335" s="15" t="n">
        <v>0</v>
      </c>
      <c r="AB335" s="15" t="n">
        <v>0</v>
      </c>
      <c r="AC335" s="15" t="n">
        <v>0</v>
      </c>
      <c r="AD335" s="15" t="n">
        <v>0</v>
      </c>
      <c r="AE335" s="15" t="n">
        <v>0</v>
      </c>
      <c r="AF335" s="15" t="n">
        <v>0</v>
      </c>
      <c r="AG335" s="15" t="n">
        <v>0</v>
      </c>
      <c r="AH335" s="15" t="n">
        <v>0</v>
      </c>
    </row>
    <row r="336" customFormat="false" ht="46.25" hidden="false" customHeight="false" outlineLevel="0" collapsed="false">
      <c r="A336" s="15" t="s">
        <v>2547</v>
      </c>
      <c r="B336" s="15" t="s">
        <v>37</v>
      </c>
      <c r="C336" s="15" t="s">
        <v>2497</v>
      </c>
      <c r="D336" s="15" t="n">
        <v>46</v>
      </c>
      <c r="E336" s="15" t="s">
        <v>2542</v>
      </c>
      <c r="F336" s="15" t="n">
        <v>1</v>
      </c>
      <c r="G336" s="15" t="s">
        <v>129</v>
      </c>
      <c r="H336" s="15" t="s">
        <v>130</v>
      </c>
      <c r="I336" s="3" t="s">
        <v>2548</v>
      </c>
      <c r="J336" s="3" t="s">
        <v>2549</v>
      </c>
      <c r="K336" s="15" t="s">
        <v>145</v>
      </c>
      <c r="L336" s="17" t="s">
        <v>9</v>
      </c>
      <c r="M336" s="15" t="s">
        <v>70</v>
      </c>
      <c r="N336" s="15" t="s">
        <v>81</v>
      </c>
      <c r="O336" s="15" t="s">
        <v>340</v>
      </c>
      <c r="P336" s="15" t="s">
        <v>135</v>
      </c>
      <c r="Q336" s="15" t="s">
        <v>129</v>
      </c>
      <c r="R336" s="15" t="s">
        <v>135</v>
      </c>
      <c r="S336" s="15" t="s">
        <v>1166</v>
      </c>
      <c r="T336" s="15" t="s">
        <v>390</v>
      </c>
      <c r="U336" s="3" t="s">
        <v>2550</v>
      </c>
      <c r="V336" s="3" t="s">
        <v>2551</v>
      </c>
      <c r="W336" s="3"/>
      <c r="X336" s="3"/>
      <c r="Y336" s="15" t="n">
        <v>1</v>
      </c>
      <c r="Z336" s="15" t="n">
        <v>0</v>
      </c>
      <c r="AA336" s="15" t="n">
        <v>0</v>
      </c>
      <c r="AB336" s="15" t="n">
        <v>0</v>
      </c>
      <c r="AC336" s="15" t="n">
        <v>0</v>
      </c>
      <c r="AD336" s="15" t="n">
        <v>0</v>
      </c>
      <c r="AE336" s="15" t="n">
        <v>0</v>
      </c>
      <c r="AF336" s="15" t="n">
        <v>0</v>
      </c>
      <c r="AG336" s="15" t="n">
        <v>0</v>
      </c>
      <c r="AH336" s="15" t="n">
        <v>1</v>
      </c>
    </row>
    <row r="337" customFormat="false" ht="35.05" hidden="false" customHeight="false" outlineLevel="0" collapsed="false">
      <c r="A337" s="15" t="s">
        <v>2552</v>
      </c>
      <c r="B337" s="15" t="s">
        <v>37</v>
      </c>
      <c r="C337" s="15" t="s">
        <v>2497</v>
      </c>
      <c r="D337" s="15" t="n">
        <v>46</v>
      </c>
      <c r="E337" s="15" t="s">
        <v>2542</v>
      </c>
      <c r="F337" s="15" t="n">
        <v>2</v>
      </c>
      <c r="G337" s="15" t="s">
        <v>141</v>
      </c>
      <c r="H337" s="15" t="s">
        <v>142</v>
      </c>
      <c r="I337" s="3" t="s">
        <v>2553</v>
      </c>
      <c r="J337" s="3" t="s">
        <v>2554</v>
      </c>
      <c r="K337" s="15" t="s">
        <v>133</v>
      </c>
      <c r="L337" s="17" t="s">
        <v>9</v>
      </c>
      <c r="M337" s="15" t="s">
        <v>70</v>
      </c>
      <c r="N337" s="15" t="s">
        <v>81</v>
      </c>
      <c r="O337" s="15" t="s">
        <v>81</v>
      </c>
      <c r="P337" s="15" t="s">
        <v>135</v>
      </c>
      <c r="Q337" s="15" t="s">
        <v>129</v>
      </c>
      <c r="R337" s="15" t="s">
        <v>135</v>
      </c>
      <c r="S337" s="15" t="s">
        <v>1166</v>
      </c>
      <c r="T337" s="15" t="s">
        <v>327</v>
      </c>
      <c r="U337" s="3" t="s">
        <v>2555</v>
      </c>
      <c r="V337" s="3" t="s">
        <v>2556</v>
      </c>
      <c r="W337" s="3"/>
      <c r="X337" s="3"/>
      <c r="Y337" s="15" t="n">
        <v>1</v>
      </c>
      <c r="Z337" s="15" t="n">
        <v>0</v>
      </c>
      <c r="AA337" s="15" t="n">
        <v>0</v>
      </c>
      <c r="AB337" s="15" t="n">
        <v>0</v>
      </c>
      <c r="AC337" s="15" t="n">
        <v>0</v>
      </c>
      <c r="AD337" s="15" t="n">
        <v>0</v>
      </c>
      <c r="AE337" s="15" t="n">
        <v>0</v>
      </c>
      <c r="AF337" s="15" t="n">
        <v>0</v>
      </c>
      <c r="AG337" s="15" t="n">
        <v>0</v>
      </c>
      <c r="AH337" s="15" t="n">
        <v>0</v>
      </c>
    </row>
    <row r="338" customFormat="false" ht="68.65" hidden="false" customHeight="false" outlineLevel="0" collapsed="false">
      <c r="A338" s="15" t="s">
        <v>2557</v>
      </c>
      <c r="B338" s="15" t="s">
        <v>37</v>
      </c>
      <c r="C338" s="15" t="s">
        <v>2497</v>
      </c>
      <c r="D338" s="15" t="n">
        <v>48</v>
      </c>
      <c r="E338" s="15" t="s">
        <v>2558</v>
      </c>
      <c r="F338" s="15" t="n">
        <v>0</v>
      </c>
      <c r="G338" s="15" t="s">
        <v>129</v>
      </c>
      <c r="H338" s="15" t="s">
        <v>130</v>
      </c>
      <c r="I338" s="3" t="s">
        <v>2559</v>
      </c>
      <c r="J338" s="3" t="s">
        <v>2560</v>
      </c>
      <c r="K338" s="15" t="s">
        <v>145</v>
      </c>
      <c r="L338" s="16" t="s">
        <v>7</v>
      </c>
      <c r="M338" s="15" t="s">
        <v>68</v>
      </c>
      <c r="N338" s="15" t="s">
        <v>84</v>
      </c>
      <c r="O338" s="15" t="s">
        <v>1152</v>
      </c>
      <c r="P338" s="15" t="s">
        <v>185</v>
      </c>
      <c r="Q338" s="15" t="s">
        <v>129</v>
      </c>
      <c r="R338" s="15" t="s">
        <v>135</v>
      </c>
      <c r="S338" s="15"/>
      <c r="T338" s="15"/>
      <c r="U338" s="3" t="s">
        <v>2561</v>
      </c>
      <c r="V338" s="3" t="s">
        <v>2562</v>
      </c>
      <c r="W338" s="3" t="s">
        <v>2563</v>
      </c>
      <c r="X338" s="3" t="s">
        <v>2564</v>
      </c>
      <c r="Y338" s="15" t="n">
        <v>0</v>
      </c>
      <c r="Z338" s="15" t="n">
        <v>1</v>
      </c>
      <c r="AA338" s="15" t="n">
        <v>0</v>
      </c>
      <c r="AB338" s="15" t="n">
        <v>1</v>
      </c>
      <c r="AC338" s="15" t="n">
        <v>0</v>
      </c>
      <c r="AD338" s="15" t="n">
        <v>0</v>
      </c>
      <c r="AE338" s="15" t="n">
        <v>0</v>
      </c>
      <c r="AF338" s="15" t="n">
        <v>0</v>
      </c>
      <c r="AG338" s="15" t="n">
        <v>0</v>
      </c>
      <c r="AH338" s="15" t="n">
        <v>0</v>
      </c>
    </row>
    <row r="339" customFormat="false" ht="57.45" hidden="false" customHeight="false" outlineLevel="0" collapsed="false">
      <c r="A339" s="15" t="s">
        <v>2565</v>
      </c>
      <c r="B339" s="15" t="s">
        <v>37</v>
      </c>
      <c r="C339" s="15" t="s">
        <v>2497</v>
      </c>
      <c r="D339" s="15" t="n">
        <v>48</v>
      </c>
      <c r="E339" s="15" t="s">
        <v>2558</v>
      </c>
      <c r="F339" s="15" t="n">
        <v>1</v>
      </c>
      <c r="G339" s="15" t="s">
        <v>141</v>
      </c>
      <c r="H339" s="15" t="s">
        <v>142</v>
      </c>
      <c r="I339" s="3" t="s">
        <v>2566</v>
      </c>
      <c r="J339" s="3" t="s">
        <v>2567</v>
      </c>
      <c r="K339" s="15" t="s">
        <v>145</v>
      </c>
      <c r="L339" s="17" t="s">
        <v>9</v>
      </c>
      <c r="M339" s="15" t="s">
        <v>70</v>
      </c>
      <c r="N339" s="15" t="s">
        <v>81</v>
      </c>
      <c r="O339" s="15" t="s">
        <v>81</v>
      </c>
      <c r="P339" s="15" t="s">
        <v>135</v>
      </c>
      <c r="Q339" s="15" t="s">
        <v>129</v>
      </c>
      <c r="R339" s="15" t="s">
        <v>135</v>
      </c>
      <c r="S339" s="15" t="s">
        <v>326</v>
      </c>
      <c r="T339" s="15" t="s">
        <v>327</v>
      </c>
      <c r="U339" s="3" t="s">
        <v>2568</v>
      </c>
      <c r="V339" s="3" t="s">
        <v>2569</v>
      </c>
      <c r="W339" s="3"/>
      <c r="X339" s="3"/>
      <c r="Y339" s="15" t="n">
        <v>1</v>
      </c>
      <c r="Z339" s="15" t="n">
        <v>0</v>
      </c>
      <c r="AA339" s="15" t="n">
        <v>0</v>
      </c>
      <c r="AB339" s="15" t="n">
        <v>0</v>
      </c>
      <c r="AC339" s="15" t="n">
        <v>0</v>
      </c>
      <c r="AD339" s="15" t="n">
        <v>0</v>
      </c>
      <c r="AE339" s="15" t="n">
        <v>0</v>
      </c>
      <c r="AF339" s="15" t="n">
        <v>0</v>
      </c>
      <c r="AG339" s="15" t="n">
        <v>0</v>
      </c>
      <c r="AH339" s="15" t="n">
        <v>0</v>
      </c>
    </row>
    <row r="340" customFormat="false" ht="35.05" hidden="false" customHeight="false" outlineLevel="0" collapsed="false">
      <c r="A340" s="15" t="s">
        <v>2570</v>
      </c>
      <c r="B340" s="15" t="s">
        <v>37</v>
      </c>
      <c r="C340" s="15" t="s">
        <v>2497</v>
      </c>
      <c r="D340" s="15" t="n">
        <v>48</v>
      </c>
      <c r="E340" s="15" t="s">
        <v>2558</v>
      </c>
      <c r="F340" s="15" t="n">
        <v>2</v>
      </c>
      <c r="G340" s="15" t="s">
        <v>136</v>
      </c>
      <c r="H340" s="15" t="s">
        <v>308</v>
      </c>
      <c r="I340" s="3" t="s">
        <v>2571</v>
      </c>
      <c r="J340" s="3" t="s">
        <v>2572</v>
      </c>
      <c r="K340" s="15" t="s">
        <v>133</v>
      </c>
      <c r="L340" s="16" t="s">
        <v>7</v>
      </c>
      <c r="M340" s="15" t="s">
        <v>68</v>
      </c>
      <c r="N340" s="15" t="s">
        <v>82</v>
      </c>
      <c r="O340" s="15" t="s">
        <v>549</v>
      </c>
      <c r="P340" s="15" t="s">
        <v>185</v>
      </c>
      <c r="Q340" s="15" t="s">
        <v>136</v>
      </c>
      <c r="R340" s="15" t="s">
        <v>135</v>
      </c>
      <c r="S340" s="15"/>
      <c r="T340" s="15"/>
      <c r="U340" s="3" t="s">
        <v>2573</v>
      </c>
      <c r="V340" s="3" t="s">
        <v>2574</v>
      </c>
      <c r="W340" s="3" t="s">
        <v>2575</v>
      </c>
      <c r="X340" s="3" t="s">
        <v>2576</v>
      </c>
      <c r="Y340" s="15" t="n">
        <v>0</v>
      </c>
      <c r="Z340" s="15" t="n">
        <v>1</v>
      </c>
      <c r="AA340" s="15" t="n">
        <v>0</v>
      </c>
      <c r="AB340" s="15" t="n">
        <v>0</v>
      </c>
      <c r="AC340" s="15" t="n">
        <v>0</v>
      </c>
      <c r="AD340" s="15" t="n">
        <v>0</v>
      </c>
      <c r="AE340" s="15" t="n">
        <v>0</v>
      </c>
      <c r="AF340" s="15" t="n">
        <v>0</v>
      </c>
      <c r="AG340" s="15" t="n">
        <v>0</v>
      </c>
      <c r="AH340" s="15" t="n">
        <v>1</v>
      </c>
    </row>
    <row r="341" customFormat="false" ht="35.05" hidden="false" customHeight="false" outlineLevel="0" collapsed="false">
      <c r="A341" s="15" t="s">
        <v>2577</v>
      </c>
      <c r="B341" s="15" t="s">
        <v>37</v>
      </c>
      <c r="C341" s="15" t="s">
        <v>2497</v>
      </c>
      <c r="D341" s="15" t="n">
        <v>61</v>
      </c>
      <c r="E341" s="15" t="s">
        <v>2578</v>
      </c>
      <c r="F341" s="15" t="n">
        <v>0</v>
      </c>
      <c r="G341" s="15" t="s">
        <v>307</v>
      </c>
      <c r="H341" s="15" t="s">
        <v>308</v>
      </c>
      <c r="I341" s="3" t="s">
        <v>2579</v>
      </c>
      <c r="J341" s="3" t="s">
        <v>2580</v>
      </c>
      <c r="K341" s="15" t="s">
        <v>133</v>
      </c>
      <c r="L341" s="16" t="s">
        <v>7</v>
      </c>
      <c r="M341" s="15" t="s">
        <v>68</v>
      </c>
      <c r="N341" s="15" t="s">
        <v>82</v>
      </c>
      <c r="O341" s="15" t="s">
        <v>2441</v>
      </c>
      <c r="P341" s="15" t="s">
        <v>185</v>
      </c>
      <c r="Q341" s="15" t="s">
        <v>307</v>
      </c>
      <c r="R341" s="15" t="s">
        <v>135</v>
      </c>
      <c r="S341" s="15"/>
      <c r="T341" s="15"/>
      <c r="U341" s="3" t="s">
        <v>2581</v>
      </c>
      <c r="V341" s="3" t="s">
        <v>2582</v>
      </c>
      <c r="W341" s="3" t="s">
        <v>2583</v>
      </c>
      <c r="X341" s="3" t="s">
        <v>2584</v>
      </c>
      <c r="Y341" s="15" t="n">
        <v>0</v>
      </c>
      <c r="Z341" s="15" t="n">
        <v>1</v>
      </c>
      <c r="AA341" s="15" t="n">
        <v>1</v>
      </c>
      <c r="AB341" s="15" t="n">
        <v>0</v>
      </c>
      <c r="AC341" s="15" t="n">
        <v>0</v>
      </c>
      <c r="AD341" s="15" t="n">
        <v>0</v>
      </c>
      <c r="AE341" s="15" t="n">
        <v>0</v>
      </c>
      <c r="AF341" s="15" t="n">
        <v>0</v>
      </c>
      <c r="AG341" s="15" t="n">
        <v>0</v>
      </c>
      <c r="AH341" s="15" t="n">
        <v>1</v>
      </c>
    </row>
    <row r="342" customFormat="false" ht="46.25" hidden="false" customHeight="false" outlineLevel="0" collapsed="false">
      <c r="A342" s="15" t="s">
        <v>2585</v>
      </c>
      <c r="B342" s="15" t="s">
        <v>37</v>
      </c>
      <c r="C342" s="15" t="s">
        <v>2497</v>
      </c>
      <c r="D342" s="15" t="n">
        <v>61</v>
      </c>
      <c r="E342" s="15" t="s">
        <v>2578</v>
      </c>
      <c r="F342" s="15" t="n">
        <v>1</v>
      </c>
      <c r="G342" s="15" t="s">
        <v>129</v>
      </c>
      <c r="H342" s="15" t="s">
        <v>130</v>
      </c>
      <c r="I342" s="3" t="s">
        <v>2586</v>
      </c>
      <c r="J342" s="3" t="s">
        <v>2587</v>
      </c>
      <c r="K342" s="15" t="s">
        <v>145</v>
      </c>
      <c r="L342" s="16" t="s">
        <v>7</v>
      </c>
      <c r="M342" s="15" t="s">
        <v>68</v>
      </c>
      <c r="N342" s="15" t="s">
        <v>82</v>
      </c>
      <c r="O342" s="15" t="s">
        <v>549</v>
      </c>
      <c r="P342" s="15" t="s">
        <v>185</v>
      </c>
      <c r="Q342" s="15" t="s">
        <v>129</v>
      </c>
      <c r="R342" s="15" t="s">
        <v>135</v>
      </c>
      <c r="S342" s="15"/>
      <c r="T342" s="15"/>
      <c r="U342" s="3" t="s">
        <v>2588</v>
      </c>
      <c r="V342" s="3" t="s">
        <v>2589</v>
      </c>
      <c r="W342" s="3" t="s">
        <v>2590</v>
      </c>
      <c r="X342" s="3" t="s">
        <v>2591</v>
      </c>
      <c r="Y342" s="15" t="n">
        <v>0</v>
      </c>
      <c r="Z342" s="15" t="n">
        <v>1</v>
      </c>
      <c r="AA342" s="15" t="n">
        <v>0</v>
      </c>
      <c r="AB342" s="15" t="n">
        <v>0</v>
      </c>
      <c r="AC342" s="15" t="n">
        <v>0</v>
      </c>
      <c r="AD342" s="15" t="n">
        <v>0</v>
      </c>
      <c r="AE342" s="15" t="n">
        <v>0</v>
      </c>
      <c r="AF342" s="15" t="n">
        <v>0</v>
      </c>
      <c r="AG342" s="15" t="n">
        <v>0</v>
      </c>
      <c r="AH342" s="15" t="n">
        <v>1</v>
      </c>
    </row>
    <row r="343" customFormat="false" ht="46.25" hidden="false" customHeight="false" outlineLevel="0" collapsed="false">
      <c r="A343" s="15" t="s">
        <v>2592</v>
      </c>
      <c r="B343" s="15" t="s">
        <v>37</v>
      </c>
      <c r="C343" s="15" t="s">
        <v>2497</v>
      </c>
      <c r="D343" s="15" t="n">
        <v>61</v>
      </c>
      <c r="E343" s="15" t="s">
        <v>2578</v>
      </c>
      <c r="F343" s="15" t="n">
        <v>2</v>
      </c>
      <c r="G343" s="15" t="s">
        <v>152</v>
      </c>
      <c r="H343" s="15" t="s">
        <v>142</v>
      </c>
      <c r="I343" s="3" t="s">
        <v>2593</v>
      </c>
      <c r="J343" s="3" t="s">
        <v>2594</v>
      </c>
      <c r="K343" s="15" t="s">
        <v>133</v>
      </c>
      <c r="L343" s="16" t="s">
        <v>7</v>
      </c>
      <c r="M343" s="15" t="s">
        <v>68</v>
      </c>
      <c r="N343" s="15" t="s">
        <v>84</v>
      </c>
      <c r="O343" s="15" t="s">
        <v>2595</v>
      </c>
      <c r="P343" s="15" t="s">
        <v>135</v>
      </c>
      <c r="Q343" s="15" t="s">
        <v>129</v>
      </c>
      <c r="R343" s="15" t="s">
        <v>135</v>
      </c>
      <c r="S343" s="15"/>
      <c r="T343" s="15"/>
      <c r="U343" s="3" t="s">
        <v>2596</v>
      </c>
      <c r="V343" s="3" t="s">
        <v>2597</v>
      </c>
      <c r="W343" s="3" t="s">
        <v>2598</v>
      </c>
      <c r="X343" s="3" t="s">
        <v>2599</v>
      </c>
      <c r="Y343" s="15" t="n">
        <v>0</v>
      </c>
      <c r="Z343" s="15" t="n">
        <v>0</v>
      </c>
      <c r="AA343" s="15" t="n">
        <v>0</v>
      </c>
      <c r="AB343" s="15" t="n">
        <v>1</v>
      </c>
      <c r="AC343" s="15" t="n">
        <v>1</v>
      </c>
      <c r="AD343" s="15" t="n">
        <v>0</v>
      </c>
      <c r="AE343" s="15" t="n">
        <v>0</v>
      </c>
      <c r="AF343" s="15" t="n">
        <v>1</v>
      </c>
      <c r="AG343" s="15" t="n">
        <v>0</v>
      </c>
      <c r="AH343" s="15" t="n">
        <v>1</v>
      </c>
    </row>
    <row r="344" customFormat="false" ht="35.05" hidden="false" customHeight="false" outlineLevel="0" collapsed="false">
      <c r="A344" s="15" t="s">
        <v>2600</v>
      </c>
      <c r="B344" s="15" t="s">
        <v>37</v>
      </c>
      <c r="C344" s="15" t="s">
        <v>2497</v>
      </c>
      <c r="D344" s="15" t="n">
        <v>75</v>
      </c>
      <c r="E344" s="15" t="s">
        <v>2601</v>
      </c>
      <c r="F344" s="15" t="n">
        <v>0</v>
      </c>
      <c r="G344" s="15" t="s">
        <v>129</v>
      </c>
      <c r="H344" s="15" t="s">
        <v>130</v>
      </c>
      <c r="I344" s="3" t="s">
        <v>2602</v>
      </c>
      <c r="J344" s="3" t="s">
        <v>2603</v>
      </c>
      <c r="K344" s="15" t="s">
        <v>133</v>
      </c>
      <c r="L344" s="16" t="s">
        <v>7</v>
      </c>
      <c r="M344" s="15" t="s">
        <v>68</v>
      </c>
      <c r="N344" s="15" t="s">
        <v>82</v>
      </c>
      <c r="O344" s="15" t="s">
        <v>1542</v>
      </c>
      <c r="P344" s="15" t="s">
        <v>135</v>
      </c>
      <c r="Q344" s="15" t="s">
        <v>136</v>
      </c>
      <c r="R344" s="15" t="s">
        <v>135</v>
      </c>
      <c r="S344" s="15"/>
      <c r="T344" s="15"/>
      <c r="U344" s="3" t="s">
        <v>2604</v>
      </c>
      <c r="V344" s="3" t="s">
        <v>2605</v>
      </c>
      <c r="W344" s="3" t="s">
        <v>2606</v>
      </c>
      <c r="X344" s="3" t="s">
        <v>2607</v>
      </c>
      <c r="Y344" s="15" t="n">
        <v>0</v>
      </c>
      <c r="Z344" s="15" t="n">
        <v>1</v>
      </c>
      <c r="AA344" s="15" t="n">
        <v>0</v>
      </c>
      <c r="AB344" s="15" t="n">
        <v>0</v>
      </c>
      <c r="AC344" s="15" t="n">
        <v>0</v>
      </c>
      <c r="AD344" s="15" t="n">
        <v>0</v>
      </c>
      <c r="AE344" s="15" t="n">
        <v>0</v>
      </c>
      <c r="AF344" s="15" t="n">
        <v>1</v>
      </c>
      <c r="AG344" s="15" t="n">
        <v>1</v>
      </c>
      <c r="AH344" s="15" t="n">
        <v>0</v>
      </c>
    </row>
    <row r="345" customFormat="false" ht="35.05" hidden="false" customHeight="false" outlineLevel="0" collapsed="false">
      <c r="A345" s="15" t="s">
        <v>2608</v>
      </c>
      <c r="B345" s="15" t="s">
        <v>37</v>
      </c>
      <c r="C345" s="15" t="s">
        <v>2497</v>
      </c>
      <c r="D345" s="15" t="n">
        <v>75</v>
      </c>
      <c r="E345" s="15" t="s">
        <v>2601</v>
      </c>
      <c r="F345" s="15" t="n">
        <v>1</v>
      </c>
      <c r="G345" s="15" t="s">
        <v>152</v>
      </c>
      <c r="H345" s="15" t="s">
        <v>142</v>
      </c>
      <c r="I345" s="3" t="s">
        <v>2609</v>
      </c>
      <c r="J345" s="3" t="s">
        <v>2610</v>
      </c>
      <c r="K345" s="15" t="s">
        <v>145</v>
      </c>
      <c r="L345" s="16" t="s">
        <v>7</v>
      </c>
      <c r="M345" s="15" t="s">
        <v>68</v>
      </c>
      <c r="N345" s="15" t="s">
        <v>82</v>
      </c>
      <c r="O345" s="15" t="s">
        <v>192</v>
      </c>
      <c r="P345" s="15" t="s">
        <v>135</v>
      </c>
      <c r="Q345" s="15" t="s">
        <v>307</v>
      </c>
      <c r="R345" s="15" t="s">
        <v>135</v>
      </c>
      <c r="S345" s="15"/>
      <c r="T345" s="15"/>
      <c r="U345" s="3" t="s">
        <v>2611</v>
      </c>
      <c r="V345" s="3" t="s">
        <v>2612</v>
      </c>
      <c r="W345" s="3" t="s">
        <v>2613</v>
      </c>
      <c r="X345" s="3" t="s">
        <v>2614</v>
      </c>
      <c r="Y345" s="15" t="n">
        <v>0</v>
      </c>
      <c r="Z345" s="15" t="n">
        <v>1</v>
      </c>
      <c r="AA345" s="15" t="n">
        <v>0</v>
      </c>
      <c r="AB345" s="15" t="n">
        <v>1</v>
      </c>
      <c r="AC345" s="15" t="n">
        <v>0</v>
      </c>
      <c r="AD345" s="15" t="n">
        <v>0</v>
      </c>
      <c r="AE345" s="15" t="n">
        <v>0</v>
      </c>
      <c r="AF345" s="15" t="n">
        <v>1</v>
      </c>
      <c r="AG345" s="15" t="n">
        <v>0</v>
      </c>
      <c r="AH345" s="15" t="n">
        <v>0</v>
      </c>
    </row>
    <row r="346" customFormat="false" ht="46.25" hidden="false" customHeight="false" outlineLevel="0" collapsed="false">
      <c r="A346" s="15" t="s">
        <v>2615</v>
      </c>
      <c r="B346" s="15" t="s">
        <v>37</v>
      </c>
      <c r="C346" s="15" t="s">
        <v>2497</v>
      </c>
      <c r="D346" s="15" t="n">
        <v>75</v>
      </c>
      <c r="E346" s="15" t="s">
        <v>2601</v>
      </c>
      <c r="F346" s="15" t="n">
        <v>2</v>
      </c>
      <c r="G346" s="15" t="s">
        <v>141</v>
      </c>
      <c r="H346" s="15" t="s">
        <v>142</v>
      </c>
      <c r="I346" s="3" t="s">
        <v>2616</v>
      </c>
      <c r="J346" s="3" t="s">
        <v>2617</v>
      </c>
      <c r="K346" s="15" t="s">
        <v>133</v>
      </c>
      <c r="L346" s="16" t="s">
        <v>7</v>
      </c>
      <c r="M346" s="15" t="s">
        <v>68</v>
      </c>
      <c r="N346" s="15" t="s">
        <v>85</v>
      </c>
      <c r="O346" s="15" t="s">
        <v>733</v>
      </c>
      <c r="P346" s="15" t="s">
        <v>135</v>
      </c>
      <c r="Q346" s="15" t="s">
        <v>307</v>
      </c>
      <c r="R346" s="15" t="s">
        <v>135</v>
      </c>
      <c r="S346" s="15"/>
      <c r="T346" s="15"/>
      <c r="U346" s="3" t="s">
        <v>2618</v>
      </c>
      <c r="V346" s="3" t="s">
        <v>2619</v>
      </c>
      <c r="W346" s="3" t="s">
        <v>2620</v>
      </c>
      <c r="X346" s="3" t="s">
        <v>2621</v>
      </c>
      <c r="Y346" s="15" t="n">
        <v>0</v>
      </c>
      <c r="Z346" s="15" t="n">
        <v>1</v>
      </c>
      <c r="AA346" s="15" t="n">
        <v>0</v>
      </c>
      <c r="AB346" s="15" t="n">
        <v>0</v>
      </c>
      <c r="AC346" s="15" t="n">
        <v>1</v>
      </c>
      <c r="AD346" s="15" t="n">
        <v>0</v>
      </c>
      <c r="AE346" s="15" t="n">
        <v>0</v>
      </c>
      <c r="AF346" s="15" t="n">
        <v>1</v>
      </c>
      <c r="AG346" s="15" t="n">
        <v>0</v>
      </c>
      <c r="AH346" s="15" t="n">
        <v>0</v>
      </c>
    </row>
    <row r="347" customFormat="false" ht="46.25" hidden="false" customHeight="false" outlineLevel="0" collapsed="false">
      <c r="A347" s="15" t="s">
        <v>2622</v>
      </c>
      <c r="B347" s="15" t="s">
        <v>37</v>
      </c>
      <c r="C347" s="15" t="s">
        <v>2497</v>
      </c>
      <c r="D347" s="15" t="n">
        <v>77</v>
      </c>
      <c r="E347" s="15" t="s">
        <v>2623</v>
      </c>
      <c r="F347" s="15" t="n">
        <v>0</v>
      </c>
      <c r="G347" s="15" t="s">
        <v>141</v>
      </c>
      <c r="H347" s="15" t="s">
        <v>142</v>
      </c>
      <c r="I347" s="3" t="s">
        <v>2624</v>
      </c>
      <c r="J347" s="3" t="s">
        <v>2625</v>
      </c>
      <c r="K347" s="15" t="s">
        <v>133</v>
      </c>
      <c r="L347" s="17" t="s">
        <v>9</v>
      </c>
      <c r="M347" s="15" t="s">
        <v>70</v>
      </c>
      <c r="N347" s="15" t="s">
        <v>81</v>
      </c>
      <c r="O347" s="15" t="s">
        <v>340</v>
      </c>
      <c r="P347" s="15" t="s">
        <v>135</v>
      </c>
      <c r="Q347" s="15" t="s">
        <v>136</v>
      </c>
      <c r="R347" s="15" t="s">
        <v>135</v>
      </c>
      <c r="S347" s="15" t="s">
        <v>341</v>
      </c>
      <c r="T347" s="15" t="s">
        <v>342</v>
      </c>
      <c r="U347" s="3" t="s">
        <v>2626</v>
      </c>
      <c r="V347" s="3" t="s">
        <v>2627</v>
      </c>
      <c r="W347" s="3"/>
      <c r="X347" s="3"/>
      <c r="Y347" s="15" t="n">
        <v>1</v>
      </c>
      <c r="Z347" s="15" t="n">
        <v>0</v>
      </c>
      <c r="AA347" s="15" t="n">
        <v>0</v>
      </c>
      <c r="AB347" s="15" t="n">
        <v>0</v>
      </c>
      <c r="AC347" s="15" t="n">
        <v>0</v>
      </c>
      <c r="AD347" s="15" t="n">
        <v>0</v>
      </c>
      <c r="AE347" s="15" t="n">
        <v>0</v>
      </c>
      <c r="AF347" s="15" t="n">
        <v>0</v>
      </c>
      <c r="AG347" s="15" t="n">
        <v>0</v>
      </c>
      <c r="AH347" s="15" t="n">
        <v>1</v>
      </c>
    </row>
    <row r="348" customFormat="false" ht="35.05" hidden="false" customHeight="false" outlineLevel="0" collapsed="false">
      <c r="A348" s="15" t="s">
        <v>2628</v>
      </c>
      <c r="B348" s="15" t="s">
        <v>37</v>
      </c>
      <c r="C348" s="15" t="s">
        <v>2497</v>
      </c>
      <c r="D348" s="15" t="n">
        <v>77</v>
      </c>
      <c r="E348" s="15" t="s">
        <v>2623</v>
      </c>
      <c r="F348" s="15" t="n">
        <v>1</v>
      </c>
      <c r="G348" s="15" t="s">
        <v>152</v>
      </c>
      <c r="H348" s="15" t="s">
        <v>142</v>
      </c>
      <c r="I348" s="3" t="s">
        <v>2629</v>
      </c>
      <c r="J348" s="3" t="s">
        <v>2629</v>
      </c>
      <c r="K348" s="15" t="s">
        <v>145</v>
      </c>
      <c r="L348" s="17" t="s">
        <v>9</v>
      </c>
      <c r="M348" s="15" t="s">
        <v>70</v>
      </c>
      <c r="N348" s="15" t="s">
        <v>81</v>
      </c>
      <c r="O348" s="15" t="s">
        <v>2630</v>
      </c>
      <c r="P348" s="15" t="s">
        <v>135</v>
      </c>
      <c r="Q348" s="15" t="s">
        <v>136</v>
      </c>
      <c r="R348" s="15" t="s">
        <v>135</v>
      </c>
      <c r="S348" s="15" t="s">
        <v>341</v>
      </c>
      <c r="T348" s="15" t="s">
        <v>342</v>
      </c>
      <c r="U348" s="3" t="s">
        <v>2631</v>
      </c>
      <c r="V348" s="3" t="s">
        <v>2632</v>
      </c>
      <c r="W348" s="3"/>
      <c r="X348" s="3"/>
      <c r="Y348" s="15" t="n">
        <v>1</v>
      </c>
      <c r="Z348" s="15" t="n">
        <v>0</v>
      </c>
      <c r="AA348" s="15" t="n">
        <v>0</v>
      </c>
      <c r="AB348" s="15" t="n">
        <v>0</v>
      </c>
      <c r="AC348" s="15" t="n">
        <v>0</v>
      </c>
      <c r="AD348" s="15" t="n">
        <v>0</v>
      </c>
      <c r="AE348" s="15" t="n">
        <v>1</v>
      </c>
      <c r="AF348" s="15" t="n">
        <v>0</v>
      </c>
      <c r="AG348" s="15" t="n">
        <v>0</v>
      </c>
      <c r="AH348" s="15" t="n">
        <v>1</v>
      </c>
    </row>
    <row r="349" customFormat="false" ht="46.25" hidden="false" customHeight="false" outlineLevel="0" collapsed="false">
      <c r="A349" s="15" t="s">
        <v>2633</v>
      </c>
      <c r="B349" s="15" t="s">
        <v>37</v>
      </c>
      <c r="C349" s="15" t="s">
        <v>2497</v>
      </c>
      <c r="D349" s="15" t="n">
        <v>77</v>
      </c>
      <c r="E349" s="15" t="s">
        <v>2623</v>
      </c>
      <c r="F349" s="15" t="n">
        <v>2</v>
      </c>
      <c r="G349" s="15" t="s">
        <v>129</v>
      </c>
      <c r="H349" s="15" t="s">
        <v>130</v>
      </c>
      <c r="I349" s="3" t="s">
        <v>2634</v>
      </c>
      <c r="J349" s="3" t="s">
        <v>2635</v>
      </c>
      <c r="K349" s="15" t="s">
        <v>133</v>
      </c>
      <c r="L349" s="16" t="s">
        <v>7</v>
      </c>
      <c r="M349" s="15" t="s">
        <v>68</v>
      </c>
      <c r="N349" s="15" t="s">
        <v>82</v>
      </c>
      <c r="O349" s="15" t="s">
        <v>1051</v>
      </c>
      <c r="P349" s="15" t="s">
        <v>185</v>
      </c>
      <c r="Q349" s="15" t="s">
        <v>129</v>
      </c>
      <c r="R349" s="15" t="s">
        <v>135</v>
      </c>
      <c r="S349" s="15"/>
      <c r="T349" s="15"/>
      <c r="U349" s="3" t="s">
        <v>2636</v>
      </c>
      <c r="V349" s="3" t="s">
        <v>2637</v>
      </c>
      <c r="W349" s="3" t="s">
        <v>2638</v>
      </c>
      <c r="X349" s="3" t="s">
        <v>2639</v>
      </c>
      <c r="Y349" s="15" t="n">
        <v>0</v>
      </c>
      <c r="Z349" s="15" t="n">
        <v>1</v>
      </c>
      <c r="AA349" s="15" t="n">
        <v>0</v>
      </c>
      <c r="AB349" s="15" t="n">
        <v>0</v>
      </c>
      <c r="AC349" s="15" t="n">
        <v>1</v>
      </c>
      <c r="AD349" s="15" t="n">
        <v>0</v>
      </c>
      <c r="AE349" s="15" t="n">
        <v>0</v>
      </c>
      <c r="AF349" s="15" t="n">
        <v>0</v>
      </c>
      <c r="AG349" s="15" t="n">
        <v>0</v>
      </c>
      <c r="AH349" s="15" t="n">
        <v>1</v>
      </c>
    </row>
    <row r="350" customFormat="false" ht="46.25" hidden="false" customHeight="false" outlineLevel="0" collapsed="false">
      <c r="A350" s="15" t="s">
        <v>2640</v>
      </c>
      <c r="B350" s="15" t="s">
        <v>37</v>
      </c>
      <c r="C350" s="15" t="s">
        <v>2497</v>
      </c>
      <c r="D350" s="15" t="n">
        <v>78</v>
      </c>
      <c r="E350" s="15" t="s">
        <v>2641</v>
      </c>
      <c r="F350" s="15" t="n">
        <v>0</v>
      </c>
      <c r="G350" s="15" t="s">
        <v>197</v>
      </c>
      <c r="H350" s="15" t="s">
        <v>142</v>
      </c>
      <c r="I350" s="3" t="s">
        <v>2642</v>
      </c>
      <c r="J350" s="3" t="s">
        <v>2643</v>
      </c>
      <c r="K350" s="15" t="s">
        <v>133</v>
      </c>
      <c r="L350" s="16" t="s">
        <v>7</v>
      </c>
      <c r="M350" s="15" t="s">
        <v>66</v>
      </c>
      <c r="N350" s="15" t="s">
        <v>90</v>
      </c>
      <c r="O350" s="15" t="s">
        <v>2644</v>
      </c>
      <c r="P350" s="15" t="s">
        <v>185</v>
      </c>
      <c r="Q350" s="15" t="s">
        <v>197</v>
      </c>
      <c r="R350" s="15" t="s">
        <v>135</v>
      </c>
      <c r="S350" s="15"/>
      <c r="T350" s="15"/>
      <c r="U350" s="3" t="s">
        <v>2645</v>
      </c>
      <c r="V350" s="3" t="s">
        <v>2646</v>
      </c>
      <c r="W350" s="3" t="s">
        <v>2647</v>
      </c>
      <c r="X350" s="3" t="s">
        <v>2648</v>
      </c>
      <c r="Y350" s="15" t="n">
        <v>0</v>
      </c>
      <c r="Z350" s="15" t="n">
        <v>0</v>
      </c>
      <c r="AA350" s="15" t="n">
        <v>0</v>
      </c>
      <c r="AB350" s="15" t="n">
        <v>0</v>
      </c>
      <c r="AC350" s="15" t="n">
        <v>1</v>
      </c>
      <c r="AD350" s="15" t="n">
        <v>0</v>
      </c>
      <c r="AE350" s="15" t="n">
        <v>0</v>
      </c>
      <c r="AF350" s="15" t="n">
        <v>0</v>
      </c>
      <c r="AG350" s="15" t="n">
        <v>0</v>
      </c>
      <c r="AH350" s="15" t="n">
        <v>1</v>
      </c>
    </row>
    <row r="351" customFormat="false" ht="57.45" hidden="false" customHeight="false" outlineLevel="0" collapsed="false">
      <c r="A351" s="15" t="s">
        <v>2649</v>
      </c>
      <c r="B351" s="15" t="s">
        <v>37</v>
      </c>
      <c r="C351" s="15" t="s">
        <v>2497</v>
      </c>
      <c r="D351" s="15" t="n">
        <v>78</v>
      </c>
      <c r="E351" s="15" t="s">
        <v>2641</v>
      </c>
      <c r="F351" s="15" t="n">
        <v>1</v>
      </c>
      <c r="G351" s="15" t="s">
        <v>152</v>
      </c>
      <c r="H351" s="15" t="s">
        <v>142</v>
      </c>
      <c r="I351" s="3" t="s">
        <v>2650</v>
      </c>
      <c r="J351" s="3" t="s">
        <v>2651</v>
      </c>
      <c r="K351" s="15" t="s">
        <v>145</v>
      </c>
      <c r="L351" s="16" t="s">
        <v>7</v>
      </c>
      <c r="M351" s="15" t="s">
        <v>68</v>
      </c>
      <c r="N351" s="15" t="s">
        <v>82</v>
      </c>
      <c r="O351" s="15" t="s">
        <v>2652</v>
      </c>
      <c r="P351" s="15" t="s">
        <v>185</v>
      </c>
      <c r="Q351" s="15" t="s">
        <v>152</v>
      </c>
      <c r="R351" s="15" t="s">
        <v>135</v>
      </c>
      <c r="S351" s="15"/>
      <c r="T351" s="15"/>
      <c r="U351" s="3" t="s">
        <v>2653</v>
      </c>
      <c r="V351" s="3" t="s">
        <v>2654</v>
      </c>
      <c r="W351" s="3" t="s">
        <v>2655</v>
      </c>
      <c r="X351" s="3" t="s">
        <v>2656</v>
      </c>
      <c r="Y351" s="15" t="n">
        <v>0</v>
      </c>
      <c r="Z351" s="15" t="n">
        <v>1</v>
      </c>
      <c r="AA351" s="15" t="n">
        <v>0</v>
      </c>
      <c r="AB351" s="15" t="n">
        <v>1</v>
      </c>
      <c r="AC351" s="15" t="n">
        <v>1</v>
      </c>
      <c r="AD351" s="15" t="n">
        <v>0</v>
      </c>
      <c r="AE351" s="15" t="n">
        <v>0</v>
      </c>
      <c r="AF351" s="15" t="n">
        <v>0</v>
      </c>
      <c r="AG351" s="15" t="n">
        <v>0</v>
      </c>
      <c r="AH351" s="15" t="n">
        <v>1</v>
      </c>
    </row>
    <row r="352" customFormat="false" ht="46.25" hidden="false" customHeight="false" outlineLevel="0" collapsed="false">
      <c r="A352" s="15" t="s">
        <v>2657</v>
      </c>
      <c r="B352" s="15" t="s">
        <v>37</v>
      </c>
      <c r="C352" s="15" t="s">
        <v>2497</v>
      </c>
      <c r="D352" s="15" t="n">
        <v>78</v>
      </c>
      <c r="E352" s="15" t="s">
        <v>2641</v>
      </c>
      <c r="F352" s="15" t="n">
        <v>2</v>
      </c>
      <c r="G352" s="15" t="s">
        <v>307</v>
      </c>
      <c r="H352" s="15" t="s">
        <v>308</v>
      </c>
      <c r="I352" s="3" t="s">
        <v>2658</v>
      </c>
      <c r="J352" s="3" t="s">
        <v>2659</v>
      </c>
      <c r="K352" s="15" t="s">
        <v>133</v>
      </c>
      <c r="L352" s="17" t="s">
        <v>9</v>
      </c>
      <c r="M352" s="15" t="s">
        <v>70</v>
      </c>
      <c r="N352" s="15" t="s">
        <v>81</v>
      </c>
      <c r="O352" s="15" t="s">
        <v>81</v>
      </c>
      <c r="P352" s="15" t="s">
        <v>135</v>
      </c>
      <c r="Q352" s="15" t="s">
        <v>136</v>
      </c>
      <c r="R352" s="15" t="s">
        <v>135</v>
      </c>
      <c r="S352" s="15" t="s">
        <v>405</v>
      </c>
      <c r="T352" s="15" t="s">
        <v>390</v>
      </c>
      <c r="U352" s="3" t="s">
        <v>2660</v>
      </c>
      <c r="V352" s="3" t="s">
        <v>2661</v>
      </c>
      <c r="W352" s="3"/>
      <c r="X352" s="3"/>
      <c r="Y352" s="15" t="n">
        <v>1</v>
      </c>
      <c r="Z352" s="15" t="n">
        <v>0</v>
      </c>
      <c r="AA352" s="15" t="n">
        <v>0</v>
      </c>
      <c r="AB352" s="15" t="n">
        <v>0</v>
      </c>
      <c r="AC352" s="15" t="n">
        <v>0</v>
      </c>
      <c r="AD352" s="15" t="n">
        <v>0</v>
      </c>
      <c r="AE352" s="15" t="n">
        <v>0</v>
      </c>
      <c r="AF352" s="15" t="n">
        <v>0</v>
      </c>
      <c r="AG352" s="15" t="n">
        <v>0</v>
      </c>
      <c r="AH352" s="15" t="n">
        <v>0</v>
      </c>
    </row>
    <row r="353" customFormat="false" ht="46.25" hidden="false" customHeight="false" outlineLevel="0" collapsed="false">
      <c r="A353" s="15" t="s">
        <v>2662</v>
      </c>
      <c r="B353" s="15" t="s">
        <v>37</v>
      </c>
      <c r="C353" s="15" t="s">
        <v>2497</v>
      </c>
      <c r="D353" s="15" t="n">
        <v>85</v>
      </c>
      <c r="E353" s="15" t="s">
        <v>2663</v>
      </c>
      <c r="F353" s="15" t="n">
        <v>0</v>
      </c>
      <c r="G353" s="15" t="s">
        <v>129</v>
      </c>
      <c r="H353" s="15" t="s">
        <v>130</v>
      </c>
      <c r="I353" s="3" t="s">
        <v>2664</v>
      </c>
      <c r="J353" s="3" t="s">
        <v>2665</v>
      </c>
      <c r="K353" s="15" t="s">
        <v>133</v>
      </c>
      <c r="L353" s="16" t="s">
        <v>7</v>
      </c>
      <c r="M353" s="15" t="s">
        <v>68</v>
      </c>
      <c r="N353" s="15" t="s">
        <v>82</v>
      </c>
      <c r="O353" s="15" t="s">
        <v>239</v>
      </c>
      <c r="P353" s="15" t="s">
        <v>135</v>
      </c>
      <c r="Q353" s="15" t="s">
        <v>136</v>
      </c>
      <c r="R353" s="15" t="s">
        <v>135</v>
      </c>
      <c r="S353" s="15"/>
      <c r="T353" s="15"/>
      <c r="U353" s="3" t="s">
        <v>2666</v>
      </c>
      <c r="V353" s="3" t="s">
        <v>2667</v>
      </c>
      <c r="W353" s="3" t="s">
        <v>2668</v>
      </c>
      <c r="X353" s="3" t="s">
        <v>2669</v>
      </c>
      <c r="Y353" s="15" t="n">
        <v>0</v>
      </c>
      <c r="Z353" s="15" t="n">
        <v>1</v>
      </c>
      <c r="AA353" s="15" t="n">
        <v>0</v>
      </c>
      <c r="AB353" s="15" t="n">
        <v>0</v>
      </c>
      <c r="AC353" s="15" t="n">
        <v>0</v>
      </c>
      <c r="AD353" s="15" t="n">
        <v>0</v>
      </c>
      <c r="AE353" s="15" t="n">
        <v>0</v>
      </c>
      <c r="AF353" s="15" t="n">
        <v>1</v>
      </c>
      <c r="AG353" s="15" t="n">
        <v>0</v>
      </c>
      <c r="AH353" s="15" t="n">
        <v>1</v>
      </c>
    </row>
    <row r="354" customFormat="false" ht="35.05" hidden="false" customHeight="false" outlineLevel="0" collapsed="false">
      <c r="A354" s="15" t="s">
        <v>2670</v>
      </c>
      <c r="B354" s="15" t="s">
        <v>37</v>
      </c>
      <c r="C354" s="15" t="s">
        <v>2497</v>
      </c>
      <c r="D354" s="15" t="n">
        <v>85</v>
      </c>
      <c r="E354" s="15" t="s">
        <v>2663</v>
      </c>
      <c r="F354" s="15" t="n">
        <v>1</v>
      </c>
      <c r="G354" s="15" t="s">
        <v>141</v>
      </c>
      <c r="H354" s="15" t="s">
        <v>142</v>
      </c>
      <c r="I354" s="3" t="s">
        <v>2671</v>
      </c>
      <c r="J354" s="3" t="s">
        <v>2672</v>
      </c>
      <c r="K354" s="15" t="s">
        <v>145</v>
      </c>
      <c r="L354" s="16" t="s">
        <v>7</v>
      </c>
      <c r="M354" s="15" t="s">
        <v>68</v>
      </c>
      <c r="N354" s="15" t="s">
        <v>82</v>
      </c>
      <c r="O354" s="15" t="s">
        <v>239</v>
      </c>
      <c r="P354" s="15" t="s">
        <v>135</v>
      </c>
      <c r="Q354" s="15" t="s">
        <v>136</v>
      </c>
      <c r="R354" s="15" t="s">
        <v>135</v>
      </c>
      <c r="S354" s="15"/>
      <c r="T354" s="15"/>
      <c r="U354" s="3" t="s">
        <v>2673</v>
      </c>
      <c r="V354" s="3" t="s">
        <v>2674</v>
      </c>
      <c r="W354" s="3" t="s">
        <v>2675</v>
      </c>
      <c r="X354" s="3" t="s">
        <v>2676</v>
      </c>
      <c r="Y354" s="15" t="n">
        <v>0</v>
      </c>
      <c r="Z354" s="15" t="n">
        <v>1</v>
      </c>
      <c r="AA354" s="15" t="n">
        <v>0</v>
      </c>
      <c r="AB354" s="15" t="n">
        <v>0</v>
      </c>
      <c r="AC354" s="15" t="n">
        <v>0</v>
      </c>
      <c r="AD354" s="15" t="n">
        <v>0</v>
      </c>
      <c r="AE354" s="15" t="n">
        <v>0</v>
      </c>
      <c r="AF354" s="15" t="n">
        <v>1</v>
      </c>
      <c r="AG354" s="15" t="n">
        <v>0</v>
      </c>
      <c r="AH354" s="15" t="n">
        <v>1</v>
      </c>
    </row>
    <row r="355" customFormat="false" ht="46.25" hidden="false" customHeight="false" outlineLevel="0" collapsed="false">
      <c r="A355" s="15" t="s">
        <v>2677</v>
      </c>
      <c r="B355" s="15" t="s">
        <v>37</v>
      </c>
      <c r="C355" s="15" t="s">
        <v>2497</v>
      </c>
      <c r="D355" s="15" t="n">
        <v>85</v>
      </c>
      <c r="E355" s="15" t="s">
        <v>2663</v>
      </c>
      <c r="F355" s="15" t="n">
        <v>2</v>
      </c>
      <c r="G355" s="15" t="s">
        <v>197</v>
      </c>
      <c r="H355" s="15" t="s">
        <v>142</v>
      </c>
      <c r="I355" s="3" t="s">
        <v>2678</v>
      </c>
      <c r="J355" s="3" t="s">
        <v>2679</v>
      </c>
      <c r="K355" s="15" t="s">
        <v>133</v>
      </c>
      <c r="L355" s="17" t="s">
        <v>9</v>
      </c>
      <c r="M355" s="15" t="s">
        <v>70</v>
      </c>
      <c r="N355" s="15" t="s">
        <v>81</v>
      </c>
      <c r="O355" s="15" t="s">
        <v>81</v>
      </c>
      <c r="P355" s="15" t="s">
        <v>135</v>
      </c>
      <c r="Q355" s="15" t="s">
        <v>136</v>
      </c>
      <c r="R355" s="15" t="s">
        <v>135</v>
      </c>
      <c r="S355" s="15" t="s">
        <v>1166</v>
      </c>
      <c r="T355" s="15" t="s">
        <v>390</v>
      </c>
      <c r="U355" s="3" t="s">
        <v>2680</v>
      </c>
      <c r="V355" s="3" t="s">
        <v>2681</v>
      </c>
      <c r="W355" s="3"/>
      <c r="X355" s="3"/>
      <c r="Y355" s="15" t="n">
        <v>1</v>
      </c>
      <c r="Z355" s="15" t="n">
        <v>0</v>
      </c>
      <c r="AA355" s="15" t="n">
        <v>0</v>
      </c>
      <c r="AB355" s="15" t="n">
        <v>0</v>
      </c>
      <c r="AC355" s="15" t="n">
        <v>0</v>
      </c>
      <c r="AD355" s="15" t="n">
        <v>0</v>
      </c>
      <c r="AE355" s="15" t="n">
        <v>0</v>
      </c>
      <c r="AF355" s="15" t="n">
        <v>0</v>
      </c>
      <c r="AG355" s="15" t="n">
        <v>0</v>
      </c>
      <c r="AH355" s="15" t="n">
        <v>0</v>
      </c>
    </row>
    <row r="356" customFormat="false" ht="46.25" hidden="false" customHeight="false" outlineLevel="0" collapsed="false">
      <c r="A356" s="15" t="s">
        <v>2682</v>
      </c>
      <c r="B356" s="15" t="s">
        <v>37</v>
      </c>
      <c r="C356" s="15" t="s">
        <v>2683</v>
      </c>
      <c r="D356" s="15" t="n">
        <v>25</v>
      </c>
      <c r="E356" s="15" t="s">
        <v>2684</v>
      </c>
      <c r="F356" s="15" t="n">
        <v>0</v>
      </c>
      <c r="G356" s="15" t="s">
        <v>141</v>
      </c>
      <c r="H356" s="15" t="s">
        <v>142</v>
      </c>
      <c r="I356" s="3" t="s">
        <v>2685</v>
      </c>
      <c r="J356" s="3" t="s">
        <v>2686</v>
      </c>
      <c r="K356" s="15" t="s">
        <v>133</v>
      </c>
      <c r="L356" s="16" t="s">
        <v>7</v>
      </c>
      <c r="M356" s="15" t="s">
        <v>68</v>
      </c>
      <c r="N356" s="15" t="s">
        <v>82</v>
      </c>
      <c r="O356" s="15" t="s">
        <v>349</v>
      </c>
      <c r="P356" s="15" t="s">
        <v>135</v>
      </c>
      <c r="Q356" s="15" t="s">
        <v>136</v>
      </c>
      <c r="R356" s="15" t="s">
        <v>135</v>
      </c>
      <c r="S356" s="15"/>
      <c r="T356" s="15"/>
      <c r="U356" s="3" t="s">
        <v>2687</v>
      </c>
      <c r="V356" s="3" t="s">
        <v>2688</v>
      </c>
      <c r="W356" s="3" t="s">
        <v>2689</v>
      </c>
      <c r="X356" s="3" t="s">
        <v>2690</v>
      </c>
      <c r="Y356" s="15" t="n">
        <v>0</v>
      </c>
      <c r="Z356" s="15" t="n">
        <v>1</v>
      </c>
      <c r="AA356" s="15" t="n">
        <v>0</v>
      </c>
      <c r="AB356" s="15" t="n">
        <v>0</v>
      </c>
      <c r="AC356" s="15" t="n">
        <v>1</v>
      </c>
      <c r="AD356" s="15" t="n">
        <v>0</v>
      </c>
      <c r="AE356" s="15" t="n">
        <v>0</v>
      </c>
      <c r="AF356" s="15" t="n">
        <v>1</v>
      </c>
      <c r="AG356" s="15" t="n">
        <v>0</v>
      </c>
      <c r="AH356" s="15" t="n">
        <v>1</v>
      </c>
    </row>
    <row r="357" customFormat="false" ht="46.25" hidden="false" customHeight="false" outlineLevel="0" collapsed="false">
      <c r="A357" s="15" t="s">
        <v>2691</v>
      </c>
      <c r="B357" s="15" t="s">
        <v>37</v>
      </c>
      <c r="C357" s="15" t="s">
        <v>2683</v>
      </c>
      <c r="D357" s="15" t="n">
        <v>25</v>
      </c>
      <c r="E357" s="15" t="s">
        <v>2684</v>
      </c>
      <c r="F357" s="15" t="n">
        <v>1</v>
      </c>
      <c r="G357" s="15" t="s">
        <v>129</v>
      </c>
      <c r="H357" s="15" t="s">
        <v>130</v>
      </c>
      <c r="I357" s="3" t="s">
        <v>2692</v>
      </c>
      <c r="J357" s="3" t="s">
        <v>2693</v>
      </c>
      <c r="K357" s="15" t="s">
        <v>145</v>
      </c>
      <c r="L357" s="16" t="s">
        <v>7</v>
      </c>
      <c r="M357" s="15" t="s">
        <v>68</v>
      </c>
      <c r="N357" s="15" t="s">
        <v>82</v>
      </c>
      <c r="O357" s="15" t="s">
        <v>176</v>
      </c>
      <c r="P357" s="15" t="s">
        <v>135</v>
      </c>
      <c r="Q357" s="15" t="s">
        <v>136</v>
      </c>
      <c r="R357" s="15" t="s">
        <v>135</v>
      </c>
      <c r="S357" s="15"/>
      <c r="T357" s="15"/>
      <c r="U357" s="3" t="s">
        <v>2694</v>
      </c>
      <c r="V357" s="3" t="s">
        <v>2695</v>
      </c>
      <c r="W357" s="3" t="s">
        <v>2696</v>
      </c>
      <c r="X357" s="3" t="s">
        <v>2697</v>
      </c>
      <c r="Y357" s="15" t="n">
        <v>0</v>
      </c>
      <c r="Z357" s="15" t="n">
        <v>1</v>
      </c>
      <c r="AA357" s="15" t="n">
        <v>0</v>
      </c>
      <c r="AB357" s="15" t="n">
        <v>0</v>
      </c>
      <c r="AC357" s="15" t="n">
        <v>1</v>
      </c>
      <c r="AD357" s="15" t="n">
        <v>0</v>
      </c>
      <c r="AE357" s="15" t="n">
        <v>0</v>
      </c>
      <c r="AF357" s="15" t="n">
        <v>1</v>
      </c>
      <c r="AG357" s="15" t="n">
        <v>0</v>
      </c>
      <c r="AH357" s="15" t="n">
        <v>0</v>
      </c>
    </row>
    <row r="358" customFormat="false" ht="46.25" hidden="false" customHeight="false" outlineLevel="0" collapsed="false">
      <c r="A358" s="15" t="s">
        <v>2698</v>
      </c>
      <c r="B358" s="15" t="s">
        <v>37</v>
      </c>
      <c r="C358" s="15" t="s">
        <v>2683</v>
      </c>
      <c r="D358" s="15" t="n">
        <v>25</v>
      </c>
      <c r="E358" s="15" t="s">
        <v>2684</v>
      </c>
      <c r="F358" s="15" t="n">
        <v>2</v>
      </c>
      <c r="G358" s="15" t="s">
        <v>197</v>
      </c>
      <c r="H358" s="15" t="s">
        <v>142</v>
      </c>
      <c r="I358" s="3" t="s">
        <v>2699</v>
      </c>
      <c r="J358" s="3" t="s">
        <v>2700</v>
      </c>
      <c r="K358" s="15" t="s">
        <v>133</v>
      </c>
      <c r="L358" s="16" t="s">
        <v>7</v>
      </c>
      <c r="M358" s="15" t="s">
        <v>68</v>
      </c>
      <c r="N358" s="15" t="s">
        <v>82</v>
      </c>
      <c r="O358" s="15" t="s">
        <v>176</v>
      </c>
      <c r="P358" s="15" t="s">
        <v>135</v>
      </c>
      <c r="Q358" s="15" t="s">
        <v>136</v>
      </c>
      <c r="R358" s="15" t="s">
        <v>135</v>
      </c>
      <c r="S358" s="15"/>
      <c r="T358" s="15"/>
      <c r="U358" s="3" t="s">
        <v>2701</v>
      </c>
      <c r="V358" s="3" t="s">
        <v>2702</v>
      </c>
      <c r="W358" s="3" t="s">
        <v>2703</v>
      </c>
      <c r="X358" s="3" t="s">
        <v>2704</v>
      </c>
      <c r="Y358" s="15" t="n">
        <v>0</v>
      </c>
      <c r="Z358" s="15" t="n">
        <v>1</v>
      </c>
      <c r="AA358" s="15" t="n">
        <v>0</v>
      </c>
      <c r="AB358" s="15" t="n">
        <v>0</v>
      </c>
      <c r="AC358" s="15" t="n">
        <v>1</v>
      </c>
      <c r="AD358" s="15" t="n">
        <v>0</v>
      </c>
      <c r="AE358" s="15" t="n">
        <v>0</v>
      </c>
      <c r="AF358" s="15" t="n">
        <v>1</v>
      </c>
      <c r="AG358" s="15" t="n">
        <v>0</v>
      </c>
      <c r="AH358" s="15" t="n">
        <v>0</v>
      </c>
    </row>
    <row r="359" customFormat="false" ht="35.05" hidden="false" customHeight="false" outlineLevel="0" collapsed="false">
      <c r="A359" s="15" t="s">
        <v>2705</v>
      </c>
      <c r="B359" s="15" t="s">
        <v>37</v>
      </c>
      <c r="C359" s="15" t="s">
        <v>2683</v>
      </c>
      <c r="D359" s="15" t="n">
        <v>26</v>
      </c>
      <c r="E359" s="15" t="s">
        <v>2706</v>
      </c>
      <c r="F359" s="15" t="n">
        <v>0</v>
      </c>
      <c r="G359" s="15" t="s">
        <v>129</v>
      </c>
      <c r="H359" s="15" t="s">
        <v>130</v>
      </c>
      <c r="I359" s="3" t="s">
        <v>2707</v>
      </c>
      <c r="J359" s="3" t="s">
        <v>2708</v>
      </c>
      <c r="K359" s="15" t="s">
        <v>133</v>
      </c>
      <c r="L359" s="16" t="s">
        <v>7</v>
      </c>
      <c r="M359" s="15" t="s">
        <v>68</v>
      </c>
      <c r="N359" s="15" t="s">
        <v>82</v>
      </c>
      <c r="O359" s="15" t="s">
        <v>1840</v>
      </c>
      <c r="P359" s="15" t="s">
        <v>185</v>
      </c>
      <c r="Q359" s="15" t="s">
        <v>129</v>
      </c>
      <c r="R359" s="15" t="s">
        <v>135</v>
      </c>
      <c r="S359" s="15"/>
      <c r="T359" s="15"/>
      <c r="U359" s="3" t="s">
        <v>2709</v>
      </c>
      <c r="V359" s="3" t="s">
        <v>2710</v>
      </c>
      <c r="W359" s="3" t="s">
        <v>2711</v>
      </c>
      <c r="X359" s="3" t="s">
        <v>2712</v>
      </c>
      <c r="Y359" s="15" t="n">
        <v>0</v>
      </c>
      <c r="Z359" s="15" t="n">
        <v>1</v>
      </c>
      <c r="AA359" s="15" t="n">
        <v>0</v>
      </c>
      <c r="AB359" s="15" t="n">
        <v>1</v>
      </c>
      <c r="AC359" s="15" t="n">
        <v>0</v>
      </c>
      <c r="AD359" s="15" t="n">
        <v>0</v>
      </c>
      <c r="AE359" s="15" t="n">
        <v>0</v>
      </c>
      <c r="AF359" s="15" t="n">
        <v>0</v>
      </c>
      <c r="AG359" s="15" t="n">
        <v>0</v>
      </c>
      <c r="AH359" s="15" t="n">
        <v>1</v>
      </c>
    </row>
    <row r="360" customFormat="false" ht="46.25" hidden="false" customHeight="false" outlineLevel="0" collapsed="false">
      <c r="A360" s="15" t="s">
        <v>2713</v>
      </c>
      <c r="B360" s="15" t="s">
        <v>37</v>
      </c>
      <c r="C360" s="15" t="s">
        <v>2683</v>
      </c>
      <c r="D360" s="15" t="n">
        <v>26</v>
      </c>
      <c r="E360" s="15" t="s">
        <v>2706</v>
      </c>
      <c r="F360" s="15" t="n">
        <v>1</v>
      </c>
      <c r="G360" s="15" t="s">
        <v>141</v>
      </c>
      <c r="H360" s="15" t="s">
        <v>142</v>
      </c>
      <c r="I360" s="3" t="s">
        <v>2714</v>
      </c>
      <c r="J360" s="3" t="s">
        <v>2715</v>
      </c>
      <c r="K360" s="15" t="s">
        <v>145</v>
      </c>
      <c r="L360" s="17" t="s">
        <v>9</v>
      </c>
      <c r="M360" s="15" t="s">
        <v>70</v>
      </c>
      <c r="N360" s="15" t="s">
        <v>81</v>
      </c>
      <c r="O360" s="15" t="s">
        <v>340</v>
      </c>
      <c r="P360" s="15" t="s">
        <v>135</v>
      </c>
      <c r="Q360" s="15" t="s">
        <v>129</v>
      </c>
      <c r="R360" s="15" t="s">
        <v>135</v>
      </c>
      <c r="S360" s="15" t="s">
        <v>341</v>
      </c>
      <c r="T360" s="15" t="s">
        <v>327</v>
      </c>
      <c r="U360" s="3" t="s">
        <v>2716</v>
      </c>
      <c r="V360" s="3" t="s">
        <v>2717</v>
      </c>
      <c r="W360" s="3"/>
      <c r="X360" s="3"/>
      <c r="Y360" s="15" t="n">
        <v>1</v>
      </c>
      <c r="Z360" s="15" t="n">
        <v>0</v>
      </c>
      <c r="AA360" s="15" t="n">
        <v>0</v>
      </c>
      <c r="AB360" s="15" t="n">
        <v>0</v>
      </c>
      <c r="AC360" s="15" t="n">
        <v>0</v>
      </c>
      <c r="AD360" s="15" t="n">
        <v>0</v>
      </c>
      <c r="AE360" s="15" t="n">
        <v>0</v>
      </c>
      <c r="AF360" s="15" t="n">
        <v>0</v>
      </c>
      <c r="AG360" s="15" t="n">
        <v>0</v>
      </c>
      <c r="AH360" s="15" t="n">
        <v>1</v>
      </c>
    </row>
    <row r="361" customFormat="false" ht="46.25" hidden="false" customHeight="false" outlineLevel="0" collapsed="false">
      <c r="A361" s="15" t="s">
        <v>2718</v>
      </c>
      <c r="B361" s="15" t="s">
        <v>37</v>
      </c>
      <c r="C361" s="15" t="s">
        <v>2683</v>
      </c>
      <c r="D361" s="15" t="n">
        <v>26</v>
      </c>
      <c r="E361" s="15" t="s">
        <v>2706</v>
      </c>
      <c r="F361" s="15" t="n">
        <v>2</v>
      </c>
      <c r="G361" s="15" t="s">
        <v>197</v>
      </c>
      <c r="H361" s="15" t="s">
        <v>142</v>
      </c>
      <c r="I361" s="3" t="s">
        <v>2719</v>
      </c>
      <c r="J361" s="3" t="s">
        <v>2720</v>
      </c>
      <c r="K361" s="15" t="s">
        <v>133</v>
      </c>
      <c r="L361" s="17" t="s">
        <v>9</v>
      </c>
      <c r="M361" s="15" t="s">
        <v>70</v>
      </c>
      <c r="N361" s="15" t="s">
        <v>81</v>
      </c>
      <c r="O361" s="15" t="s">
        <v>2721</v>
      </c>
      <c r="P361" s="15" t="s">
        <v>135</v>
      </c>
      <c r="Q361" s="15" t="s">
        <v>129</v>
      </c>
      <c r="R361" s="15" t="s">
        <v>135</v>
      </c>
      <c r="S361" s="15" t="s">
        <v>398</v>
      </c>
      <c r="T361" s="15" t="s">
        <v>327</v>
      </c>
      <c r="U361" s="3" t="s">
        <v>2722</v>
      </c>
      <c r="V361" s="3" t="s">
        <v>2723</v>
      </c>
      <c r="W361" s="3"/>
      <c r="X361" s="3"/>
      <c r="Y361" s="15" t="n">
        <v>1</v>
      </c>
      <c r="Z361" s="15" t="n">
        <v>0</v>
      </c>
      <c r="AA361" s="15" t="n">
        <v>0</v>
      </c>
      <c r="AB361" s="15" t="n">
        <v>1</v>
      </c>
      <c r="AC361" s="15" t="n">
        <v>0</v>
      </c>
      <c r="AD361" s="15" t="n">
        <v>0</v>
      </c>
      <c r="AE361" s="15" t="n">
        <v>0</v>
      </c>
      <c r="AF361" s="15" t="n">
        <v>0</v>
      </c>
      <c r="AG361" s="15" t="n">
        <v>0</v>
      </c>
      <c r="AH361" s="15" t="n">
        <v>0</v>
      </c>
    </row>
    <row r="362" customFormat="false" ht="35.05" hidden="false" customHeight="false" outlineLevel="0" collapsed="false">
      <c r="A362" s="15" t="s">
        <v>2724</v>
      </c>
      <c r="B362" s="15" t="s">
        <v>37</v>
      </c>
      <c r="C362" s="15" t="s">
        <v>2683</v>
      </c>
      <c r="D362" s="15" t="n">
        <v>33</v>
      </c>
      <c r="E362" s="15" t="s">
        <v>2725</v>
      </c>
      <c r="F362" s="15" t="n">
        <v>0</v>
      </c>
      <c r="G362" s="15" t="s">
        <v>141</v>
      </c>
      <c r="H362" s="15" t="s">
        <v>142</v>
      </c>
      <c r="I362" s="3" t="s">
        <v>2726</v>
      </c>
      <c r="J362" s="3" t="s">
        <v>2727</v>
      </c>
      <c r="K362" s="15" t="s">
        <v>133</v>
      </c>
      <c r="L362" s="16" t="s">
        <v>7</v>
      </c>
      <c r="M362" s="15" t="s">
        <v>66</v>
      </c>
      <c r="N362" s="15" t="s">
        <v>90</v>
      </c>
      <c r="O362" s="15" t="s">
        <v>2728</v>
      </c>
      <c r="P362" s="15" t="s">
        <v>135</v>
      </c>
      <c r="Q362" s="15" t="s">
        <v>129</v>
      </c>
      <c r="R362" s="15" t="s">
        <v>135</v>
      </c>
      <c r="S362" s="15"/>
      <c r="T362" s="15"/>
      <c r="U362" s="3" t="s">
        <v>2729</v>
      </c>
      <c r="V362" s="3" t="s">
        <v>2730</v>
      </c>
      <c r="W362" s="3" t="s">
        <v>2731</v>
      </c>
      <c r="X362" s="3" t="s">
        <v>2732</v>
      </c>
      <c r="Y362" s="15" t="n">
        <v>0</v>
      </c>
      <c r="Z362" s="15" t="n">
        <v>0</v>
      </c>
      <c r="AA362" s="15" t="n">
        <v>0</v>
      </c>
      <c r="AB362" s="15" t="n">
        <v>0</v>
      </c>
      <c r="AC362" s="15" t="n">
        <v>1</v>
      </c>
      <c r="AD362" s="15" t="n">
        <v>0</v>
      </c>
      <c r="AE362" s="15" t="n">
        <v>1</v>
      </c>
      <c r="AF362" s="15" t="n">
        <v>1</v>
      </c>
      <c r="AG362" s="15" t="n">
        <v>0</v>
      </c>
      <c r="AH362" s="15" t="n">
        <v>1</v>
      </c>
    </row>
    <row r="363" customFormat="false" ht="35.05" hidden="false" customHeight="false" outlineLevel="0" collapsed="false">
      <c r="A363" s="15" t="s">
        <v>2733</v>
      </c>
      <c r="B363" s="15" t="s">
        <v>37</v>
      </c>
      <c r="C363" s="15" t="s">
        <v>2683</v>
      </c>
      <c r="D363" s="15" t="n">
        <v>33</v>
      </c>
      <c r="E363" s="15" t="s">
        <v>2725</v>
      </c>
      <c r="F363" s="15" t="n">
        <v>1</v>
      </c>
      <c r="G363" s="15" t="s">
        <v>152</v>
      </c>
      <c r="H363" s="15" t="s">
        <v>142</v>
      </c>
      <c r="I363" s="3" t="s">
        <v>2734</v>
      </c>
      <c r="J363" s="3" t="s">
        <v>2735</v>
      </c>
      <c r="K363" s="15" t="s">
        <v>145</v>
      </c>
      <c r="L363" s="16" t="s">
        <v>7</v>
      </c>
      <c r="M363" s="15" t="s">
        <v>66</v>
      </c>
      <c r="N363" s="15" t="s">
        <v>90</v>
      </c>
      <c r="O363" s="15" t="s">
        <v>2736</v>
      </c>
      <c r="P363" s="15" t="s">
        <v>135</v>
      </c>
      <c r="Q363" s="15" t="s">
        <v>129</v>
      </c>
      <c r="R363" s="15" t="s">
        <v>135</v>
      </c>
      <c r="S363" s="15"/>
      <c r="T363" s="15"/>
      <c r="U363" s="3" t="s">
        <v>2737</v>
      </c>
      <c r="V363" s="3" t="s">
        <v>2738</v>
      </c>
      <c r="W363" s="3" t="s">
        <v>2739</v>
      </c>
      <c r="X363" s="3" t="s">
        <v>2740</v>
      </c>
      <c r="Y363" s="15" t="n">
        <v>0</v>
      </c>
      <c r="Z363" s="15" t="n">
        <v>0</v>
      </c>
      <c r="AA363" s="15" t="n">
        <v>0</v>
      </c>
      <c r="AB363" s="15" t="n">
        <v>0</v>
      </c>
      <c r="AC363" s="15" t="n">
        <v>1</v>
      </c>
      <c r="AD363" s="15" t="n">
        <v>0</v>
      </c>
      <c r="AE363" s="15" t="n">
        <v>0</v>
      </c>
      <c r="AF363" s="15" t="n">
        <v>1</v>
      </c>
      <c r="AG363" s="15" t="n">
        <v>0</v>
      </c>
      <c r="AH363" s="15" t="n">
        <v>1</v>
      </c>
    </row>
    <row r="364" customFormat="false" ht="35.05" hidden="false" customHeight="false" outlineLevel="0" collapsed="false">
      <c r="A364" s="15" t="s">
        <v>2741</v>
      </c>
      <c r="B364" s="15" t="s">
        <v>37</v>
      </c>
      <c r="C364" s="15" t="s">
        <v>2683</v>
      </c>
      <c r="D364" s="15" t="n">
        <v>33</v>
      </c>
      <c r="E364" s="15" t="s">
        <v>2725</v>
      </c>
      <c r="F364" s="15" t="n">
        <v>2</v>
      </c>
      <c r="G364" s="15" t="s">
        <v>129</v>
      </c>
      <c r="H364" s="15" t="s">
        <v>130</v>
      </c>
      <c r="I364" s="3" t="s">
        <v>2742</v>
      </c>
      <c r="J364" s="3" t="s">
        <v>2743</v>
      </c>
      <c r="K364" s="15" t="s">
        <v>133</v>
      </c>
      <c r="L364" s="17" t="s">
        <v>9</v>
      </c>
      <c r="M364" s="15" t="s">
        <v>70</v>
      </c>
      <c r="N364" s="15" t="s">
        <v>81</v>
      </c>
      <c r="O364" s="15" t="s">
        <v>1449</v>
      </c>
      <c r="P364" s="15" t="s">
        <v>185</v>
      </c>
      <c r="Q364" s="15" t="s">
        <v>129</v>
      </c>
      <c r="R364" s="15" t="s">
        <v>135</v>
      </c>
      <c r="S364" s="15" t="s">
        <v>341</v>
      </c>
      <c r="T364" s="15" t="s">
        <v>390</v>
      </c>
      <c r="U364" s="3" t="s">
        <v>2744</v>
      </c>
      <c r="V364" s="3" t="s">
        <v>2745</v>
      </c>
      <c r="W364" s="3"/>
      <c r="X364" s="3"/>
      <c r="Y364" s="15" t="n">
        <v>1</v>
      </c>
      <c r="Z364" s="15" t="n">
        <v>1</v>
      </c>
      <c r="AA364" s="15" t="n">
        <v>0</v>
      </c>
      <c r="AB364" s="15" t="n">
        <v>0</v>
      </c>
      <c r="AC364" s="15" t="n">
        <v>0</v>
      </c>
      <c r="AD364" s="15" t="n">
        <v>0</v>
      </c>
      <c r="AE364" s="15" t="n">
        <v>0</v>
      </c>
      <c r="AF364" s="15" t="n">
        <v>0</v>
      </c>
      <c r="AG364" s="15" t="n">
        <v>0</v>
      </c>
      <c r="AH364" s="15" t="n">
        <v>1</v>
      </c>
    </row>
    <row r="365" customFormat="false" ht="57.45" hidden="false" customHeight="false" outlineLevel="0" collapsed="false">
      <c r="A365" s="15" t="s">
        <v>2746</v>
      </c>
      <c r="B365" s="15" t="s">
        <v>37</v>
      </c>
      <c r="C365" s="15" t="s">
        <v>2683</v>
      </c>
      <c r="D365" s="15" t="n">
        <v>49</v>
      </c>
      <c r="E365" s="15" t="s">
        <v>2747</v>
      </c>
      <c r="F365" s="15" t="n">
        <v>0</v>
      </c>
      <c r="G365" s="15" t="s">
        <v>129</v>
      </c>
      <c r="H365" s="15" t="s">
        <v>130</v>
      </c>
      <c r="I365" s="3" t="s">
        <v>2748</v>
      </c>
      <c r="J365" s="3" t="s">
        <v>2749</v>
      </c>
      <c r="K365" s="15" t="s">
        <v>133</v>
      </c>
      <c r="L365" s="16" t="s">
        <v>7</v>
      </c>
      <c r="M365" s="15" t="s">
        <v>68</v>
      </c>
      <c r="N365" s="15" t="s">
        <v>82</v>
      </c>
      <c r="O365" s="15" t="s">
        <v>2380</v>
      </c>
      <c r="P365" s="15" t="s">
        <v>185</v>
      </c>
      <c r="Q365" s="15" t="s">
        <v>129</v>
      </c>
      <c r="R365" s="15" t="s">
        <v>135</v>
      </c>
      <c r="S365" s="15"/>
      <c r="T365" s="15"/>
      <c r="U365" s="3" t="s">
        <v>2750</v>
      </c>
      <c r="V365" s="3" t="s">
        <v>2751</v>
      </c>
      <c r="W365" s="3" t="s">
        <v>2752</v>
      </c>
      <c r="X365" s="3" t="s">
        <v>2753</v>
      </c>
      <c r="Y365" s="15" t="n">
        <v>0</v>
      </c>
      <c r="Z365" s="15" t="n">
        <v>1</v>
      </c>
      <c r="AA365" s="15" t="n">
        <v>0</v>
      </c>
      <c r="AB365" s="15" t="n">
        <v>0</v>
      </c>
      <c r="AC365" s="15" t="n">
        <v>0</v>
      </c>
      <c r="AD365" s="15" t="n">
        <v>0</v>
      </c>
      <c r="AE365" s="15" t="n">
        <v>1</v>
      </c>
      <c r="AF365" s="15" t="n">
        <v>0</v>
      </c>
      <c r="AG365" s="15" t="n">
        <v>0</v>
      </c>
      <c r="AH365" s="15" t="n">
        <v>0</v>
      </c>
    </row>
    <row r="366" customFormat="false" ht="46.25" hidden="false" customHeight="false" outlineLevel="0" collapsed="false">
      <c r="A366" s="15" t="s">
        <v>2754</v>
      </c>
      <c r="B366" s="15" t="s">
        <v>37</v>
      </c>
      <c r="C366" s="15" t="s">
        <v>2683</v>
      </c>
      <c r="D366" s="15" t="n">
        <v>49</v>
      </c>
      <c r="E366" s="15" t="s">
        <v>2747</v>
      </c>
      <c r="F366" s="15" t="n">
        <v>1</v>
      </c>
      <c r="G366" s="15" t="s">
        <v>152</v>
      </c>
      <c r="H366" s="15" t="s">
        <v>142</v>
      </c>
      <c r="I366" s="3" t="s">
        <v>2755</v>
      </c>
      <c r="J366" s="3" t="s">
        <v>2756</v>
      </c>
      <c r="K366" s="15" t="s">
        <v>145</v>
      </c>
      <c r="L366" s="17" t="s">
        <v>9</v>
      </c>
      <c r="M366" s="15" t="s">
        <v>70</v>
      </c>
      <c r="N366" s="15" t="s">
        <v>81</v>
      </c>
      <c r="O366" s="15" t="s">
        <v>2757</v>
      </c>
      <c r="P366" s="15" t="s">
        <v>135</v>
      </c>
      <c r="Q366" s="15" t="s">
        <v>129</v>
      </c>
      <c r="R366" s="15" t="s">
        <v>135</v>
      </c>
      <c r="S366" s="15" t="s">
        <v>326</v>
      </c>
      <c r="T366" s="15" t="s">
        <v>342</v>
      </c>
      <c r="U366" s="3" t="s">
        <v>2758</v>
      </c>
      <c r="V366" s="3" t="s">
        <v>2759</v>
      </c>
      <c r="W366" s="3"/>
      <c r="X366" s="3"/>
      <c r="Y366" s="15" t="n">
        <v>1</v>
      </c>
      <c r="Z366" s="15" t="n">
        <v>0</v>
      </c>
      <c r="AA366" s="15" t="n">
        <v>0</v>
      </c>
      <c r="AB366" s="15" t="n">
        <v>0</v>
      </c>
      <c r="AC366" s="15" t="n">
        <v>0</v>
      </c>
      <c r="AD366" s="15" t="n">
        <v>0</v>
      </c>
      <c r="AE366" s="15" t="n">
        <v>1</v>
      </c>
      <c r="AF366" s="15" t="n">
        <v>1</v>
      </c>
      <c r="AG366" s="15" t="n">
        <v>0</v>
      </c>
      <c r="AH366" s="15" t="n">
        <v>0</v>
      </c>
    </row>
    <row r="367" customFormat="false" ht="46.25" hidden="false" customHeight="false" outlineLevel="0" collapsed="false">
      <c r="A367" s="15" t="s">
        <v>2760</v>
      </c>
      <c r="B367" s="15" t="s">
        <v>37</v>
      </c>
      <c r="C367" s="15" t="s">
        <v>2683</v>
      </c>
      <c r="D367" s="15" t="n">
        <v>49</v>
      </c>
      <c r="E367" s="15" t="s">
        <v>2747</v>
      </c>
      <c r="F367" s="15" t="n">
        <v>2</v>
      </c>
      <c r="G367" s="15" t="s">
        <v>197</v>
      </c>
      <c r="H367" s="15" t="s">
        <v>142</v>
      </c>
      <c r="I367" s="3" t="s">
        <v>2761</v>
      </c>
      <c r="J367" s="3" t="s">
        <v>2762</v>
      </c>
      <c r="K367" s="15" t="s">
        <v>133</v>
      </c>
      <c r="L367" s="16" t="s">
        <v>7</v>
      </c>
      <c r="M367" s="15" t="s">
        <v>68</v>
      </c>
      <c r="N367" s="15" t="s">
        <v>87</v>
      </c>
      <c r="O367" s="15" t="s">
        <v>725</v>
      </c>
      <c r="P367" s="15" t="s">
        <v>135</v>
      </c>
      <c r="Q367" s="15" t="s">
        <v>129</v>
      </c>
      <c r="R367" s="15" t="s">
        <v>135</v>
      </c>
      <c r="S367" s="15"/>
      <c r="T367" s="15"/>
      <c r="U367" s="3" t="s">
        <v>2763</v>
      </c>
      <c r="V367" s="3" t="s">
        <v>2764</v>
      </c>
      <c r="W367" s="3" t="s">
        <v>2765</v>
      </c>
      <c r="X367" s="3" t="s">
        <v>2766</v>
      </c>
      <c r="Y367" s="15" t="n">
        <v>0</v>
      </c>
      <c r="Z367" s="15" t="n">
        <v>0</v>
      </c>
      <c r="AA367" s="15" t="n">
        <v>0</v>
      </c>
      <c r="AB367" s="15" t="n">
        <v>1</v>
      </c>
      <c r="AC367" s="15" t="n">
        <v>0</v>
      </c>
      <c r="AD367" s="15" t="n">
        <v>0</v>
      </c>
      <c r="AE367" s="15" t="n">
        <v>1</v>
      </c>
      <c r="AF367" s="15" t="n">
        <v>1</v>
      </c>
      <c r="AG367" s="15" t="n">
        <v>0</v>
      </c>
      <c r="AH367" s="15" t="n">
        <v>0</v>
      </c>
    </row>
    <row r="368" customFormat="false" ht="46.25" hidden="false" customHeight="false" outlineLevel="0" collapsed="false">
      <c r="A368" s="15" t="s">
        <v>2767</v>
      </c>
      <c r="B368" s="15" t="s">
        <v>37</v>
      </c>
      <c r="C368" s="15" t="s">
        <v>2683</v>
      </c>
      <c r="D368" s="15" t="n">
        <v>50</v>
      </c>
      <c r="E368" s="15" t="s">
        <v>2768</v>
      </c>
      <c r="F368" s="15" t="n">
        <v>0</v>
      </c>
      <c r="G368" s="15" t="s">
        <v>141</v>
      </c>
      <c r="H368" s="15" t="s">
        <v>142</v>
      </c>
      <c r="I368" s="3" t="s">
        <v>2769</v>
      </c>
      <c r="J368" s="3" t="s">
        <v>2770</v>
      </c>
      <c r="K368" s="15" t="s">
        <v>133</v>
      </c>
      <c r="L368" s="16" t="s">
        <v>7</v>
      </c>
      <c r="M368" s="15" t="s">
        <v>68</v>
      </c>
      <c r="N368" s="15" t="s">
        <v>90</v>
      </c>
      <c r="O368" s="15" t="s">
        <v>2771</v>
      </c>
      <c r="P368" s="15" t="s">
        <v>135</v>
      </c>
      <c r="Q368" s="15" t="s">
        <v>136</v>
      </c>
      <c r="R368" s="15" t="s">
        <v>135</v>
      </c>
      <c r="S368" s="15"/>
      <c r="T368" s="15"/>
      <c r="U368" s="3" t="s">
        <v>2772</v>
      </c>
      <c r="V368" s="3" t="s">
        <v>2773</v>
      </c>
      <c r="W368" s="3" t="s">
        <v>2774</v>
      </c>
      <c r="X368" s="3" t="s">
        <v>2775</v>
      </c>
      <c r="Y368" s="15" t="n">
        <v>0</v>
      </c>
      <c r="Z368" s="15" t="n">
        <v>0</v>
      </c>
      <c r="AA368" s="15" t="n">
        <v>0</v>
      </c>
      <c r="AB368" s="15" t="n">
        <v>0</v>
      </c>
      <c r="AC368" s="15" t="n">
        <v>1</v>
      </c>
      <c r="AD368" s="15" t="n">
        <v>0</v>
      </c>
      <c r="AE368" s="15" t="n">
        <v>0</v>
      </c>
      <c r="AF368" s="15" t="n">
        <v>1</v>
      </c>
      <c r="AG368" s="15" t="n">
        <v>1</v>
      </c>
      <c r="AH368" s="15" t="n">
        <v>1</v>
      </c>
    </row>
    <row r="369" customFormat="false" ht="46.25" hidden="false" customHeight="false" outlineLevel="0" collapsed="false">
      <c r="A369" s="15" t="s">
        <v>2776</v>
      </c>
      <c r="B369" s="15" t="s">
        <v>37</v>
      </c>
      <c r="C369" s="15" t="s">
        <v>2683</v>
      </c>
      <c r="D369" s="15" t="n">
        <v>50</v>
      </c>
      <c r="E369" s="15" t="s">
        <v>2768</v>
      </c>
      <c r="F369" s="15" t="n">
        <v>1</v>
      </c>
      <c r="G369" s="15" t="s">
        <v>129</v>
      </c>
      <c r="H369" s="15" t="s">
        <v>130</v>
      </c>
      <c r="I369" s="3" t="s">
        <v>2777</v>
      </c>
      <c r="J369" s="3" t="s">
        <v>2778</v>
      </c>
      <c r="K369" s="15" t="s">
        <v>133</v>
      </c>
      <c r="L369" s="17" t="s">
        <v>9</v>
      </c>
      <c r="M369" s="15" t="s">
        <v>70</v>
      </c>
      <c r="N369" s="15" t="s">
        <v>81</v>
      </c>
      <c r="O369" s="15" t="s">
        <v>340</v>
      </c>
      <c r="P369" s="15" t="s">
        <v>135</v>
      </c>
      <c r="Q369" s="15" t="s">
        <v>197</v>
      </c>
      <c r="R369" s="15" t="s">
        <v>135</v>
      </c>
      <c r="S369" s="15" t="s">
        <v>1166</v>
      </c>
      <c r="T369" s="15" t="s">
        <v>390</v>
      </c>
      <c r="U369" s="3" t="s">
        <v>2779</v>
      </c>
      <c r="V369" s="3" t="s">
        <v>2780</v>
      </c>
      <c r="W369" s="3"/>
      <c r="X369" s="3"/>
      <c r="Y369" s="15" t="n">
        <v>1</v>
      </c>
      <c r="Z369" s="15" t="n">
        <v>0</v>
      </c>
      <c r="AA369" s="15" t="n">
        <v>0</v>
      </c>
      <c r="AB369" s="15" t="n">
        <v>0</v>
      </c>
      <c r="AC369" s="15" t="n">
        <v>0</v>
      </c>
      <c r="AD369" s="15" t="n">
        <v>0</v>
      </c>
      <c r="AE369" s="15" t="n">
        <v>0</v>
      </c>
      <c r="AF369" s="15" t="n">
        <v>0</v>
      </c>
      <c r="AG369" s="15" t="n">
        <v>0</v>
      </c>
      <c r="AH369" s="15" t="n">
        <v>1</v>
      </c>
    </row>
    <row r="370" customFormat="false" ht="46.25" hidden="false" customHeight="false" outlineLevel="0" collapsed="false">
      <c r="A370" s="15" t="s">
        <v>2781</v>
      </c>
      <c r="B370" s="15" t="s">
        <v>37</v>
      </c>
      <c r="C370" s="15" t="s">
        <v>2683</v>
      </c>
      <c r="D370" s="15" t="n">
        <v>50</v>
      </c>
      <c r="E370" s="15" t="s">
        <v>2768</v>
      </c>
      <c r="F370" s="15" t="n">
        <v>2</v>
      </c>
      <c r="G370" s="15" t="s">
        <v>197</v>
      </c>
      <c r="H370" s="15" t="s">
        <v>142</v>
      </c>
      <c r="I370" s="3" t="s">
        <v>2782</v>
      </c>
      <c r="J370" s="3" t="s">
        <v>2783</v>
      </c>
      <c r="K370" s="15" t="s">
        <v>145</v>
      </c>
      <c r="L370" s="17" t="s">
        <v>9</v>
      </c>
      <c r="M370" s="15" t="s">
        <v>70</v>
      </c>
      <c r="N370" s="15" t="s">
        <v>81</v>
      </c>
      <c r="O370" s="15" t="s">
        <v>340</v>
      </c>
      <c r="P370" s="15" t="s">
        <v>135</v>
      </c>
      <c r="Q370" s="15" t="s">
        <v>152</v>
      </c>
      <c r="R370" s="15" t="s">
        <v>135</v>
      </c>
      <c r="S370" s="15" t="s">
        <v>326</v>
      </c>
      <c r="T370" s="15" t="s">
        <v>390</v>
      </c>
      <c r="U370" s="3" t="s">
        <v>2784</v>
      </c>
      <c r="V370" s="3" t="s">
        <v>2785</v>
      </c>
      <c r="W370" s="3"/>
      <c r="X370" s="3"/>
      <c r="Y370" s="15" t="n">
        <v>1</v>
      </c>
      <c r="Z370" s="15" t="n">
        <v>0</v>
      </c>
      <c r="AA370" s="15" t="n">
        <v>0</v>
      </c>
      <c r="AB370" s="15" t="n">
        <v>0</v>
      </c>
      <c r="AC370" s="15" t="n">
        <v>0</v>
      </c>
      <c r="AD370" s="15" t="n">
        <v>0</v>
      </c>
      <c r="AE370" s="15" t="n">
        <v>0</v>
      </c>
      <c r="AF370" s="15" t="n">
        <v>0</v>
      </c>
      <c r="AG370" s="15" t="n">
        <v>0</v>
      </c>
      <c r="AH370" s="15" t="n">
        <v>1</v>
      </c>
    </row>
    <row r="371" customFormat="false" ht="35.05" hidden="false" customHeight="false" outlineLevel="0" collapsed="false">
      <c r="A371" s="15" t="s">
        <v>2786</v>
      </c>
      <c r="B371" s="15" t="s">
        <v>37</v>
      </c>
      <c r="C371" s="15" t="s">
        <v>2683</v>
      </c>
      <c r="D371" s="15" t="n">
        <v>81</v>
      </c>
      <c r="E371" s="15" t="s">
        <v>2787</v>
      </c>
      <c r="F371" s="15" t="n">
        <v>0</v>
      </c>
      <c r="G371" s="15" t="s">
        <v>129</v>
      </c>
      <c r="H371" s="15" t="s">
        <v>130</v>
      </c>
      <c r="I371" s="3" t="s">
        <v>2788</v>
      </c>
      <c r="J371" s="3" t="s">
        <v>2789</v>
      </c>
      <c r="K371" s="15" t="s">
        <v>133</v>
      </c>
      <c r="L371" s="16" t="s">
        <v>7</v>
      </c>
      <c r="M371" s="15" t="s">
        <v>66</v>
      </c>
      <c r="N371" s="15" t="s">
        <v>90</v>
      </c>
      <c r="O371" s="15" t="s">
        <v>2790</v>
      </c>
      <c r="P371" s="15" t="s">
        <v>185</v>
      </c>
      <c r="Q371" s="15" t="s">
        <v>129</v>
      </c>
      <c r="R371" s="15" t="s">
        <v>185</v>
      </c>
      <c r="S371" s="15"/>
      <c r="T371" s="15"/>
      <c r="U371" s="3" t="s">
        <v>2791</v>
      </c>
      <c r="V371" s="3" t="s">
        <v>2792</v>
      </c>
      <c r="W371" s="3" t="s">
        <v>2793</v>
      </c>
      <c r="X371" s="3" t="s">
        <v>2794</v>
      </c>
      <c r="Y371" s="15" t="n">
        <v>0</v>
      </c>
      <c r="Z371" s="15" t="n">
        <v>0</v>
      </c>
      <c r="AA371" s="15" t="n">
        <v>0</v>
      </c>
      <c r="AB371" s="15" t="n">
        <v>0</v>
      </c>
      <c r="AC371" s="15" t="n">
        <v>0</v>
      </c>
      <c r="AD371" s="15" t="n">
        <v>0</v>
      </c>
      <c r="AE371" s="15" t="n">
        <v>0</v>
      </c>
      <c r="AF371" s="15" t="n">
        <v>1</v>
      </c>
      <c r="AG371" s="15" t="n">
        <v>1</v>
      </c>
      <c r="AH371" s="15" t="n">
        <v>1</v>
      </c>
    </row>
    <row r="372" customFormat="false" ht="35.05" hidden="false" customHeight="false" outlineLevel="0" collapsed="false">
      <c r="A372" s="15" t="s">
        <v>2795</v>
      </c>
      <c r="B372" s="15" t="s">
        <v>37</v>
      </c>
      <c r="C372" s="15" t="s">
        <v>2683</v>
      </c>
      <c r="D372" s="15" t="n">
        <v>81</v>
      </c>
      <c r="E372" s="15" t="s">
        <v>2787</v>
      </c>
      <c r="F372" s="15" t="n">
        <v>1</v>
      </c>
      <c r="G372" s="15" t="s">
        <v>141</v>
      </c>
      <c r="H372" s="15" t="s">
        <v>142</v>
      </c>
      <c r="I372" s="3" t="s">
        <v>2796</v>
      </c>
      <c r="J372" s="3" t="s">
        <v>2797</v>
      </c>
      <c r="K372" s="15" t="s">
        <v>145</v>
      </c>
      <c r="L372" s="16" t="s">
        <v>7</v>
      </c>
      <c r="M372" s="15" t="s">
        <v>68</v>
      </c>
      <c r="N372" s="15" t="s">
        <v>84</v>
      </c>
      <c r="O372" s="15" t="s">
        <v>2307</v>
      </c>
      <c r="P372" s="15" t="s">
        <v>135</v>
      </c>
      <c r="Q372" s="15" t="s">
        <v>136</v>
      </c>
      <c r="R372" s="15" t="s">
        <v>135</v>
      </c>
      <c r="S372" s="15"/>
      <c r="T372" s="15"/>
      <c r="U372" s="3" t="s">
        <v>2798</v>
      </c>
      <c r="V372" s="3" t="s">
        <v>2799</v>
      </c>
      <c r="W372" s="3" t="s">
        <v>2800</v>
      </c>
      <c r="X372" s="3" t="s">
        <v>2801</v>
      </c>
      <c r="Y372" s="15" t="n">
        <v>0</v>
      </c>
      <c r="Z372" s="15" t="n">
        <v>0</v>
      </c>
      <c r="AA372" s="15" t="n">
        <v>0</v>
      </c>
      <c r="AB372" s="15" t="n">
        <v>1</v>
      </c>
      <c r="AC372" s="15" t="n">
        <v>0</v>
      </c>
      <c r="AD372" s="15" t="n">
        <v>0</v>
      </c>
      <c r="AE372" s="15" t="n">
        <v>0</v>
      </c>
      <c r="AF372" s="15" t="n">
        <v>1</v>
      </c>
      <c r="AG372" s="15" t="n">
        <v>0</v>
      </c>
      <c r="AH372" s="15" t="n">
        <v>1</v>
      </c>
    </row>
    <row r="373" customFormat="false" ht="23.85" hidden="false" customHeight="false" outlineLevel="0" collapsed="false">
      <c r="A373" s="15" t="s">
        <v>2802</v>
      </c>
      <c r="B373" s="15" t="s">
        <v>37</v>
      </c>
      <c r="C373" s="15" t="s">
        <v>2683</v>
      </c>
      <c r="D373" s="15" t="n">
        <v>81</v>
      </c>
      <c r="E373" s="15" t="s">
        <v>2787</v>
      </c>
      <c r="F373" s="15" t="n">
        <v>2</v>
      </c>
      <c r="G373" s="15" t="s">
        <v>197</v>
      </c>
      <c r="H373" s="15" t="s">
        <v>142</v>
      </c>
      <c r="I373" s="3" t="s">
        <v>2803</v>
      </c>
      <c r="J373" s="3" t="s">
        <v>2804</v>
      </c>
      <c r="K373" s="15" t="s">
        <v>133</v>
      </c>
      <c r="L373" s="16" t="s">
        <v>7</v>
      </c>
      <c r="M373" s="15" t="s">
        <v>66</v>
      </c>
      <c r="N373" s="15" t="s">
        <v>88</v>
      </c>
      <c r="O373" s="15" t="s">
        <v>1790</v>
      </c>
      <c r="P373" s="15" t="s">
        <v>135</v>
      </c>
      <c r="Q373" s="15" t="s">
        <v>129</v>
      </c>
      <c r="R373" s="15" t="s">
        <v>135</v>
      </c>
      <c r="S373" s="15"/>
      <c r="T373" s="15"/>
      <c r="U373" s="3" t="s">
        <v>2805</v>
      </c>
      <c r="V373" s="3" t="s">
        <v>2806</v>
      </c>
      <c r="W373" s="3"/>
      <c r="X373" s="3" t="s">
        <v>2807</v>
      </c>
      <c r="Y373" s="15" t="n">
        <v>0</v>
      </c>
      <c r="Z373" s="15" t="n">
        <v>0</v>
      </c>
      <c r="AA373" s="15" t="n">
        <v>0</v>
      </c>
      <c r="AB373" s="15" t="n">
        <v>0</v>
      </c>
      <c r="AC373" s="15" t="n">
        <v>0</v>
      </c>
      <c r="AD373" s="15" t="n">
        <v>0</v>
      </c>
      <c r="AE373" s="15" t="n">
        <v>1</v>
      </c>
      <c r="AF373" s="15" t="n">
        <v>1</v>
      </c>
      <c r="AG373" s="15" t="n">
        <v>0</v>
      </c>
      <c r="AH373" s="15" t="n">
        <v>0</v>
      </c>
    </row>
    <row r="374" customFormat="false" ht="35.05" hidden="false" customHeight="false" outlineLevel="0" collapsed="false">
      <c r="A374" s="15" t="s">
        <v>2808</v>
      </c>
      <c r="B374" s="15" t="s">
        <v>37</v>
      </c>
      <c r="C374" s="15" t="s">
        <v>2683</v>
      </c>
      <c r="D374" s="15" t="n">
        <v>83</v>
      </c>
      <c r="E374" s="15" t="s">
        <v>2809</v>
      </c>
      <c r="F374" s="15" t="n">
        <v>0</v>
      </c>
      <c r="G374" s="15" t="s">
        <v>141</v>
      </c>
      <c r="H374" s="15" t="s">
        <v>142</v>
      </c>
      <c r="I374" s="3" t="s">
        <v>2810</v>
      </c>
      <c r="J374" s="3" t="s">
        <v>2811</v>
      </c>
      <c r="K374" s="15" t="s">
        <v>133</v>
      </c>
      <c r="L374" s="16" t="s">
        <v>7</v>
      </c>
      <c r="M374" s="15" t="s">
        <v>68</v>
      </c>
      <c r="N374" s="15" t="s">
        <v>82</v>
      </c>
      <c r="O374" s="15" t="s">
        <v>1542</v>
      </c>
      <c r="P374" s="15" t="s">
        <v>135</v>
      </c>
      <c r="Q374" s="15" t="s">
        <v>136</v>
      </c>
      <c r="R374" s="15" t="s">
        <v>135</v>
      </c>
      <c r="S374" s="15"/>
      <c r="T374" s="15"/>
      <c r="U374" s="3" t="s">
        <v>2812</v>
      </c>
      <c r="V374" s="3" t="s">
        <v>2813</v>
      </c>
      <c r="W374" s="3" t="s">
        <v>2814</v>
      </c>
      <c r="X374" s="3" t="s">
        <v>2815</v>
      </c>
      <c r="Y374" s="15" t="n">
        <v>0</v>
      </c>
      <c r="Z374" s="15" t="n">
        <v>1</v>
      </c>
      <c r="AA374" s="15" t="n">
        <v>0</v>
      </c>
      <c r="AB374" s="15" t="n">
        <v>0</v>
      </c>
      <c r="AC374" s="15" t="n">
        <v>0</v>
      </c>
      <c r="AD374" s="15" t="n">
        <v>0</v>
      </c>
      <c r="AE374" s="15" t="n">
        <v>0</v>
      </c>
      <c r="AF374" s="15" t="n">
        <v>1</v>
      </c>
      <c r="AG374" s="15" t="n">
        <v>1</v>
      </c>
      <c r="AH374" s="15" t="n">
        <v>0</v>
      </c>
    </row>
    <row r="375" customFormat="false" ht="35.05" hidden="false" customHeight="false" outlineLevel="0" collapsed="false">
      <c r="A375" s="15" t="s">
        <v>2816</v>
      </c>
      <c r="B375" s="15" t="s">
        <v>37</v>
      </c>
      <c r="C375" s="15" t="s">
        <v>2683</v>
      </c>
      <c r="D375" s="15" t="n">
        <v>83</v>
      </c>
      <c r="E375" s="15" t="s">
        <v>2809</v>
      </c>
      <c r="F375" s="15" t="n">
        <v>1</v>
      </c>
      <c r="G375" s="15" t="s">
        <v>129</v>
      </c>
      <c r="H375" s="15" t="s">
        <v>130</v>
      </c>
      <c r="I375" s="3" t="s">
        <v>2817</v>
      </c>
      <c r="J375" s="3" t="s">
        <v>2818</v>
      </c>
      <c r="K375" s="15" t="s">
        <v>145</v>
      </c>
      <c r="L375" s="18" t="s">
        <v>5</v>
      </c>
      <c r="M375" s="15" t="s">
        <v>426</v>
      </c>
      <c r="N375" s="15" t="s">
        <v>426</v>
      </c>
      <c r="O375" s="15"/>
      <c r="P375" s="15" t="s">
        <v>185</v>
      </c>
      <c r="Q375" s="15" t="s">
        <v>129</v>
      </c>
      <c r="R375" s="15" t="s">
        <v>185</v>
      </c>
      <c r="S375" s="15"/>
      <c r="T375" s="15"/>
      <c r="U375" s="3" t="s">
        <v>2819</v>
      </c>
      <c r="V375" s="3" t="s">
        <v>2820</v>
      </c>
      <c r="W375" s="3"/>
      <c r="X375" s="3"/>
      <c r="Y375" s="15" t="n">
        <v>0</v>
      </c>
      <c r="Z375" s="15" t="n">
        <v>0</v>
      </c>
      <c r="AA375" s="15" t="n">
        <v>0</v>
      </c>
      <c r="AB375" s="15" t="n">
        <v>0</v>
      </c>
      <c r="AC375" s="15" t="n">
        <v>0</v>
      </c>
      <c r="AD375" s="15" t="n">
        <v>0</v>
      </c>
      <c r="AE375" s="15" t="n">
        <v>0</v>
      </c>
      <c r="AF375" s="15" t="n">
        <v>0</v>
      </c>
      <c r="AG375" s="15" t="n">
        <v>0</v>
      </c>
      <c r="AH375" s="15" t="n">
        <v>0</v>
      </c>
    </row>
    <row r="376" customFormat="false" ht="35.05" hidden="false" customHeight="false" outlineLevel="0" collapsed="false">
      <c r="A376" s="15" t="s">
        <v>2821</v>
      </c>
      <c r="B376" s="15" t="s">
        <v>37</v>
      </c>
      <c r="C376" s="15" t="s">
        <v>2683</v>
      </c>
      <c r="D376" s="15" t="n">
        <v>83</v>
      </c>
      <c r="E376" s="15" t="s">
        <v>2809</v>
      </c>
      <c r="F376" s="15" t="n">
        <v>2</v>
      </c>
      <c r="G376" s="15" t="s">
        <v>197</v>
      </c>
      <c r="H376" s="15" t="s">
        <v>142</v>
      </c>
      <c r="I376" s="3" t="s">
        <v>2822</v>
      </c>
      <c r="J376" s="3" t="s">
        <v>2823</v>
      </c>
      <c r="K376" s="15" t="s">
        <v>133</v>
      </c>
      <c r="L376" s="16" t="s">
        <v>7</v>
      </c>
      <c r="M376" s="15" t="s">
        <v>68</v>
      </c>
      <c r="N376" s="15" t="s">
        <v>82</v>
      </c>
      <c r="O376" s="15" t="s">
        <v>1542</v>
      </c>
      <c r="P376" s="15" t="s">
        <v>135</v>
      </c>
      <c r="Q376" s="15" t="s">
        <v>129</v>
      </c>
      <c r="R376" s="15" t="s">
        <v>135</v>
      </c>
      <c r="S376" s="15"/>
      <c r="T376" s="15"/>
      <c r="U376" s="3" t="s">
        <v>2824</v>
      </c>
      <c r="V376" s="3" t="s">
        <v>2825</v>
      </c>
      <c r="W376" s="3" t="s">
        <v>2826</v>
      </c>
      <c r="X376" s="3" t="s">
        <v>2827</v>
      </c>
      <c r="Y376" s="15" t="n">
        <v>0</v>
      </c>
      <c r="Z376" s="15" t="n">
        <v>1</v>
      </c>
      <c r="AA376" s="15" t="n">
        <v>0</v>
      </c>
      <c r="AB376" s="15" t="n">
        <v>0</v>
      </c>
      <c r="AC376" s="15" t="n">
        <v>0</v>
      </c>
      <c r="AD376" s="15" t="n">
        <v>0</v>
      </c>
      <c r="AE376" s="15" t="n">
        <v>0</v>
      </c>
      <c r="AF376" s="15" t="n">
        <v>1</v>
      </c>
      <c r="AG376" s="15" t="n">
        <v>1</v>
      </c>
      <c r="AH376" s="15" t="n">
        <v>0</v>
      </c>
    </row>
    <row r="377" customFormat="false" ht="46.25" hidden="false" customHeight="false" outlineLevel="0" collapsed="false">
      <c r="A377" s="15" t="s">
        <v>2828</v>
      </c>
      <c r="B377" s="15" t="s">
        <v>37</v>
      </c>
      <c r="C377" s="15" t="s">
        <v>2683</v>
      </c>
      <c r="D377" s="15" t="n">
        <v>84</v>
      </c>
      <c r="E377" s="15" t="s">
        <v>2829</v>
      </c>
      <c r="F377" s="15" t="n">
        <v>0</v>
      </c>
      <c r="G377" s="15" t="s">
        <v>152</v>
      </c>
      <c r="H377" s="15" t="s">
        <v>142</v>
      </c>
      <c r="I377" s="3" t="s">
        <v>2830</v>
      </c>
      <c r="J377" s="3" t="s">
        <v>2831</v>
      </c>
      <c r="K377" s="15" t="s">
        <v>133</v>
      </c>
      <c r="L377" s="16" t="s">
        <v>7</v>
      </c>
      <c r="M377" s="15" t="s">
        <v>68</v>
      </c>
      <c r="N377" s="15" t="s">
        <v>82</v>
      </c>
      <c r="O377" s="15" t="s">
        <v>1840</v>
      </c>
      <c r="P377" s="15" t="s">
        <v>185</v>
      </c>
      <c r="Q377" s="15" t="s">
        <v>152</v>
      </c>
      <c r="R377" s="15" t="s">
        <v>135</v>
      </c>
      <c r="S377" s="15"/>
      <c r="T377" s="15"/>
      <c r="U377" s="3" t="s">
        <v>2832</v>
      </c>
      <c r="V377" s="3" t="s">
        <v>2833</v>
      </c>
      <c r="W377" s="3" t="s">
        <v>2834</v>
      </c>
      <c r="X377" s="3" t="s">
        <v>2835</v>
      </c>
      <c r="Y377" s="15" t="n">
        <v>0</v>
      </c>
      <c r="Z377" s="15" t="n">
        <v>1</v>
      </c>
      <c r="AA377" s="15" t="n">
        <v>0</v>
      </c>
      <c r="AB377" s="15" t="n">
        <v>1</v>
      </c>
      <c r="AC377" s="15" t="n">
        <v>0</v>
      </c>
      <c r="AD377" s="15" t="n">
        <v>0</v>
      </c>
      <c r="AE377" s="15" t="n">
        <v>0</v>
      </c>
      <c r="AF377" s="15" t="n">
        <v>0</v>
      </c>
      <c r="AG377" s="15" t="n">
        <v>0</v>
      </c>
      <c r="AH377" s="15" t="n">
        <v>1</v>
      </c>
    </row>
    <row r="378" customFormat="false" ht="35.05" hidden="false" customHeight="false" outlineLevel="0" collapsed="false">
      <c r="A378" s="15" t="s">
        <v>2836</v>
      </c>
      <c r="B378" s="15" t="s">
        <v>37</v>
      </c>
      <c r="C378" s="15" t="s">
        <v>2683</v>
      </c>
      <c r="D378" s="15" t="n">
        <v>84</v>
      </c>
      <c r="E378" s="15" t="s">
        <v>2829</v>
      </c>
      <c r="F378" s="15" t="n">
        <v>1</v>
      </c>
      <c r="G378" s="15" t="s">
        <v>129</v>
      </c>
      <c r="H378" s="15" t="s">
        <v>130</v>
      </c>
      <c r="I378" s="3" t="s">
        <v>2837</v>
      </c>
      <c r="J378" s="3" t="s">
        <v>2838</v>
      </c>
      <c r="K378" s="15" t="s">
        <v>145</v>
      </c>
      <c r="L378" s="16" t="s">
        <v>7</v>
      </c>
      <c r="M378" s="15" t="s">
        <v>68</v>
      </c>
      <c r="N378" s="15" t="s">
        <v>82</v>
      </c>
      <c r="O378" s="15" t="s">
        <v>239</v>
      </c>
      <c r="P378" s="15" t="s">
        <v>135</v>
      </c>
      <c r="Q378" s="15" t="s">
        <v>152</v>
      </c>
      <c r="R378" s="15" t="s">
        <v>135</v>
      </c>
      <c r="S378" s="15"/>
      <c r="T378" s="15"/>
      <c r="U378" s="3" t="s">
        <v>2839</v>
      </c>
      <c r="V378" s="3" t="s">
        <v>2840</v>
      </c>
      <c r="W378" s="3" t="s">
        <v>2841</v>
      </c>
      <c r="X378" s="3" t="s">
        <v>2842</v>
      </c>
      <c r="Y378" s="15" t="n">
        <v>0</v>
      </c>
      <c r="Z378" s="15" t="n">
        <v>1</v>
      </c>
      <c r="AA378" s="15" t="n">
        <v>0</v>
      </c>
      <c r="AB378" s="15" t="n">
        <v>0</v>
      </c>
      <c r="AC378" s="15" t="n">
        <v>0</v>
      </c>
      <c r="AD378" s="15" t="n">
        <v>0</v>
      </c>
      <c r="AE378" s="15" t="n">
        <v>0</v>
      </c>
      <c r="AF378" s="15" t="n">
        <v>1</v>
      </c>
      <c r="AG378" s="15" t="n">
        <v>0</v>
      </c>
      <c r="AH378" s="15" t="n">
        <v>1</v>
      </c>
    </row>
    <row r="379" customFormat="false" ht="35.05" hidden="false" customHeight="false" outlineLevel="0" collapsed="false">
      <c r="A379" s="15" t="s">
        <v>2843</v>
      </c>
      <c r="B379" s="15" t="s">
        <v>37</v>
      </c>
      <c r="C379" s="15" t="s">
        <v>2683</v>
      </c>
      <c r="D379" s="15" t="n">
        <v>84</v>
      </c>
      <c r="E379" s="15" t="s">
        <v>2829</v>
      </c>
      <c r="F379" s="15" t="n">
        <v>2</v>
      </c>
      <c r="G379" s="15" t="s">
        <v>197</v>
      </c>
      <c r="H379" s="15" t="s">
        <v>142</v>
      </c>
      <c r="I379" s="3" t="s">
        <v>2844</v>
      </c>
      <c r="J379" s="3" t="s">
        <v>2845</v>
      </c>
      <c r="K379" s="15" t="s">
        <v>133</v>
      </c>
      <c r="L379" s="17" t="s">
        <v>9</v>
      </c>
      <c r="M379" s="15" t="s">
        <v>70</v>
      </c>
      <c r="N379" s="15" t="s">
        <v>81</v>
      </c>
      <c r="O379" s="15" t="s">
        <v>2721</v>
      </c>
      <c r="P379" s="15" t="s">
        <v>135</v>
      </c>
      <c r="Q379" s="15" t="s">
        <v>197</v>
      </c>
      <c r="R379" s="15" t="s">
        <v>135</v>
      </c>
      <c r="S379" s="15" t="s">
        <v>405</v>
      </c>
      <c r="T379" s="15" t="s">
        <v>390</v>
      </c>
      <c r="U379" s="3" t="s">
        <v>2846</v>
      </c>
      <c r="V379" s="3" t="s">
        <v>2847</v>
      </c>
      <c r="W379" s="3"/>
      <c r="X379" s="3"/>
      <c r="Y379" s="15" t="n">
        <v>1</v>
      </c>
      <c r="Z379" s="15" t="n">
        <v>0</v>
      </c>
      <c r="AA379" s="15" t="n">
        <v>0</v>
      </c>
      <c r="AB379" s="15" t="n">
        <v>1</v>
      </c>
      <c r="AC379" s="15" t="n">
        <v>0</v>
      </c>
      <c r="AD379" s="15" t="n">
        <v>0</v>
      </c>
      <c r="AE379" s="15" t="n">
        <v>0</v>
      </c>
      <c r="AF379" s="15" t="n">
        <v>0</v>
      </c>
      <c r="AG379" s="15" t="n">
        <v>0</v>
      </c>
      <c r="AH379" s="15" t="n">
        <v>0</v>
      </c>
    </row>
    <row r="380" customFormat="false" ht="35.05" hidden="false" customHeight="false" outlineLevel="0" collapsed="false">
      <c r="A380" s="15" t="s">
        <v>2848</v>
      </c>
      <c r="B380" s="15" t="s">
        <v>37</v>
      </c>
      <c r="C380" s="15" t="s">
        <v>2849</v>
      </c>
      <c r="D380" s="15" t="n">
        <v>25</v>
      </c>
      <c r="E380" s="15" t="s">
        <v>2850</v>
      </c>
      <c r="F380" s="15" t="n">
        <v>0</v>
      </c>
      <c r="G380" s="15" t="s">
        <v>141</v>
      </c>
      <c r="H380" s="15" t="s">
        <v>142</v>
      </c>
      <c r="I380" s="3" t="s">
        <v>2851</v>
      </c>
      <c r="J380" s="3" t="s">
        <v>2852</v>
      </c>
      <c r="K380" s="15" t="s">
        <v>133</v>
      </c>
      <c r="L380" s="16" t="s">
        <v>7</v>
      </c>
      <c r="M380" s="15" t="s">
        <v>68</v>
      </c>
      <c r="N380" s="15" t="s">
        <v>82</v>
      </c>
      <c r="O380" s="15" t="s">
        <v>715</v>
      </c>
      <c r="P380" s="15" t="s">
        <v>185</v>
      </c>
      <c r="Q380" s="15" t="s">
        <v>141</v>
      </c>
      <c r="R380" s="15" t="s">
        <v>135</v>
      </c>
      <c r="S380" s="15"/>
      <c r="T380" s="15"/>
      <c r="U380" s="3" t="s">
        <v>2853</v>
      </c>
      <c r="V380" s="3" t="s">
        <v>2854</v>
      </c>
      <c r="W380" s="3"/>
      <c r="X380" s="3" t="s">
        <v>2855</v>
      </c>
      <c r="Y380" s="15" t="n">
        <v>0</v>
      </c>
      <c r="Z380" s="15" t="n">
        <v>1</v>
      </c>
      <c r="AA380" s="15" t="n">
        <v>1</v>
      </c>
      <c r="AB380" s="15" t="n">
        <v>0</v>
      </c>
      <c r="AC380" s="15" t="n">
        <v>0</v>
      </c>
      <c r="AD380" s="15" t="n">
        <v>1</v>
      </c>
      <c r="AE380" s="15" t="n">
        <v>0</v>
      </c>
      <c r="AF380" s="15" t="n">
        <v>0</v>
      </c>
      <c r="AG380" s="15" t="n">
        <v>0</v>
      </c>
      <c r="AH380" s="15" t="n">
        <v>0</v>
      </c>
    </row>
    <row r="381" customFormat="false" ht="35.05" hidden="false" customHeight="false" outlineLevel="0" collapsed="false">
      <c r="A381" s="15" t="s">
        <v>2856</v>
      </c>
      <c r="B381" s="15" t="s">
        <v>37</v>
      </c>
      <c r="C381" s="15" t="s">
        <v>2849</v>
      </c>
      <c r="D381" s="15" t="n">
        <v>25</v>
      </c>
      <c r="E381" s="15" t="s">
        <v>2850</v>
      </c>
      <c r="F381" s="15" t="n">
        <v>1</v>
      </c>
      <c r="G381" s="15" t="s">
        <v>129</v>
      </c>
      <c r="H381" s="15" t="s">
        <v>130</v>
      </c>
      <c r="I381" s="3" t="s">
        <v>2857</v>
      </c>
      <c r="J381" s="3" t="s">
        <v>2858</v>
      </c>
      <c r="K381" s="15" t="s">
        <v>145</v>
      </c>
      <c r="L381" s="18" t="s">
        <v>5</v>
      </c>
      <c r="M381" s="15" t="s">
        <v>426</v>
      </c>
      <c r="N381" s="15" t="s">
        <v>426</v>
      </c>
      <c r="O381" s="15"/>
      <c r="P381" s="15" t="s">
        <v>185</v>
      </c>
      <c r="Q381" s="15" t="s">
        <v>129</v>
      </c>
      <c r="R381" s="15" t="s">
        <v>185</v>
      </c>
      <c r="S381" s="15"/>
      <c r="T381" s="15"/>
      <c r="U381" s="3" t="s">
        <v>2859</v>
      </c>
      <c r="V381" s="3" t="s">
        <v>2860</v>
      </c>
      <c r="W381" s="3"/>
      <c r="X381" s="3"/>
      <c r="Y381" s="15" t="n">
        <v>0</v>
      </c>
      <c r="Z381" s="15" t="n">
        <v>0</v>
      </c>
      <c r="AA381" s="15" t="n">
        <v>0</v>
      </c>
      <c r="AB381" s="15" t="n">
        <v>0</v>
      </c>
      <c r="AC381" s="15" t="n">
        <v>0</v>
      </c>
      <c r="AD381" s="15" t="n">
        <v>0</v>
      </c>
      <c r="AE381" s="15" t="n">
        <v>0</v>
      </c>
      <c r="AF381" s="15" t="n">
        <v>0</v>
      </c>
      <c r="AG381" s="15" t="n">
        <v>0</v>
      </c>
      <c r="AH381" s="15" t="n">
        <v>0</v>
      </c>
    </row>
    <row r="382" customFormat="false" ht="35.05" hidden="false" customHeight="false" outlineLevel="0" collapsed="false">
      <c r="A382" s="15" t="s">
        <v>2861</v>
      </c>
      <c r="B382" s="15" t="s">
        <v>37</v>
      </c>
      <c r="C382" s="15" t="s">
        <v>2849</v>
      </c>
      <c r="D382" s="15" t="n">
        <v>25</v>
      </c>
      <c r="E382" s="15" t="s">
        <v>2850</v>
      </c>
      <c r="F382" s="15" t="n">
        <v>2</v>
      </c>
      <c r="G382" s="15" t="s">
        <v>307</v>
      </c>
      <c r="H382" s="15" t="s">
        <v>308</v>
      </c>
      <c r="I382" s="3" t="s">
        <v>2862</v>
      </c>
      <c r="J382" s="3" t="s">
        <v>2863</v>
      </c>
      <c r="K382" s="15" t="s">
        <v>133</v>
      </c>
      <c r="L382" s="16" t="s">
        <v>7</v>
      </c>
      <c r="M382" s="15" t="s">
        <v>66</v>
      </c>
      <c r="N382" s="15" t="s">
        <v>88</v>
      </c>
      <c r="O382" s="15" t="s">
        <v>88</v>
      </c>
      <c r="P382" s="15" t="s">
        <v>135</v>
      </c>
      <c r="Q382" s="15" t="s">
        <v>136</v>
      </c>
      <c r="R382" s="15" t="s">
        <v>185</v>
      </c>
      <c r="S382" s="15"/>
      <c r="T382" s="15"/>
      <c r="U382" s="3" t="s">
        <v>2864</v>
      </c>
      <c r="V382" s="3" t="s">
        <v>2865</v>
      </c>
      <c r="W382" s="3"/>
      <c r="X382" s="3" t="s">
        <v>2866</v>
      </c>
      <c r="Y382" s="15" t="n">
        <v>0</v>
      </c>
      <c r="Z382" s="15" t="n">
        <v>0</v>
      </c>
      <c r="AA382" s="15" t="n">
        <v>0</v>
      </c>
      <c r="AB382" s="15" t="n">
        <v>0</v>
      </c>
      <c r="AC382" s="15" t="n">
        <v>0</v>
      </c>
      <c r="AD382" s="15" t="n">
        <v>0</v>
      </c>
      <c r="AE382" s="15" t="n">
        <v>0</v>
      </c>
      <c r="AF382" s="15" t="n">
        <v>1</v>
      </c>
      <c r="AG382" s="15" t="n">
        <v>0</v>
      </c>
      <c r="AH382" s="15" t="n">
        <v>0</v>
      </c>
    </row>
    <row r="383" customFormat="false" ht="35.05" hidden="false" customHeight="false" outlineLevel="0" collapsed="false">
      <c r="A383" s="15" t="s">
        <v>2867</v>
      </c>
      <c r="B383" s="15" t="s">
        <v>37</v>
      </c>
      <c r="C383" s="15" t="s">
        <v>2849</v>
      </c>
      <c r="D383" s="15" t="n">
        <v>32</v>
      </c>
      <c r="E383" s="15" t="s">
        <v>2868</v>
      </c>
      <c r="F383" s="15" t="n">
        <v>0</v>
      </c>
      <c r="G383" s="15" t="s">
        <v>129</v>
      </c>
      <c r="H383" s="15" t="s">
        <v>130</v>
      </c>
      <c r="I383" s="3" t="s">
        <v>2869</v>
      </c>
      <c r="J383" s="3" t="s">
        <v>2870</v>
      </c>
      <c r="K383" s="15" t="s">
        <v>133</v>
      </c>
      <c r="L383" s="18" t="s">
        <v>5</v>
      </c>
      <c r="M383" s="15" t="s">
        <v>426</v>
      </c>
      <c r="N383" s="15" t="s">
        <v>426</v>
      </c>
      <c r="O383" s="15"/>
      <c r="P383" s="15" t="s">
        <v>185</v>
      </c>
      <c r="Q383" s="15" t="s">
        <v>129</v>
      </c>
      <c r="R383" s="15" t="s">
        <v>185</v>
      </c>
      <c r="S383" s="15"/>
      <c r="T383" s="15"/>
      <c r="U383" s="3" t="s">
        <v>2871</v>
      </c>
      <c r="V383" s="3" t="s">
        <v>2872</v>
      </c>
      <c r="W383" s="3"/>
      <c r="X383" s="3"/>
      <c r="Y383" s="15" t="n">
        <v>0</v>
      </c>
      <c r="Z383" s="15" t="n">
        <v>0</v>
      </c>
      <c r="AA383" s="15" t="n">
        <v>0</v>
      </c>
      <c r="AB383" s="15" t="n">
        <v>0</v>
      </c>
      <c r="AC383" s="15" t="n">
        <v>0</v>
      </c>
      <c r="AD383" s="15" t="n">
        <v>0</v>
      </c>
      <c r="AE383" s="15" t="n">
        <v>0</v>
      </c>
      <c r="AF383" s="15" t="n">
        <v>0</v>
      </c>
      <c r="AG383" s="15" t="n">
        <v>0</v>
      </c>
      <c r="AH383" s="15" t="n">
        <v>0</v>
      </c>
    </row>
    <row r="384" customFormat="false" ht="57.45" hidden="false" customHeight="false" outlineLevel="0" collapsed="false">
      <c r="A384" s="15" t="s">
        <v>2873</v>
      </c>
      <c r="B384" s="15" t="s">
        <v>37</v>
      </c>
      <c r="C384" s="15" t="s">
        <v>2849</v>
      </c>
      <c r="D384" s="15" t="n">
        <v>32</v>
      </c>
      <c r="E384" s="15" t="s">
        <v>2868</v>
      </c>
      <c r="F384" s="15" t="n">
        <v>1</v>
      </c>
      <c r="G384" s="15" t="s">
        <v>197</v>
      </c>
      <c r="H384" s="15" t="s">
        <v>142</v>
      </c>
      <c r="I384" s="3" t="s">
        <v>2874</v>
      </c>
      <c r="J384" s="3" t="s">
        <v>2875</v>
      </c>
      <c r="K384" s="15" t="s">
        <v>145</v>
      </c>
      <c r="L384" s="16" t="s">
        <v>7</v>
      </c>
      <c r="M384" s="15" t="s">
        <v>68</v>
      </c>
      <c r="N384" s="15" t="s">
        <v>82</v>
      </c>
      <c r="O384" s="15" t="s">
        <v>364</v>
      </c>
      <c r="P384" s="15" t="s">
        <v>135</v>
      </c>
      <c r="Q384" s="15" t="s">
        <v>129</v>
      </c>
      <c r="R384" s="15" t="s">
        <v>135</v>
      </c>
      <c r="S384" s="15"/>
      <c r="T384" s="15"/>
      <c r="U384" s="3" t="s">
        <v>2876</v>
      </c>
      <c r="V384" s="3" t="s">
        <v>2877</v>
      </c>
      <c r="W384" s="3" t="s">
        <v>2878</v>
      </c>
      <c r="X384" s="3" t="s">
        <v>2879</v>
      </c>
      <c r="Y384" s="15" t="n">
        <v>0</v>
      </c>
      <c r="Z384" s="15" t="n">
        <v>1</v>
      </c>
      <c r="AA384" s="15" t="n">
        <v>0</v>
      </c>
      <c r="AB384" s="15" t="n">
        <v>0</v>
      </c>
      <c r="AC384" s="15" t="n">
        <v>1</v>
      </c>
      <c r="AD384" s="15" t="n">
        <v>0</v>
      </c>
      <c r="AE384" s="15" t="n">
        <v>0</v>
      </c>
      <c r="AF384" s="15" t="n">
        <v>1</v>
      </c>
      <c r="AG384" s="15" t="n">
        <v>0</v>
      </c>
      <c r="AH384" s="15" t="n">
        <v>1</v>
      </c>
    </row>
    <row r="385" customFormat="false" ht="46.25" hidden="false" customHeight="false" outlineLevel="0" collapsed="false">
      <c r="A385" s="15" t="s">
        <v>2880</v>
      </c>
      <c r="B385" s="15" t="s">
        <v>37</v>
      </c>
      <c r="C385" s="15" t="s">
        <v>2849</v>
      </c>
      <c r="D385" s="15" t="n">
        <v>32</v>
      </c>
      <c r="E385" s="15" t="s">
        <v>2868</v>
      </c>
      <c r="F385" s="15" t="n">
        <v>2</v>
      </c>
      <c r="G385" s="15" t="s">
        <v>152</v>
      </c>
      <c r="H385" s="15" t="s">
        <v>142</v>
      </c>
      <c r="I385" s="3" t="s">
        <v>2881</v>
      </c>
      <c r="J385" s="3" t="s">
        <v>2882</v>
      </c>
      <c r="K385" s="15" t="s">
        <v>133</v>
      </c>
      <c r="L385" s="16" t="s">
        <v>7</v>
      </c>
      <c r="M385" s="15" t="s">
        <v>68</v>
      </c>
      <c r="N385" s="15" t="s">
        <v>82</v>
      </c>
      <c r="O385" s="15" t="s">
        <v>606</v>
      </c>
      <c r="P385" s="15" t="s">
        <v>185</v>
      </c>
      <c r="Q385" s="15" t="s">
        <v>152</v>
      </c>
      <c r="R385" s="15" t="s">
        <v>135</v>
      </c>
      <c r="S385" s="15"/>
      <c r="T385" s="15"/>
      <c r="U385" s="3" t="s">
        <v>2883</v>
      </c>
      <c r="V385" s="3" t="s">
        <v>2884</v>
      </c>
      <c r="W385" s="3" t="s">
        <v>2885</v>
      </c>
      <c r="X385" s="3" t="s">
        <v>2886</v>
      </c>
      <c r="Y385" s="15" t="n">
        <v>0</v>
      </c>
      <c r="Z385" s="15" t="n">
        <v>1</v>
      </c>
      <c r="AA385" s="15" t="n">
        <v>0</v>
      </c>
      <c r="AB385" s="15" t="n">
        <v>0</v>
      </c>
      <c r="AC385" s="15" t="n">
        <v>1</v>
      </c>
      <c r="AD385" s="15" t="n">
        <v>0</v>
      </c>
      <c r="AE385" s="15" t="n">
        <v>0</v>
      </c>
      <c r="AF385" s="15" t="n">
        <v>0</v>
      </c>
      <c r="AG385" s="15" t="n">
        <v>0</v>
      </c>
      <c r="AH385" s="15" t="n">
        <v>0</v>
      </c>
    </row>
    <row r="386" customFormat="false" ht="46.25" hidden="false" customHeight="false" outlineLevel="0" collapsed="false">
      <c r="A386" s="15" t="s">
        <v>2887</v>
      </c>
      <c r="B386" s="15" t="s">
        <v>37</v>
      </c>
      <c r="C386" s="15" t="s">
        <v>2849</v>
      </c>
      <c r="D386" s="15" t="n">
        <v>36</v>
      </c>
      <c r="E386" s="15" t="s">
        <v>2888</v>
      </c>
      <c r="F386" s="15" t="n">
        <v>0</v>
      </c>
      <c r="G386" s="15" t="s">
        <v>129</v>
      </c>
      <c r="H386" s="15" t="s">
        <v>130</v>
      </c>
      <c r="I386" s="3" t="s">
        <v>2889</v>
      </c>
      <c r="J386" s="3" t="s">
        <v>2890</v>
      </c>
      <c r="K386" s="15" t="s">
        <v>133</v>
      </c>
      <c r="L386" s="17" t="s">
        <v>9</v>
      </c>
      <c r="M386" s="15" t="s">
        <v>70</v>
      </c>
      <c r="N386" s="15" t="s">
        <v>81</v>
      </c>
      <c r="O386" s="15" t="s">
        <v>340</v>
      </c>
      <c r="P386" s="15" t="s">
        <v>135</v>
      </c>
      <c r="Q386" s="15" t="s">
        <v>129</v>
      </c>
      <c r="R386" s="15" t="s">
        <v>135</v>
      </c>
      <c r="S386" s="15" t="s">
        <v>341</v>
      </c>
      <c r="T386" s="15" t="s">
        <v>390</v>
      </c>
      <c r="U386" s="3" t="s">
        <v>2891</v>
      </c>
      <c r="V386" s="3" t="s">
        <v>2892</v>
      </c>
      <c r="W386" s="3"/>
      <c r="X386" s="3"/>
      <c r="Y386" s="15" t="n">
        <v>1</v>
      </c>
      <c r="Z386" s="15" t="n">
        <v>0</v>
      </c>
      <c r="AA386" s="15" t="n">
        <v>0</v>
      </c>
      <c r="AB386" s="15" t="n">
        <v>0</v>
      </c>
      <c r="AC386" s="15" t="n">
        <v>0</v>
      </c>
      <c r="AD386" s="15" t="n">
        <v>0</v>
      </c>
      <c r="AE386" s="15" t="n">
        <v>0</v>
      </c>
      <c r="AF386" s="15" t="n">
        <v>0</v>
      </c>
      <c r="AG386" s="15" t="n">
        <v>0</v>
      </c>
      <c r="AH386" s="15" t="n">
        <v>1</v>
      </c>
    </row>
    <row r="387" customFormat="false" ht="35.05" hidden="false" customHeight="false" outlineLevel="0" collapsed="false">
      <c r="A387" s="15" t="s">
        <v>2893</v>
      </c>
      <c r="B387" s="15" t="s">
        <v>37</v>
      </c>
      <c r="C387" s="15" t="s">
        <v>2849</v>
      </c>
      <c r="D387" s="15" t="n">
        <v>36</v>
      </c>
      <c r="E387" s="15" t="s">
        <v>2888</v>
      </c>
      <c r="F387" s="15" t="n">
        <v>1</v>
      </c>
      <c r="G387" s="15" t="s">
        <v>141</v>
      </c>
      <c r="H387" s="15" t="s">
        <v>142</v>
      </c>
      <c r="I387" s="3" t="s">
        <v>2894</v>
      </c>
      <c r="J387" s="3" t="s">
        <v>2895</v>
      </c>
      <c r="K387" s="15" t="s">
        <v>145</v>
      </c>
      <c r="L387" s="17" t="s">
        <v>9</v>
      </c>
      <c r="M387" s="15" t="s">
        <v>70</v>
      </c>
      <c r="N387" s="15" t="s">
        <v>81</v>
      </c>
      <c r="O387" s="15" t="s">
        <v>340</v>
      </c>
      <c r="P387" s="15" t="s">
        <v>135</v>
      </c>
      <c r="Q387" s="15" t="s">
        <v>129</v>
      </c>
      <c r="R387" s="15" t="s">
        <v>135</v>
      </c>
      <c r="S387" s="15" t="s">
        <v>405</v>
      </c>
      <c r="T387" s="15" t="s">
        <v>390</v>
      </c>
      <c r="U387" s="3" t="s">
        <v>2896</v>
      </c>
      <c r="V387" s="3" t="s">
        <v>2897</v>
      </c>
      <c r="W387" s="3"/>
      <c r="X387" s="3"/>
      <c r="Y387" s="15" t="n">
        <v>1</v>
      </c>
      <c r="Z387" s="15" t="n">
        <v>0</v>
      </c>
      <c r="AA387" s="15" t="n">
        <v>0</v>
      </c>
      <c r="AB387" s="15" t="n">
        <v>0</v>
      </c>
      <c r="AC387" s="15" t="n">
        <v>0</v>
      </c>
      <c r="AD387" s="15" t="n">
        <v>0</v>
      </c>
      <c r="AE387" s="15" t="n">
        <v>0</v>
      </c>
      <c r="AF387" s="15" t="n">
        <v>0</v>
      </c>
      <c r="AG387" s="15" t="n">
        <v>0</v>
      </c>
      <c r="AH387" s="15" t="n">
        <v>1</v>
      </c>
    </row>
    <row r="388" customFormat="false" ht="35.05" hidden="false" customHeight="false" outlineLevel="0" collapsed="false">
      <c r="A388" s="15" t="s">
        <v>2898</v>
      </c>
      <c r="B388" s="15" t="s">
        <v>37</v>
      </c>
      <c r="C388" s="15" t="s">
        <v>2849</v>
      </c>
      <c r="D388" s="15" t="n">
        <v>36</v>
      </c>
      <c r="E388" s="15" t="s">
        <v>2888</v>
      </c>
      <c r="F388" s="15" t="n">
        <v>2</v>
      </c>
      <c r="G388" s="15" t="s">
        <v>152</v>
      </c>
      <c r="H388" s="15" t="s">
        <v>142</v>
      </c>
      <c r="I388" s="3" t="s">
        <v>2899</v>
      </c>
      <c r="J388" s="3" t="s">
        <v>2900</v>
      </c>
      <c r="K388" s="15" t="s">
        <v>133</v>
      </c>
      <c r="L388" s="17" t="s">
        <v>9</v>
      </c>
      <c r="M388" s="15" t="s">
        <v>70</v>
      </c>
      <c r="N388" s="15" t="s">
        <v>81</v>
      </c>
      <c r="O388" s="15" t="s">
        <v>340</v>
      </c>
      <c r="P388" s="15" t="s">
        <v>135</v>
      </c>
      <c r="Q388" s="15" t="s">
        <v>129</v>
      </c>
      <c r="R388" s="15" t="s">
        <v>135</v>
      </c>
      <c r="S388" s="15" t="s">
        <v>405</v>
      </c>
      <c r="T388" s="15" t="s">
        <v>327</v>
      </c>
      <c r="U388" s="3" t="s">
        <v>2901</v>
      </c>
      <c r="V388" s="3" t="s">
        <v>2902</v>
      </c>
      <c r="W388" s="3"/>
      <c r="X388" s="3"/>
      <c r="Y388" s="15" t="n">
        <v>1</v>
      </c>
      <c r="Z388" s="15" t="n">
        <v>0</v>
      </c>
      <c r="AA388" s="15" t="n">
        <v>0</v>
      </c>
      <c r="AB388" s="15" t="n">
        <v>0</v>
      </c>
      <c r="AC388" s="15" t="n">
        <v>0</v>
      </c>
      <c r="AD388" s="15" t="n">
        <v>0</v>
      </c>
      <c r="AE388" s="15" t="n">
        <v>0</v>
      </c>
      <c r="AF388" s="15" t="n">
        <v>0</v>
      </c>
      <c r="AG388" s="15" t="n">
        <v>0</v>
      </c>
      <c r="AH388" s="15" t="n">
        <v>1</v>
      </c>
    </row>
    <row r="389" customFormat="false" ht="46.25" hidden="false" customHeight="false" outlineLevel="0" collapsed="false">
      <c r="A389" s="15" t="s">
        <v>2903</v>
      </c>
      <c r="B389" s="15" t="s">
        <v>37</v>
      </c>
      <c r="C389" s="15" t="s">
        <v>2849</v>
      </c>
      <c r="D389" s="15" t="n">
        <v>38</v>
      </c>
      <c r="E389" s="15" t="s">
        <v>2904</v>
      </c>
      <c r="F389" s="15" t="n">
        <v>0</v>
      </c>
      <c r="G389" s="15" t="s">
        <v>129</v>
      </c>
      <c r="H389" s="15" t="s">
        <v>130</v>
      </c>
      <c r="I389" s="3" t="s">
        <v>2905</v>
      </c>
      <c r="J389" s="3" t="s">
        <v>2906</v>
      </c>
      <c r="K389" s="15" t="s">
        <v>133</v>
      </c>
      <c r="L389" s="16" t="s">
        <v>7</v>
      </c>
      <c r="M389" s="15" t="s">
        <v>66</v>
      </c>
      <c r="N389" s="15" t="s">
        <v>90</v>
      </c>
      <c r="O389" s="15" t="s">
        <v>893</v>
      </c>
      <c r="P389" s="15" t="s">
        <v>185</v>
      </c>
      <c r="Q389" s="15" t="s">
        <v>129</v>
      </c>
      <c r="R389" s="15" t="s">
        <v>135</v>
      </c>
      <c r="S389" s="15"/>
      <c r="T389" s="15"/>
      <c r="U389" s="3" t="s">
        <v>2907</v>
      </c>
      <c r="V389" s="3" t="s">
        <v>2908</v>
      </c>
      <c r="W389" s="3" t="s">
        <v>2909</v>
      </c>
      <c r="X389" s="3" t="s">
        <v>2910</v>
      </c>
      <c r="Y389" s="15" t="n">
        <v>0</v>
      </c>
      <c r="Z389" s="15" t="n">
        <v>0</v>
      </c>
      <c r="AA389" s="15" t="n">
        <v>0</v>
      </c>
      <c r="AB389" s="15" t="n">
        <v>0</v>
      </c>
      <c r="AC389" s="15" t="n">
        <v>0</v>
      </c>
      <c r="AD389" s="15" t="n">
        <v>1</v>
      </c>
      <c r="AE389" s="15" t="n">
        <v>0</v>
      </c>
      <c r="AF389" s="15" t="n">
        <v>0</v>
      </c>
      <c r="AG389" s="15" t="n">
        <v>0</v>
      </c>
      <c r="AH389" s="15" t="n">
        <v>1</v>
      </c>
    </row>
    <row r="390" customFormat="false" ht="46.25" hidden="false" customHeight="false" outlineLevel="0" collapsed="false">
      <c r="A390" s="15" t="s">
        <v>2911</v>
      </c>
      <c r="B390" s="15" t="s">
        <v>37</v>
      </c>
      <c r="C390" s="15" t="s">
        <v>2849</v>
      </c>
      <c r="D390" s="15" t="n">
        <v>38</v>
      </c>
      <c r="E390" s="15" t="s">
        <v>2904</v>
      </c>
      <c r="F390" s="15" t="n">
        <v>1</v>
      </c>
      <c r="G390" s="15" t="s">
        <v>197</v>
      </c>
      <c r="H390" s="15" t="s">
        <v>142</v>
      </c>
      <c r="I390" s="3" t="s">
        <v>2912</v>
      </c>
      <c r="J390" s="3" t="s">
        <v>2913</v>
      </c>
      <c r="K390" s="15" t="s">
        <v>145</v>
      </c>
      <c r="L390" s="16" t="s">
        <v>7</v>
      </c>
      <c r="M390" s="15" t="s">
        <v>66</v>
      </c>
      <c r="N390" s="15" t="s">
        <v>87</v>
      </c>
      <c r="O390" s="15" t="s">
        <v>2234</v>
      </c>
      <c r="P390" s="15" t="s">
        <v>185</v>
      </c>
      <c r="Q390" s="15" t="s">
        <v>197</v>
      </c>
      <c r="R390" s="15" t="s">
        <v>135</v>
      </c>
      <c r="S390" s="15"/>
      <c r="T390" s="15"/>
      <c r="U390" s="3" t="s">
        <v>2914</v>
      </c>
      <c r="V390" s="3" t="s">
        <v>2915</v>
      </c>
      <c r="W390" s="3" t="s">
        <v>2916</v>
      </c>
      <c r="X390" s="3" t="s">
        <v>2917</v>
      </c>
      <c r="Y390" s="15" t="n">
        <v>0</v>
      </c>
      <c r="Z390" s="15" t="n">
        <v>0</v>
      </c>
      <c r="AA390" s="15" t="n">
        <v>0</v>
      </c>
      <c r="AB390" s="15" t="n">
        <v>0</v>
      </c>
      <c r="AC390" s="15" t="n">
        <v>0</v>
      </c>
      <c r="AD390" s="15" t="n">
        <v>0</v>
      </c>
      <c r="AE390" s="15" t="n">
        <v>1</v>
      </c>
      <c r="AF390" s="15" t="n">
        <v>0</v>
      </c>
      <c r="AG390" s="15" t="n">
        <v>0</v>
      </c>
      <c r="AH390" s="15" t="n">
        <v>1</v>
      </c>
    </row>
    <row r="391" customFormat="false" ht="57.45" hidden="false" customHeight="false" outlineLevel="0" collapsed="false">
      <c r="A391" s="15" t="s">
        <v>2918</v>
      </c>
      <c r="B391" s="15" t="s">
        <v>37</v>
      </c>
      <c r="C391" s="15" t="s">
        <v>2849</v>
      </c>
      <c r="D391" s="15" t="n">
        <v>38</v>
      </c>
      <c r="E391" s="15" t="s">
        <v>2904</v>
      </c>
      <c r="F391" s="15" t="n">
        <v>2</v>
      </c>
      <c r="G391" s="15" t="s">
        <v>141</v>
      </c>
      <c r="H391" s="15" t="s">
        <v>142</v>
      </c>
      <c r="I391" s="3" t="s">
        <v>2919</v>
      </c>
      <c r="J391" s="3" t="s">
        <v>2920</v>
      </c>
      <c r="K391" s="15" t="s">
        <v>133</v>
      </c>
      <c r="L391" s="16" t="s">
        <v>7</v>
      </c>
      <c r="M391" s="15" t="s">
        <v>66</v>
      </c>
      <c r="N391" s="15" t="s">
        <v>90</v>
      </c>
      <c r="O391" s="15" t="s">
        <v>2921</v>
      </c>
      <c r="P391" s="15" t="s">
        <v>135</v>
      </c>
      <c r="Q391" s="15" t="s">
        <v>152</v>
      </c>
      <c r="R391" s="15" t="s">
        <v>135</v>
      </c>
      <c r="S391" s="15"/>
      <c r="T391" s="15"/>
      <c r="U391" s="3" t="s">
        <v>2922</v>
      </c>
      <c r="V391" s="3" t="s">
        <v>2923</v>
      </c>
      <c r="W391" s="3" t="s">
        <v>2924</v>
      </c>
      <c r="X391" s="3" t="s">
        <v>2925</v>
      </c>
      <c r="Y391" s="15" t="n">
        <v>0</v>
      </c>
      <c r="Z391" s="15" t="n">
        <v>0</v>
      </c>
      <c r="AA391" s="15" t="n">
        <v>0</v>
      </c>
      <c r="AB391" s="15" t="n">
        <v>0</v>
      </c>
      <c r="AC391" s="15" t="n">
        <v>0</v>
      </c>
      <c r="AD391" s="15" t="n">
        <v>0</v>
      </c>
      <c r="AE391" s="15" t="n">
        <v>1</v>
      </c>
      <c r="AF391" s="15" t="n">
        <v>1</v>
      </c>
      <c r="AG391" s="15" t="n">
        <v>0</v>
      </c>
      <c r="AH391" s="15" t="n">
        <v>1</v>
      </c>
    </row>
    <row r="392" customFormat="false" ht="35.05" hidden="false" customHeight="false" outlineLevel="0" collapsed="false">
      <c r="A392" s="15" t="s">
        <v>2926</v>
      </c>
      <c r="B392" s="15" t="s">
        <v>37</v>
      </c>
      <c r="C392" s="15" t="s">
        <v>2849</v>
      </c>
      <c r="D392" s="15" t="n">
        <v>41</v>
      </c>
      <c r="E392" s="15" t="s">
        <v>2927</v>
      </c>
      <c r="F392" s="15" t="n">
        <v>0</v>
      </c>
      <c r="G392" s="15" t="s">
        <v>129</v>
      </c>
      <c r="H392" s="15" t="s">
        <v>130</v>
      </c>
      <c r="I392" s="3" t="s">
        <v>2928</v>
      </c>
      <c r="J392" s="3" t="s">
        <v>2929</v>
      </c>
      <c r="K392" s="15" t="s">
        <v>133</v>
      </c>
      <c r="L392" s="16" t="s">
        <v>7</v>
      </c>
      <c r="M392" s="15" t="s">
        <v>68</v>
      </c>
      <c r="N392" s="15" t="s">
        <v>85</v>
      </c>
      <c r="O392" s="15" t="s">
        <v>2930</v>
      </c>
      <c r="P392" s="15" t="s">
        <v>185</v>
      </c>
      <c r="Q392" s="15" t="s">
        <v>129</v>
      </c>
      <c r="R392" s="15" t="s">
        <v>135</v>
      </c>
      <c r="S392" s="15"/>
      <c r="T392" s="15"/>
      <c r="U392" s="3" t="s">
        <v>2931</v>
      </c>
      <c r="V392" s="3" t="s">
        <v>2932</v>
      </c>
      <c r="W392" s="3"/>
      <c r="X392" s="3" t="s">
        <v>2933</v>
      </c>
      <c r="Y392" s="15" t="n">
        <v>0</v>
      </c>
      <c r="Z392" s="15" t="n">
        <v>1</v>
      </c>
      <c r="AA392" s="15" t="n">
        <v>0</v>
      </c>
      <c r="AB392" s="15" t="n">
        <v>0</v>
      </c>
      <c r="AC392" s="15" t="n">
        <v>1</v>
      </c>
      <c r="AD392" s="15" t="n">
        <v>1</v>
      </c>
      <c r="AE392" s="15" t="n">
        <v>0</v>
      </c>
      <c r="AF392" s="15" t="n">
        <v>0</v>
      </c>
      <c r="AG392" s="15" t="n">
        <v>0</v>
      </c>
      <c r="AH392" s="15" t="n">
        <v>0</v>
      </c>
    </row>
    <row r="393" customFormat="false" ht="46.25" hidden="false" customHeight="false" outlineLevel="0" collapsed="false">
      <c r="A393" s="15" t="s">
        <v>2934</v>
      </c>
      <c r="B393" s="15" t="s">
        <v>37</v>
      </c>
      <c r="C393" s="15" t="s">
        <v>2849</v>
      </c>
      <c r="D393" s="15" t="n">
        <v>41</v>
      </c>
      <c r="E393" s="15" t="s">
        <v>2927</v>
      </c>
      <c r="F393" s="15" t="n">
        <v>1</v>
      </c>
      <c r="G393" s="15" t="s">
        <v>152</v>
      </c>
      <c r="H393" s="15" t="s">
        <v>142</v>
      </c>
      <c r="I393" s="3" t="s">
        <v>2935</v>
      </c>
      <c r="J393" s="3" t="s">
        <v>2936</v>
      </c>
      <c r="K393" s="15" t="s">
        <v>145</v>
      </c>
      <c r="L393" s="16" t="s">
        <v>7</v>
      </c>
      <c r="M393" s="15" t="s">
        <v>68</v>
      </c>
      <c r="N393" s="15" t="s">
        <v>85</v>
      </c>
      <c r="O393" s="15" t="s">
        <v>2937</v>
      </c>
      <c r="P393" s="15" t="s">
        <v>135</v>
      </c>
      <c r="Q393" s="15" t="s">
        <v>129</v>
      </c>
      <c r="R393" s="15" t="s">
        <v>135</v>
      </c>
      <c r="S393" s="15"/>
      <c r="T393" s="15"/>
      <c r="U393" s="3" t="s">
        <v>2938</v>
      </c>
      <c r="V393" s="3" t="s">
        <v>2939</v>
      </c>
      <c r="W393" s="3" t="s">
        <v>2940</v>
      </c>
      <c r="X393" s="3" t="s">
        <v>2941</v>
      </c>
      <c r="Y393" s="15" t="n">
        <v>0</v>
      </c>
      <c r="Z393" s="15" t="n">
        <v>0</v>
      </c>
      <c r="AA393" s="15" t="n">
        <v>0</v>
      </c>
      <c r="AB393" s="15" t="n">
        <v>1</v>
      </c>
      <c r="AC393" s="15" t="n">
        <v>1</v>
      </c>
      <c r="AD393" s="15" t="n">
        <v>0</v>
      </c>
      <c r="AE393" s="15" t="n">
        <v>0</v>
      </c>
      <c r="AF393" s="15" t="n">
        <v>1</v>
      </c>
      <c r="AG393" s="15" t="n">
        <v>0</v>
      </c>
      <c r="AH393" s="15" t="n">
        <v>0</v>
      </c>
    </row>
    <row r="394" customFormat="false" ht="35.05" hidden="false" customHeight="false" outlineLevel="0" collapsed="false">
      <c r="A394" s="15" t="s">
        <v>2942</v>
      </c>
      <c r="B394" s="15" t="s">
        <v>37</v>
      </c>
      <c r="C394" s="15" t="s">
        <v>2849</v>
      </c>
      <c r="D394" s="15" t="n">
        <v>41</v>
      </c>
      <c r="E394" s="15" t="s">
        <v>2927</v>
      </c>
      <c r="F394" s="15" t="n">
        <v>2</v>
      </c>
      <c r="G394" s="15" t="s">
        <v>141</v>
      </c>
      <c r="H394" s="15" t="s">
        <v>142</v>
      </c>
      <c r="I394" s="3" t="s">
        <v>2943</v>
      </c>
      <c r="J394" s="3" t="s">
        <v>2944</v>
      </c>
      <c r="K394" s="15" t="s">
        <v>133</v>
      </c>
      <c r="L394" s="16" t="s">
        <v>7</v>
      </c>
      <c r="M394" s="15" t="s">
        <v>68</v>
      </c>
      <c r="N394" s="15" t="s">
        <v>85</v>
      </c>
      <c r="O394" s="15" t="s">
        <v>2945</v>
      </c>
      <c r="P394" s="15" t="s">
        <v>135</v>
      </c>
      <c r="Q394" s="15" t="s">
        <v>129</v>
      </c>
      <c r="R394" s="15" t="s">
        <v>135</v>
      </c>
      <c r="S394" s="15"/>
      <c r="T394" s="15"/>
      <c r="U394" s="3" t="s">
        <v>2946</v>
      </c>
      <c r="V394" s="3" t="s">
        <v>2947</v>
      </c>
      <c r="W394" s="3" t="s">
        <v>2948</v>
      </c>
      <c r="X394" s="3" t="s">
        <v>2949</v>
      </c>
      <c r="Y394" s="15" t="n">
        <v>0</v>
      </c>
      <c r="Z394" s="15" t="n">
        <v>0</v>
      </c>
      <c r="AA394" s="15" t="n">
        <v>1</v>
      </c>
      <c r="AB394" s="15" t="n">
        <v>0</v>
      </c>
      <c r="AC394" s="15" t="n">
        <v>1</v>
      </c>
      <c r="AD394" s="15" t="n">
        <v>0</v>
      </c>
      <c r="AE394" s="15" t="n">
        <v>0</v>
      </c>
      <c r="AF394" s="15" t="n">
        <v>1</v>
      </c>
      <c r="AG394" s="15" t="n">
        <v>0</v>
      </c>
      <c r="AH394" s="15" t="n">
        <v>0</v>
      </c>
    </row>
    <row r="395" customFormat="false" ht="46.25" hidden="false" customHeight="false" outlineLevel="0" collapsed="false">
      <c r="A395" s="15" t="s">
        <v>2950</v>
      </c>
      <c r="B395" s="15" t="s">
        <v>37</v>
      </c>
      <c r="C395" s="15" t="s">
        <v>2849</v>
      </c>
      <c r="D395" s="15" t="n">
        <v>53</v>
      </c>
      <c r="E395" s="15" t="s">
        <v>2951</v>
      </c>
      <c r="F395" s="15" t="n">
        <v>0</v>
      </c>
      <c r="G395" s="15" t="s">
        <v>129</v>
      </c>
      <c r="H395" s="15" t="s">
        <v>130</v>
      </c>
      <c r="I395" s="3" t="s">
        <v>2952</v>
      </c>
      <c r="J395" s="3" t="s">
        <v>2953</v>
      </c>
      <c r="K395" s="15" t="s">
        <v>133</v>
      </c>
      <c r="L395" s="16" t="s">
        <v>7</v>
      </c>
      <c r="M395" s="15" t="s">
        <v>66</v>
      </c>
      <c r="N395" s="15" t="s">
        <v>87</v>
      </c>
      <c r="O395" s="15" t="s">
        <v>2954</v>
      </c>
      <c r="P395" s="15" t="s">
        <v>185</v>
      </c>
      <c r="Q395" s="15" t="s">
        <v>129</v>
      </c>
      <c r="R395" s="15" t="s">
        <v>135</v>
      </c>
      <c r="S395" s="15"/>
      <c r="T395" s="15"/>
      <c r="U395" s="3" t="s">
        <v>2955</v>
      </c>
      <c r="V395" s="3" t="s">
        <v>2956</v>
      </c>
      <c r="W395" s="3" t="s">
        <v>2957</v>
      </c>
      <c r="X395" s="3" t="s">
        <v>2958</v>
      </c>
      <c r="Y395" s="15" t="n">
        <v>0</v>
      </c>
      <c r="Z395" s="15" t="n">
        <v>0</v>
      </c>
      <c r="AA395" s="15" t="n">
        <v>0</v>
      </c>
      <c r="AB395" s="15" t="n">
        <v>0</v>
      </c>
      <c r="AC395" s="15" t="n">
        <v>0</v>
      </c>
      <c r="AD395" s="15" t="n">
        <v>0</v>
      </c>
      <c r="AE395" s="15" t="n">
        <v>1</v>
      </c>
      <c r="AF395" s="15" t="n">
        <v>0</v>
      </c>
      <c r="AG395" s="15" t="n">
        <v>1</v>
      </c>
      <c r="AH395" s="15" t="n">
        <v>0</v>
      </c>
    </row>
    <row r="396" customFormat="false" ht="46.25" hidden="false" customHeight="false" outlineLevel="0" collapsed="false">
      <c r="A396" s="15" t="s">
        <v>2959</v>
      </c>
      <c r="B396" s="15" t="s">
        <v>37</v>
      </c>
      <c r="C396" s="15" t="s">
        <v>2849</v>
      </c>
      <c r="D396" s="15" t="n">
        <v>53</v>
      </c>
      <c r="E396" s="15" t="s">
        <v>2951</v>
      </c>
      <c r="F396" s="15" t="n">
        <v>1</v>
      </c>
      <c r="G396" s="15" t="s">
        <v>141</v>
      </c>
      <c r="H396" s="15" t="s">
        <v>142</v>
      </c>
      <c r="I396" s="3" t="s">
        <v>2960</v>
      </c>
      <c r="J396" s="3" t="s">
        <v>2961</v>
      </c>
      <c r="K396" s="15" t="s">
        <v>145</v>
      </c>
      <c r="L396" s="16" t="s">
        <v>7</v>
      </c>
      <c r="M396" s="15" t="s">
        <v>68</v>
      </c>
      <c r="N396" s="15" t="s">
        <v>82</v>
      </c>
      <c r="O396" s="15" t="s">
        <v>2962</v>
      </c>
      <c r="P396" s="15" t="s">
        <v>185</v>
      </c>
      <c r="Q396" s="15" t="s">
        <v>141</v>
      </c>
      <c r="R396" s="15" t="s">
        <v>135</v>
      </c>
      <c r="S396" s="15"/>
      <c r="T396" s="15"/>
      <c r="U396" s="3" t="s">
        <v>2963</v>
      </c>
      <c r="V396" s="3" t="s">
        <v>2964</v>
      </c>
      <c r="W396" s="3"/>
      <c r="X396" s="3" t="s">
        <v>2965</v>
      </c>
      <c r="Y396" s="15" t="n">
        <v>0</v>
      </c>
      <c r="Z396" s="15" t="n">
        <v>1</v>
      </c>
      <c r="AA396" s="15" t="n">
        <v>1</v>
      </c>
      <c r="AB396" s="15" t="n">
        <v>0</v>
      </c>
      <c r="AC396" s="15" t="n">
        <v>0</v>
      </c>
      <c r="AD396" s="15" t="n">
        <v>0</v>
      </c>
      <c r="AE396" s="15" t="n">
        <v>0</v>
      </c>
      <c r="AF396" s="15" t="n">
        <v>0</v>
      </c>
      <c r="AG396" s="15" t="n">
        <v>1</v>
      </c>
      <c r="AH396" s="15" t="n">
        <v>0</v>
      </c>
    </row>
    <row r="397" customFormat="false" ht="46.25" hidden="false" customHeight="false" outlineLevel="0" collapsed="false">
      <c r="A397" s="15" t="s">
        <v>2966</v>
      </c>
      <c r="B397" s="15" t="s">
        <v>37</v>
      </c>
      <c r="C397" s="15" t="s">
        <v>2849</v>
      </c>
      <c r="D397" s="15" t="n">
        <v>53</v>
      </c>
      <c r="E397" s="15" t="s">
        <v>2951</v>
      </c>
      <c r="F397" s="15" t="n">
        <v>2</v>
      </c>
      <c r="G397" s="15" t="s">
        <v>152</v>
      </c>
      <c r="H397" s="15" t="s">
        <v>142</v>
      </c>
      <c r="I397" s="3" t="s">
        <v>2960</v>
      </c>
      <c r="J397" s="3" t="s">
        <v>2961</v>
      </c>
      <c r="K397" s="15" t="s">
        <v>133</v>
      </c>
      <c r="L397" s="16" t="s">
        <v>7</v>
      </c>
      <c r="M397" s="15" t="s">
        <v>68</v>
      </c>
      <c r="N397" s="15" t="s">
        <v>82</v>
      </c>
      <c r="O397" s="15" t="s">
        <v>2967</v>
      </c>
      <c r="P397" s="15" t="s">
        <v>185</v>
      </c>
      <c r="Q397" s="15" t="s">
        <v>152</v>
      </c>
      <c r="R397" s="15" t="s">
        <v>135</v>
      </c>
      <c r="S397" s="15"/>
      <c r="T397" s="15"/>
      <c r="U397" s="3" t="s">
        <v>2968</v>
      </c>
      <c r="V397" s="3" t="s">
        <v>2969</v>
      </c>
      <c r="W397" s="3"/>
      <c r="X397" s="3" t="s">
        <v>2970</v>
      </c>
      <c r="Y397" s="15" t="n">
        <v>0</v>
      </c>
      <c r="Z397" s="15" t="n">
        <v>1</v>
      </c>
      <c r="AA397" s="15" t="n">
        <v>0</v>
      </c>
      <c r="AB397" s="15" t="n">
        <v>0</v>
      </c>
      <c r="AC397" s="15" t="n">
        <v>0</v>
      </c>
      <c r="AD397" s="15" t="n">
        <v>0</v>
      </c>
      <c r="AE397" s="15" t="n">
        <v>1</v>
      </c>
      <c r="AF397" s="15" t="n">
        <v>0</v>
      </c>
      <c r="AG397" s="15" t="n">
        <v>1</v>
      </c>
      <c r="AH397" s="15" t="n">
        <v>0</v>
      </c>
    </row>
    <row r="398" customFormat="false" ht="35.05" hidden="false" customHeight="false" outlineLevel="0" collapsed="false">
      <c r="A398" s="15" t="s">
        <v>2971</v>
      </c>
      <c r="B398" s="15" t="s">
        <v>37</v>
      </c>
      <c r="C398" s="15" t="s">
        <v>2849</v>
      </c>
      <c r="D398" s="15" t="n">
        <v>54</v>
      </c>
      <c r="E398" s="15" t="s">
        <v>2972</v>
      </c>
      <c r="F398" s="15" t="n">
        <v>0</v>
      </c>
      <c r="G398" s="15" t="s">
        <v>307</v>
      </c>
      <c r="H398" s="15" t="s">
        <v>308</v>
      </c>
      <c r="I398" s="3" t="s">
        <v>2973</v>
      </c>
      <c r="J398" s="3" t="s">
        <v>2974</v>
      </c>
      <c r="K398" s="15" t="s">
        <v>133</v>
      </c>
      <c r="L398" s="16" t="s">
        <v>7</v>
      </c>
      <c r="M398" s="15" t="s">
        <v>68</v>
      </c>
      <c r="N398" s="15" t="s">
        <v>82</v>
      </c>
      <c r="O398" s="15" t="s">
        <v>215</v>
      </c>
      <c r="P398" s="15" t="s">
        <v>135</v>
      </c>
      <c r="Q398" s="15" t="s">
        <v>136</v>
      </c>
      <c r="R398" s="15" t="s">
        <v>135</v>
      </c>
      <c r="S398" s="15"/>
      <c r="T398" s="15"/>
      <c r="U398" s="3" t="s">
        <v>2975</v>
      </c>
      <c r="V398" s="3" t="s">
        <v>2976</v>
      </c>
      <c r="W398" s="3" t="s">
        <v>2977</v>
      </c>
      <c r="X398" s="3" t="s">
        <v>2978</v>
      </c>
      <c r="Y398" s="15" t="n">
        <v>0</v>
      </c>
      <c r="Z398" s="15" t="n">
        <v>1</v>
      </c>
      <c r="AA398" s="15" t="n">
        <v>0</v>
      </c>
      <c r="AB398" s="15" t="n">
        <v>0</v>
      </c>
      <c r="AC398" s="15" t="n">
        <v>0</v>
      </c>
      <c r="AD398" s="15" t="n">
        <v>0</v>
      </c>
      <c r="AE398" s="15" t="n">
        <v>0</v>
      </c>
      <c r="AF398" s="15" t="n">
        <v>1</v>
      </c>
      <c r="AG398" s="15" t="n">
        <v>0</v>
      </c>
      <c r="AH398" s="15" t="n">
        <v>0</v>
      </c>
    </row>
    <row r="399" customFormat="false" ht="46.25" hidden="false" customHeight="false" outlineLevel="0" collapsed="false">
      <c r="A399" s="15" t="s">
        <v>2979</v>
      </c>
      <c r="B399" s="15" t="s">
        <v>37</v>
      </c>
      <c r="C399" s="15" t="s">
        <v>2849</v>
      </c>
      <c r="D399" s="15" t="n">
        <v>54</v>
      </c>
      <c r="E399" s="15" t="s">
        <v>2972</v>
      </c>
      <c r="F399" s="15" t="n">
        <v>1</v>
      </c>
      <c r="G399" s="15" t="s">
        <v>129</v>
      </c>
      <c r="H399" s="15" t="s">
        <v>130</v>
      </c>
      <c r="I399" s="3" t="s">
        <v>2980</v>
      </c>
      <c r="J399" s="3" t="s">
        <v>2981</v>
      </c>
      <c r="K399" s="15" t="s">
        <v>145</v>
      </c>
      <c r="L399" s="16" t="s">
        <v>7</v>
      </c>
      <c r="M399" s="15" t="s">
        <v>68</v>
      </c>
      <c r="N399" s="15" t="s">
        <v>82</v>
      </c>
      <c r="O399" s="15" t="s">
        <v>271</v>
      </c>
      <c r="P399" s="15" t="s">
        <v>185</v>
      </c>
      <c r="Q399" s="15" t="s">
        <v>129</v>
      </c>
      <c r="R399" s="15" t="s">
        <v>135</v>
      </c>
      <c r="S399" s="15"/>
      <c r="T399" s="15"/>
      <c r="U399" s="3" t="s">
        <v>2982</v>
      </c>
      <c r="V399" s="3" t="s">
        <v>2983</v>
      </c>
      <c r="W399" s="3"/>
      <c r="X399" s="3" t="s">
        <v>2984</v>
      </c>
      <c r="Y399" s="15" t="n">
        <v>0</v>
      </c>
      <c r="Z399" s="15" t="n">
        <v>1</v>
      </c>
      <c r="AA399" s="15" t="n">
        <v>0</v>
      </c>
      <c r="AB399" s="15" t="n">
        <v>1</v>
      </c>
      <c r="AC399" s="15" t="n">
        <v>0</v>
      </c>
      <c r="AD399" s="15" t="n">
        <v>0</v>
      </c>
      <c r="AE399" s="15" t="n">
        <v>0</v>
      </c>
      <c r="AF399" s="15" t="n">
        <v>0</v>
      </c>
      <c r="AG399" s="15" t="n">
        <v>0</v>
      </c>
      <c r="AH399" s="15" t="n">
        <v>0</v>
      </c>
    </row>
    <row r="400" customFormat="false" ht="46.25" hidden="false" customHeight="false" outlineLevel="0" collapsed="false">
      <c r="A400" s="15" t="s">
        <v>2985</v>
      </c>
      <c r="B400" s="15" t="s">
        <v>37</v>
      </c>
      <c r="C400" s="15" t="s">
        <v>2849</v>
      </c>
      <c r="D400" s="15" t="n">
        <v>54</v>
      </c>
      <c r="E400" s="15" t="s">
        <v>2972</v>
      </c>
      <c r="F400" s="15" t="n">
        <v>2</v>
      </c>
      <c r="G400" s="15" t="s">
        <v>197</v>
      </c>
      <c r="H400" s="15" t="s">
        <v>142</v>
      </c>
      <c r="I400" s="3" t="s">
        <v>2986</v>
      </c>
      <c r="J400" s="3" t="s">
        <v>2987</v>
      </c>
      <c r="K400" s="15" t="s">
        <v>133</v>
      </c>
      <c r="L400" s="16" t="s">
        <v>7</v>
      </c>
      <c r="M400" s="15" t="s">
        <v>68</v>
      </c>
      <c r="N400" s="15" t="s">
        <v>82</v>
      </c>
      <c r="O400" s="15" t="s">
        <v>549</v>
      </c>
      <c r="P400" s="15" t="s">
        <v>185</v>
      </c>
      <c r="Q400" s="15" t="s">
        <v>197</v>
      </c>
      <c r="R400" s="15" t="s">
        <v>135</v>
      </c>
      <c r="S400" s="15"/>
      <c r="T400" s="15"/>
      <c r="U400" s="3" t="s">
        <v>2988</v>
      </c>
      <c r="V400" s="3" t="s">
        <v>2989</v>
      </c>
      <c r="W400" s="3" t="s">
        <v>2990</v>
      </c>
      <c r="X400" s="3" t="s">
        <v>2991</v>
      </c>
      <c r="Y400" s="15" t="n">
        <v>0</v>
      </c>
      <c r="Z400" s="15" t="n">
        <v>1</v>
      </c>
      <c r="AA400" s="15" t="n">
        <v>0</v>
      </c>
      <c r="AB400" s="15" t="n">
        <v>0</v>
      </c>
      <c r="AC400" s="15" t="n">
        <v>0</v>
      </c>
      <c r="AD400" s="15" t="n">
        <v>0</v>
      </c>
      <c r="AE400" s="15" t="n">
        <v>0</v>
      </c>
      <c r="AF400" s="15" t="n">
        <v>0</v>
      </c>
      <c r="AG400" s="15" t="n">
        <v>0</v>
      </c>
      <c r="AH400" s="15" t="n">
        <v>1</v>
      </c>
    </row>
    <row r="401" customFormat="false" ht="46.25" hidden="false" customHeight="false" outlineLevel="0" collapsed="false">
      <c r="A401" s="15" t="s">
        <v>2992</v>
      </c>
      <c r="B401" s="15" t="s">
        <v>37</v>
      </c>
      <c r="C401" s="15" t="s">
        <v>2849</v>
      </c>
      <c r="D401" s="15" t="n">
        <v>56</v>
      </c>
      <c r="E401" s="15" t="s">
        <v>2993</v>
      </c>
      <c r="F401" s="15" t="n">
        <v>0</v>
      </c>
      <c r="G401" s="15" t="s">
        <v>307</v>
      </c>
      <c r="H401" s="15" t="s">
        <v>308</v>
      </c>
      <c r="I401" s="3" t="s">
        <v>2994</v>
      </c>
      <c r="J401" s="3" t="s">
        <v>2995</v>
      </c>
      <c r="K401" s="15" t="s">
        <v>145</v>
      </c>
      <c r="L401" s="16" t="s">
        <v>7</v>
      </c>
      <c r="M401" s="15" t="s">
        <v>68</v>
      </c>
      <c r="N401" s="15" t="s">
        <v>82</v>
      </c>
      <c r="O401" s="15" t="s">
        <v>2996</v>
      </c>
      <c r="P401" s="15" t="s">
        <v>185</v>
      </c>
      <c r="Q401" s="15" t="s">
        <v>307</v>
      </c>
      <c r="R401" s="15" t="s">
        <v>135</v>
      </c>
      <c r="S401" s="15"/>
      <c r="T401" s="15"/>
      <c r="U401" s="3" t="s">
        <v>2997</v>
      </c>
      <c r="V401" s="3" t="s">
        <v>2998</v>
      </c>
      <c r="W401" s="3" t="s">
        <v>2999</v>
      </c>
      <c r="X401" s="3" t="s">
        <v>3000</v>
      </c>
      <c r="Y401" s="15" t="n">
        <v>0</v>
      </c>
      <c r="Z401" s="15" t="n">
        <v>1</v>
      </c>
      <c r="AA401" s="15" t="n">
        <v>1</v>
      </c>
      <c r="AB401" s="15" t="n">
        <v>1</v>
      </c>
      <c r="AC401" s="15" t="n">
        <v>0</v>
      </c>
      <c r="AD401" s="15" t="n">
        <v>0</v>
      </c>
      <c r="AE401" s="15" t="n">
        <v>0</v>
      </c>
      <c r="AF401" s="15" t="n">
        <v>0</v>
      </c>
      <c r="AG401" s="15" t="n">
        <v>0</v>
      </c>
      <c r="AH401" s="15" t="n">
        <v>1</v>
      </c>
    </row>
    <row r="402" customFormat="false" ht="46.25" hidden="false" customHeight="false" outlineLevel="0" collapsed="false">
      <c r="A402" s="15" t="s">
        <v>3001</v>
      </c>
      <c r="B402" s="15" t="s">
        <v>37</v>
      </c>
      <c r="C402" s="15" t="s">
        <v>2849</v>
      </c>
      <c r="D402" s="15" t="n">
        <v>56</v>
      </c>
      <c r="E402" s="15" t="s">
        <v>2993</v>
      </c>
      <c r="F402" s="15" t="n">
        <v>1</v>
      </c>
      <c r="G402" s="15" t="s">
        <v>141</v>
      </c>
      <c r="H402" s="15" t="s">
        <v>142</v>
      </c>
      <c r="I402" s="3" t="s">
        <v>3002</v>
      </c>
      <c r="J402" s="3" t="s">
        <v>3003</v>
      </c>
      <c r="K402" s="15" t="s">
        <v>145</v>
      </c>
      <c r="L402" s="16" t="s">
        <v>7</v>
      </c>
      <c r="M402" s="15" t="s">
        <v>68</v>
      </c>
      <c r="N402" s="15" t="s">
        <v>82</v>
      </c>
      <c r="O402" s="15" t="s">
        <v>3004</v>
      </c>
      <c r="P402" s="15" t="s">
        <v>135</v>
      </c>
      <c r="Q402" s="15" t="s">
        <v>307</v>
      </c>
      <c r="R402" s="15" t="s">
        <v>135</v>
      </c>
      <c r="S402" s="15"/>
      <c r="T402" s="15"/>
      <c r="U402" s="3" t="s">
        <v>3005</v>
      </c>
      <c r="V402" s="3" t="s">
        <v>3006</v>
      </c>
      <c r="W402" s="3" t="s">
        <v>3007</v>
      </c>
      <c r="X402" s="3" t="s">
        <v>3008</v>
      </c>
      <c r="Y402" s="15" t="n">
        <v>0</v>
      </c>
      <c r="Z402" s="15" t="n">
        <v>1</v>
      </c>
      <c r="AA402" s="15" t="n">
        <v>1</v>
      </c>
      <c r="AB402" s="15" t="n">
        <v>1</v>
      </c>
      <c r="AC402" s="15" t="n">
        <v>0</v>
      </c>
      <c r="AD402" s="15" t="n">
        <v>0</v>
      </c>
      <c r="AE402" s="15" t="n">
        <v>0</v>
      </c>
      <c r="AF402" s="15" t="n">
        <v>1</v>
      </c>
      <c r="AG402" s="15" t="n">
        <v>0</v>
      </c>
      <c r="AH402" s="15" t="n">
        <v>1</v>
      </c>
    </row>
    <row r="403" customFormat="false" ht="46.25" hidden="false" customHeight="false" outlineLevel="0" collapsed="false">
      <c r="A403" s="15" t="s">
        <v>3009</v>
      </c>
      <c r="B403" s="15" t="s">
        <v>37</v>
      </c>
      <c r="C403" s="15" t="s">
        <v>2849</v>
      </c>
      <c r="D403" s="15" t="n">
        <v>56</v>
      </c>
      <c r="E403" s="15" t="s">
        <v>2993</v>
      </c>
      <c r="F403" s="15" t="n">
        <v>2</v>
      </c>
      <c r="G403" s="15" t="s">
        <v>129</v>
      </c>
      <c r="H403" s="15" t="s">
        <v>130</v>
      </c>
      <c r="I403" s="3" t="s">
        <v>3010</v>
      </c>
      <c r="J403" s="3" t="s">
        <v>3011</v>
      </c>
      <c r="K403" s="15" t="s">
        <v>133</v>
      </c>
      <c r="L403" s="16" t="s">
        <v>7</v>
      </c>
      <c r="M403" s="15" t="s">
        <v>68</v>
      </c>
      <c r="N403" s="15" t="s">
        <v>82</v>
      </c>
      <c r="O403" s="15" t="s">
        <v>3012</v>
      </c>
      <c r="P403" s="15" t="s">
        <v>135</v>
      </c>
      <c r="Q403" s="15" t="s">
        <v>307</v>
      </c>
      <c r="R403" s="15" t="s">
        <v>135</v>
      </c>
      <c r="S403" s="15"/>
      <c r="T403" s="15"/>
      <c r="U403" s="3" t="s">
        <v>3013</v>
      </c>
      <c r="V403" s="3" t="s">
        <v>3014</v>
      </c>
      <c r="W403" s="3" t="s">
        <v>3015</v>
      </c>
      <c r="X403" s="3" t="s">
        <v>3016</v>
      </c>
      <c r="Y403" s="15" t="n">
        <v>0</v>
      </c>
      <c r="Z403" s="15" t="n">
        <v>1</v>
      </c>
      <c r="AA403" s="15" t="n">
        <v>1</v>
      </c>
      <c r="AB403" s="15" t="n">
        <v>0</v>
      </c>
      <c r="AC403" s="15" t="n">
        <v>0</v>
      </c>
      <c r="AD403" s="15" t="n">
        <v>0</v>
      </c>
      <c r="AE403" s="15" t="n">
        <v>0</v>
      </c>
      <c r="AF403" s="15" t="n">
        <v>1</v>
      </c>
      <c r="AG403" s="15" t="n">
        <v>0</v>
      </c>
      <c r="AH403" s="15" t="n">
        <v>1</v>
      </c>
    </row>
    <row r="404" customFormat="false" ht="35.05" hidden="false" customHeight="false" outlineLevel="0" collapsed="false">
      <c r="A404" s="15" t="s">
        <v>3017</v>
      </c>
      <c r="B404" s="15" t="s">
        <v>37</v>
      </c>
      <c r="C404" s="15" t="s">
        <v>2849</v>
      </c>
      <c r="D404" s="15" t="n">
        <v>63</v>
      </c>
      <c r="E404" s="15" t="s">
        <v>3018</v>
      </c>
      <c r="F404" s="15" t="n">
        <v>0</v>
      </c>
      <c r="G404" s="15" t="s">
        <v>152</v>
      </c>
      <c r="H404" s="15" t="s">
        <v>142</v>
      </c>
      <c r="I404" s="3" t="s">
        <v>3019</v>
      </c>
      <c r="J404" s="3" t="s">
        <v>3020</v>
      </c>
      <c r="K404" s="15" t="s">
        <v>133</v>
      </c>
      <c r="L404" s="16" t="s">
        <v>7</v>
      </c>
      <c r="M404" s="15" t="s">
        <v>66</v>
      </c>
      <c r="N404" s="15" t="s">
        <v>88</v>
      </c>
      <c r="O404" s="15" t="s">
        <v>88</v>
      </c>
      <c r="P404" s="15" t="s">
        <v>135</v>
      </c>
      <c r="Q404" s="15" t="s">
        <v>129</v>
      </c>
      <c r="R404" s="15" t="s">
        <v>185</v>
      </c>
      <c r="S404" s="15"/>
      <c r="T404" s="15"/>
      <c r="U404" s="3" t="s">
        <v>3021</v>
      </c>
      <c r="V404" s="3" t="s">
        <v>3022</v>
      </c>
      <c r="W404" s="3"/>
      <c r="X404" s="3" t="s">
        <v>3020</v>
      </c>
      <c r="Y404" s="15" t="n">
        <v>0</v>
      </c>
      <c r="Z404" s="15" t="n">
        <v>0</v>
      </c>
      <c r="AA404" s="15" t="n">
        <v>0</v>
      </c>
      <c r="AB404" s="15" t="n">
        <v>0</v>
      </c>
      <c r="AC404" s="15" t="n">
        <v>0</v>
      </c>
      <c r="AD404" s="15" t="n">
        <v>0</v>
      </c>
      <c r="AE404" s="15" t="n">
        <v>0</v>
      </c>
      <c r="AF404" s="15" t="n">
        <v>1</v>
      </c>
      <c r="AG404" s="15" t="n">
        <v>0</v>
      </c>
      <c r="AH404" s="15" t="n">
        <v>0</v>
      </c>
    </row>
    <row r="405" customFormat="false" ht="57.45" hidden="false" customHeight="false" outlineLevel="0" collapsed="false">
      <c r="A405" s="15" t="s">
        <v>3023</v>
      </c>
      <c r="B405" s="15" t="s">
        <v>37</v>
      </c>
      <c r="C405" s="15" t="s">
        <v>2849</v>
      </c>
      <c r="D405" s="15" t="n">
        <v>63</v>
      </c>
      <c r="E405" s="15" t="s">
        <v>3018</v>
      </c>
      <c r="F405" s="15" t="n">
        <v>1</v>
      </c>
      <c r="G405" s="15" t="s">
        <v>197</v>
      </c>
      <c r="H405" s="15" t="s">
        <v>142</v>
      </c>
      <c r="I405" s="3" t="s">
        <v>3024</v>
      </c>
      <c r="J405" s="3" t="s">
        <v>3025</v>
      </c>
      <c r="K405" s="15" t="s">
        <v>145</v>
      </c>
      <c r="L405" s="16" t="s">
        <v>7</v>
      </c>
      <c r="M405" s="15" t="s">
        <v>68</v>
      </c>
      <c r="N405" s="15" t="s">
        <v>82</v>
      </c>
      <c r="O405" s="15" t="s">
        <v>222</v>
      </c>
      <c r="P405" s="15" t="s">
        <v>135</v>
      </c>
      <c r="Q405" s="15" t="s">
        <v>152</v>
      </c>
      <c r="R405" s="15" t="s">
        <v>135</v>
      </c>
      <c r="S405" s="15"/>
      <c r="T405" s="15"/>
      <c r="U405" s="3" t="s">
        <v>3026</v>
      </c>
      <c r="V405" s="3" t="s">
        <v>3027</v>
      </c>
      <c r="W405" s="3" t="s">
        <v>3028</v>
      </c>
      <c r="X405" s="3" t="s">
        <v>3029</v>
      </c>
      <c r="Y405" s="15" t="n">
        <v>0</v>
      </c>
      <c r="Z405" s="15" t="n">
        <v>1</v>
      </c>
      <c r="AA405" s="15" t="n">
        <v>0</v>
      </c>
      <c r="AB405" s="15" t="n">
        <v>0</v>
      </c>
      <c r="AC405" s="15" t="n">
        <v>0</v>
      </c>
      <c r="AD405" s="15" t="n">
        <v>0</v>
      </c>
      <c r="AE405" s="15" t="n">
        <v>0</v>
      </c>
      <c r="AF405" s="15" t="n">
        <v>1</v>
      </c>
      <c r="AG405" s="15" t="n">
        <v>0</v>
      </c>
      <c r="AH405" s="15" t="n">
        <v>1</v>
      </c>
    </row>
    <row r="406" customFormat="false" ht="35.05" hidden="false" customHeight="false" outlineLevel="0" collapsed="false">
      <c r="A406" s="15" t="s">
        <v>3030</v>
      </c>
      <c r="B406" s="15" t="s">
        <v>37</v>
      </c>
      <c r="C406" s="15" t="s">
        <v>2849</v>
      </c>
      <c r="D406" s="15" t="n">
        <v>63</v>
      </c>
      <c r="E406" s="15" t="s">
        <v>3018</v>
      </c>
      <c r="F406" s="15" t="n">
        <v>2</v>
      </c>
      <c r="G406" s="15" t="s">
        <v>136</v>
      </c>
      <c r="H406" s="15" t="s">
        <v>308</v>
      </c>
      <c r="I406" s="3" t="s">
        <v>3031</v>
      </c>
      <c r="J406" s="3" t="s">
        <v>3032</v>
      </c>
      <c r="K406" s="15" t="s">
        <v>133</v>
      </c>
      <c r="L406" s="16" t="s">
        <v>7</v>
      </c>
      <c r="M406" s="15" t="s">
        <v>68</v>
      </c>
      <c r="N406" s="15" t="s">
        <v>85</v>
      </c>
      <c r="O406" s="15" t="s">
        <v>3033</v>
      </c>
      <c r="P406" s="15" t="s">
        <v>185</v>
      </c>
      <c r="Q406" s="15" t="s">
        <v>136</v>
      </c>
      <c r="R406" s="15" t="s">
        <v>135</v>
      </c>
      <c r="S406" s="15"/>
      <c r="T406" s="15"/>
      <c r="U406" s="3" t="s">
        <v>3034</v>
      </c>
      <c r="V406" s="3" t="s">
        <v>3035</v>
      </c>
      <c r="W406" s="3" t="s">
        <v>3036</v>
      </c>
      <c r="X406" s="3" t="s">
        <v>3037</v>
      </c>
      <c r="Y406" s="15" t="n">
        <v>0</v>
      </c>
      <c r="Z406" s="15" t="n">
        <v>1</v>
      </c>
      <c r="AA406" s="15" t="n">
        <v>0</v>
      </c>
      <c r="AB406" s="15" t="n">
        <v>1</v>
      </c>
      <c r="AC406" s="15" t="n">
        <v>1</v>
      </c>
      <c r="AD406" s="15" t="n">
        <v>0</v>
      </c>
      <c r="AE406" s="15" t="n">
        <v>0</v>
      </c>
      <c r="AF406" s="15" t="n">
        <v>0</v>
      </c>
      <c r="AG406" s="15" t="n">
        <v>0</v>
      </c>
      <c r="AH406" s="15" t="n">
        <v>1</v>
      </c>
    </row>
    <row r="407" customFormat="false" ht="46.25" hidden="false" customHeight="false" outlineLevel="0" collapsed="false">
      <c r="A407" s="15" t="s">
        <v>3038</v>
      </c>
      <c r="B407" s="15" t="s">
        <v>37</v>
      </c>
      <c r="C407" s="15" t="s">
        <v>2849</v>
      </c>
      <c r="D407" s="15" t="n">
        <v>65</v>
      </c>
      <c r="E407" s="15" t="s">
        <v>3039</v>
      </c>
      <c r="F407" s="15" t="n">
        <v>0</v>
      </c>
      <c r="G407" s="15" t="s">
        <v>129</v>
      </c>
      <c r="H407" s="15" t="s">
        <v>130</v>
      </c>
      <c r="I407" s="3" t="s">
        <v>3040</v>
      </c>
      <c r="J407" s="3" t="s">
        <v>3041</v>
      </c>
      <c r="K407" s="15" t="s">
        <v>133</v>
      </c>
      <c r="L407" s="17" t="s">
        <v>9</v>
      </c>
      <c r="M407" s="15" t="s">
        <v>70</v>
      </c>
      <c r="N407" s="15" t="s">
        <v>81</v>
      </c>
      <c r="O407" s="15" t="s">
        <v>81</v>
      </c>
      <c r="P407" s="15" t="s">
        <v>185</v>
      </c>
      <c r="Q407" s="15" t="s">
        <v>129</v>
      </c>
      <c r="R407" s="15" t="s">
        <v>135</v>
      </c>
      <c r="S407" s="15" t="s">
        <v>405</v>
      </c>
      <c r="T407" s="15" t="s">
        <v>327</v>
      </c>
      <c r="U407" s="3" t="s">
        <v>3042</v>
      </c>
      <c r="V407" s="3" t="s">
        <v>3043</v>
      </c>
      <c r="W407" s="3"/>
      <c r="X407" s="3"/>
      <c r="Y407" s="15" t="n">
        <v>1</v>
      </c>
      <c r="Z407" s="15" t="n">
        <v>0</v>
      </c>
      <c r="AA407" s="15" t="n">
        <v>0</v>
      </c>
      <c r="AB407" s="15" t="n">
        <v>0</v>
      </c>
      <c r="AC407" s="15" t="n">
        <v>0</v>
      </c>
      <c r="AD407" s="15" t="n">
        <v>0</v>
      </c>
      <c r="AE407" s="15" t="n">
        <v>0</v>
      </c>
      <c r="AF407" s="15" t="n">
        <v>0</v>
      </c>
      <c r="AG407" s="15" t="n">
        <v>0</v>
      </c>
      <c r="AH407" s="15" t="n">
        <v>0</v>
      </c>
    </row>
    <row r="408" customFormat="false" ht="68.65" hidden="false" customHeight="false" outlineLevel="0" collapsed="false">
      <c r="A408" s="15" t="s">
        <v>3044</v>
      </c>
      <c r="B408" s="15" t="s">
        <v>37</v>
      </c>
      <c r="C408" s="15" t="s">
        <v>2849</v>
      </c>
      <c r="D408" s="15" t="n">
        <v>65</v>
      </c>
      <c r="E408" s="15" t="s">
        <v>3039</v>
      </c>
      <c r="F408" s="15" t="n">
        <v>1</v>
      </c>
      <c r="G408" s="15" t="s">
        <v>152</v>
      </c>
      <c r="H408" s="15" t="s">
        <v>142</v>
      </c>
      <c r="I408" s="3" t="s">
        <v>3045</v>
      </c>
      <c r="J408" s="3" t="s">
        <v>3046</v>
      </c>
      <c r="K408" s="15" t="s">
        <v>145</v>
      </c>
      <c r="L408" s="16" t="s">
        <v>7</v>
      </c>
      <c r="M408" s="15" t="s">
        <v>68</v>
      </c>
      <c r="N408" s="15" t="s">
        <v>85</v>
      </c>
      <c r="O408" s="15" t="s">
        <v>3047</v>
      </c>
      <c r="P408" s="15" t="s">
        <v>135</v>
      </c>
      <c r="Q408" s="15" t="s">
        <v>129</v>
      </c>
      <c r="R408" s="15" t="s">
        <v>135</v>
      </c>
      <c r="S408" s="15"/>
      <c r="T408" s="15"/>
      <c r="U408" s="3" t="s">
        <v>3048</v>
      </c>
      <c r="V408" s="3" t="s">
        <v>3049</v>
      </c>
      <c r="W408" s="3" t="s">
        <v>3050</v>
      </c>
      <c r="X408" s="3" t="s">
        <v>3051</v>
      </c>
      <c r="Y408" s="15" t="n">
        <v>0</v>
      </c>
      <c r="Z408" s="15" t="n">
        <v>0</v>
      </c>
      <c r="AA408" s="15" t="n">
        <v>0</v>
      </c>
      <c r="AB408" s="15" t="n">
        <v>0</v>
      </c>
      <c r="AC408" s="15" t="n">
        <v>1</v>
      </c>
      <c r="AD408" s="15" t="n">
        <v>0</v>
      </c>
      <c r="AE408" s="15" t="n">
        <v>1</v>
      </c>
      <c r="AF408" s="15" t="n">
        <v>1</v>
      </c>
      <c r="AG408" s="15" t="n">
        <v>0</v>
      </c>
      <c r="AH408" s="15" t="n">
        <v>1</v>
      </c>
    </row>
    <row r="409" customFormat="false" ht="46.25" hidden="false" customHeight="false" outlineLevel="0" collapsed="false">
      <c r="A409" s="15" t="s">
        <v>3052</v>
      </c>
      <c r="B409" s="15" t="s">
        <v>37</v>
      </c>
      <c r="C409" s="15" t="s">
        <v>2849</v>
      </c>
      <c r="D409" s="15" t="n">
        <v>65</v>
      </c>
      <c r="E409" s="15" t="s">
        <v>3039</v>
      </c>
      <c r="F409" s="15" t="n">
        <v>2</v>
      </c>
      <c r="G409" s="15" t="s">
        <v>141</v>
      </c>
      <c r="H409" s="15" t="s">
        <v>142</v>
      </c>
      <c r="I409" s="3" t="s">
        <v>3045</v>
      </c>
      <c r="J409" s="3" t="s">
        <v>3046</v>
      </c>
      <c r="K409" s="15" t="s">
        <v>133</v>
      </c>
      <c r="L409" s="16" t="s">
        <v>7</v>
      </c>
      <c r="M409" s="15" t="s">
        <v>68</v>
      </c>
      <c r="N409" s="15" t="s">
        <v>85</v>
      </c>
      <c r="O409" s="15" t="s">
        <v>3047</v>
      </c>
      <c r="P409" s="15" t="s">
        <v>135</v>
      </c>
      <c r="Q409" s="15" t="s">
        <v>129</v>
      </c>
      <c r="R409" s="15" t="s">
        <v>135</v>
      </c>
      <c r="S409" s="15"/>
      <c r="T409" s="15"/>
      <c r="U409" s="3" t="s">
        <v>3053</v>
      </c>
      <c r="V409" s="3" t="s">
        <v>3054</v>
      </c>
      <c r="W409" s="3" t="s">
        <v>3050</v>
      </c>
      <c r="X409" s="3" t="s">
        <v>3055</v>
      </c>
      <c r="Y409" s="15" t="n">
        <v>0</v>
      </c>
      <c r="Z409" s="15" t="n">
        <v>0</v>
      </c>
      <c r="AA409" s="15" t="n">
        <v>0</v>
      </c>
      <c r="AB409" s="15" t="n">
        <v>0</v>
      </c>
      <c r="AC409" s="15" t="n">
        <v>1</v>
      </c>
      <c r="AD409" s="15" t="n">
        <v>0</v>
      </c>
      <c r="AE409" s="15" t="n">
        <v>1</v>
      </c>
      <c r="AF409" s="15" t="n">
        <v>1</v>
      </c>
      <c r="AG409" s="15" t="n">
        <v>0</v>
      </c>
      <c r="AH409" s="15" t="n">
        <v>1</v>
      </c>
    </row>
    <row r="410" customFormat="false" ht="46.25" hidden="false" customHeight="false" outlineLevel="0" collapsed="false">
      <c r="A410" s="15" t="s">
        <v>3056</v>
      </c>
      <c r="B410" s="15" t="s">
        <v>37</v>
      </c>
      <c r="C410" s="15" t="s">
        <v>2849</v>
      </c>
      <c r="D410" s="15" t="n">
        <v>73</v>
      </c>
      <c r="E410" s="15" t="s">
        <v>3057</v>
      </c>
      <c r="F410" s="15" t="n">
        <v>0</v>
      </c>
      <c r="G410" s="15" t="s">
        <v>129</v>
      </c>
      <c r="H410" s="15" t="s">
        <v>130</v>
      </c>
      <c r="I410" s="3" t="s">
        <v>3058</v>
      </c>
      <c r="J410" s="3" t="s">
        <v>3059</v>
      </c>
      <c r="K410" s="15" t="s">
        <v>133</v>
      </c>
      <c r="L410" s="16" t="s">
        <v>7</v>
      </c>
      <c r="M410" s="15" t="s">
        <v>68</v>
      </c>
      <c r="N410" s="15" t="s">
        <v>84</v>
      </c>
      <c r="O410" s="15" t="s">
        <v>1152</v>
      </c>
      <c r="P410" s="15" t="s">
        <v>185</v>
      </c>
      <c r="Q410" s="15" t="s">
        <v>129</v>
      </c>
      <c r="R410" s="15" t="s">
        <v>135</v>
      </c>
      <c r="S410" s="15"/>
      <c r="T410" s="15"/>
      <c r="U410" s="3" t="s">
        <v>3060</v>
      </c>
      <c r="V410" s="3" t="s">
        <v>3061</v>
      </c>
      <c r="W410" s="3"/>
      <c r="X410" s="3" t="s">
        <v>3062</v>
      </c>
      <c r="Y410" s="15" t="n">
        <v>0</v>
      </c>
      <c r="Z410" s="15" t="n">
        <v>1</v>
      </c>
      <c r="AA410" s="15" t="n">
        <v>0</v>
      </c>
      <c r="AB410" s="15" t="n">
        <v>1</v>
      </c>
      <c r="AC410" s="15" t="n">
        <v>0</v>
      </c>
      <c r="AD410" s="15" t="n">
        <v>0</v>
      </c>
      <c r="AE410" s="15" t="n">
        <v>0</v>
      </c>
      <c r="AF410" s="15" t="n">
        <v>0</v>
      </c>
      <c r="AG410" s="15" t="n">
        <v>0</v>
      </c>
      <c r="AH410" s="15" t="n">
        <v>0</v>
      </c>
    </row>
    <row r="411" customFormat="false" ht="46.25" hidden="false" customHeight="false" outlineLevel="0" collapsed="false">
      <c r="A411" s="15" t="s">
        <v>3063</v>
      </c>
      <c r="B411" s="15" t="s">
        <v>37</v>
      </c>
      <c r="C411" s="15" t="s">
        <v>2849</v>
      </c>
      <c r="D411" s="15" t="n">
        <v>73</v>
      </c>
      <c r="E411" s="15" t="s">
        <v>3057</v>
      </c>
      <c r="F411" s="15" t="n">
        <v>1</v>
      </c>
      <c r="G411" s="15" t="s">
        <v>141</v>
      </c>
      <c r="H411" s="15" t="s">
        <v>142</v>
      </c>
      <c r="I411" s="3" t="s">
        <v>3064</v>
      </c>
      <c r="J411" s="3" t="s">
        <v>3065</v>
      </c>
      <c r="K411" s="15" t="s">
        <v>145</v>
      </c>
      <c r="L411" s="16" t="s">
        <v>7</v>
      </c>
      <c r="M411" s="15" t="s">
        <v>68</v>
      </c>
      <c r="N411" s="15" t="s">
        <v>82</v>
      </c>
      <c r="O411" s="15" t="s">
        <v>134</v>
      </c>
      <c r="P411" s="15" t="s">
        <v>135</v>
      </c>
      <c r="Q411" s="15" t="s">
        <v>129</v>
      </c>
      <c r="R411" s="15" t="s">
        <v>135</v>
      </c>
      <c r="S411" s="15"/>
      <c r="T411" s="15"/>
      <c r="U411" s="3" t="s">
        <v>3066</v>
      </c>
      <c r="V411" s="3" t="s">
        <v>3067</v>
      </c>
      <c r="W411" s="3"/>
      <c r="X411" s="3" t="s">
        <v>3068</v>
      </c>
      <c r="Y411" s="15" t="n">
        <v>0</v>
      </c>
      <c r="Z411" s="15" t="n">
        <v>1</v>
      </c>
      <c r="AA411" s="15" t="n">
        <v>0</v>
      </c>
      <c r="AB411" s="15" t="n">
        <v>0</v>
      </c>
      <c r="AC411" s="15" t="n">
        <v>0</v>
      </c>
      <c r="AD411" s="15" t="n">
        <v>1</v>
      </c>
      <c r="AE411" s="15" t="n">
        <v>0</v>
      </c>
      <c r="AF411" s="15" t="n">
        <v>1</v>
      </c>
      <c r="AG411" s="15" t="n">
        <v>0</v>
      </c>
      <c r="AH411" s="15" t="n">
        <v>0</v>
      </c>
    </row>
    <row r="412" customFormat="false" ht="46.25" hidden="false" customHeight="false" outlineLevel="0" collapsed="false">
      <c r="A412" s="15" t="s">
        <v>3069</v>
      </c>
      <c r="B412" s="15" t="s">
        <v>37</v>
      </c>
      <c r="C412" s="15" t="s">
        <v>2849</v>
      </c>
      <c r="D412" s="15" t="n">
        <v>73</v>
      </c>
      <c r="E412" s="15" t="s">
        <v>3057</v>
      </c>
      <c r="F412" s="15" t="n">
        <v>2</v>
      </c>
      <c r="G412" s="15" t="s">
        <v>197</v>
      </c>
      <c r="H412" s="15" t="s">
        <v>142</v>
      </c>
      <c r="I412" s="3" t="s">
        <v>3070</v>
      </c>
      <c r="J412" s="3" t="s">
        <v>3071</v>
      </c>
      <c r="K412" s="15" t="s">
        <v>133</v>
      </c>
      <c r="L412" s="16" t="s">
        <v>7</v>
      </c>
      <c r="M412" s="15" t="s">
        <v>68</v>
      </c>
      <c r="N412" s="15" t="s">
        <v>82</v>
      </c>
      <c r="O412" s="15" t="s">
        <v>82</v>
      </c>
      <c r="P412" s="15" t="s">
        <v>185</v>
      </c>
      <c r="Q412" s="15" t="s">
        <v>197</v>
      </c>
      <c r="R412" s="15" t="s">
        <v>135</v>
      </c>
      <c r="S412" s="15"/>
      <c r="T412" s="15"/>
      <c r="U412" s="3" t="s">
        <v>3072</v>
      </c>
      <c r="V412" s="3" t="s">
        <v>3073</v>
      </c>
      <c r="W412" s="3"/>
      <c r="X412" s="3" t="s">
        <v>3074</v>
      </c>
      <c r="Y412" s="15" t="n">
        <v>0</v>
      </c>
      <c r="Z412" s="15" t="n">
        <v>1</v>
      </c>
      <c r="AA412" s="15" t="n">
        <v>0</v>
      </c>
      <c r="AB412" s="15" t="n">
        <v>0</v>
      </c>
      <c r="AC412" s="15" t="n">
        <v>0</v>
      </c>
      <c r="AD412" s="15" t="n">
        <v>0</v>
      </c>
      <c r="AE412" s="15" t="n">
        <v>0</v>
      </c>
      <c r="AF412" s="15" t="n">
        <v>0</v>
      </c>
      <c r="AG412" s="15" t="n">
        <v>0</v>
      </c>
      <c r="AH412" s="15" t="n">
        <v>0</v>
      </c>
    </row>
    <row r="413" customFormat="false" ht="68.65" hidden="false" customHeight="false" outlineLevel="0" collapsed="false">
      <c r="A413" s="15" t="s">
        <v>3075</v>
      </c>
      <c r="B413" s="15" t="s">
        <v>37</v>
      </c>
      <c r="C413" s="15" t="s">
        <v>2849</v>
      </c>
      <c r="D413" s="15" t="n">
        <v>77</v>
      </c>
      <c r="E413" s="15" t="s">
        <v>3076</v>
      </c>
      <c r="F413" s="15" t="n">
        <v>0</v>
      </c>
      <c r="G413" s="15" t="s">
        <v>141</v>
      </c>
      <c r="H413" s="15" t="s">
        <v>142</v>
      </c>
      <c r="I413" s="3" t="s">
        <v>3077</v>
      </c>
      <c r="J413" s="3" t="s">
        <v>3078</v>
      </c>
      <c r="K413" s="15" t="s">
        <v>133</v>
      </c>
      <c r="L413" s="16" t="s">
        <v>7</v>
      </c>
      <c r="M413" s="15" t="s">
        <v>68</v>
      </c>
      <c r="N413" s="15" t="s">
        <v>82</v>
      </c>
      <c r="O413" s="15" t="s">
        <v>222</v>
      </c>
      <c r="P413" s="15" t="s">
        <v>135</v>
      </c>
      <c r="Q413" s="15" t="s">
        <v>129</v>
      </c>
      <c r="R413" s="15" t="s">
        <v>135</v>
      </c>
      <c r="S413" s="15"/>
      <c r="T413" s="15"/>
      <c r="U413" s="3" t="s">
        <v>3079</v>
      </c>
      <c r="V413" s="3" t="s">
        <v>3080</v>
      </c>
      <c r="W413" s="3" t="s">
        <v>3081</v>
      </c>
      <c r="X413" s="3" t="s">
        <v>3082</v>
      </c>
      <c r="Y413" s="15" t="n">
        <v>0</v>
      </c>
      <c r="Z413" s="15" t="n">
        <v>1</v>
      </c>
      <c r="AA413" s="15" t="n">
        <v>0</v>
      </c>
      <c r="AB413" s="15" t="n">
        <v>0</v>
      </c>
      <c r="AC413" s="15" t="n">
        <v>0</v>
      </c>
      <c r="AD413" s="15" t="n">
        <v>0</v>
      </c>
      <c r="AE413" s="15" t="n">
        <v>0</v>
      </c>
      <c r="AF413" s="15" t="n">
        <v>1</v>
      </c>
      <c r="AG413" s="15" t="n">
        <v>0</v>
      </c>
      <c r="AH413" s="15" t="n">
        <v>1</v>
      </c>
    </row>
    <row r="414" customFormat="false" ht="57.45" hidden="false" customHeight="false" outlineLevel="0" collapsed="false">
      <c r="A414" s="15" t="s">
        <v>3083</v>
      </c>
      <c r="B414" s="15" t="s">
        <v>37</v>
      </c>
      <c r="C414" s="15" t="s">
        <v>2849</v>
      </c>
      <c r="D414" s="15" t="n">
        <v>77</v>
      </c>
      <c r="E414" s="15" t="s">
        <v>3076</v>
      </c>
      <c r="F414" s="15" t="n">
        <v>1</v>
      </c>
      <c r="G414" s="15" t="s">
        <v>197</v>
      </c>
      <c r="H414" s="15" t="s">
        <v>142</v>
      </c>
      <c r="I414" s="3" t="s">
        <v>3084</v>
      </c>
      <c r="J414" s="3" t="s">
        <v>3085</v>
      </c>
      <c r="K414" s="15" t="s">
        <v>145</v>
      </c>
      <c r="L414" s="16" t="s">
        <v>7</v>
      </c>
      <c r="M414" s="15" t="s">
        <v>66</v>
      </c>
      <c r="N414" s="15" t="s">
        <v>90</v>
      </c>
      <c r="O414" s="15" t="s">
        <v>90</v>
      </c>
      <c r="P414" s="15" t="s">
        <v>185</v>
      </c>
      <c r="Q414" s="15" t="s">
        <v>197</v>
      </c>
      <c r="R414" s="15" t="s">
        <v>185</v>
      </c>
      <c r="S414" s="15"/>
      <c r="T414" s="15"/>
      <c r="U414" s="3" t="s">
        <v>3086</v>
      </c>
      <c r="V414" s="3" t="s">
        <v>3087</v>
      </c>
      <c r="W414" s="3" t="s">
        <v>3088</v>
      </c>
      <c r="X414" s="3" t="s">
        <v>3089</v>
      </c>
      <c r="Y414" s="15" t="n">
        <v>0</v>
      </c>
      <c r="Z414" s="15" t="n">
        <v>0</v>
      </c>
      <c r="AA414" s="15" t="n">
        <v>0</v>
      </c>
      <c r="AB414" s="15" t="n">
        <v>0</v>
      </c>
      <c r="AC414" s="15" t="n">
        <v>0</v>
      </c>
      <c r="AD414" s="15" t="n">
        <v>0</v>
      </c>
      <c r="AE414" s="15" t="n">
        <v>0</v>
      </c>
      <c r="AF414" s="15" t="n">
        <v>0</v>
      </c>
      <c r="AG414" s="15" t="n">
        <v>0</v>
      </c>
      <c r="AH414" s="15" t="n">
        <v>1</v>
      </c>
    </row>
    <row r="415" customFormat="false" ht="68.65" hidden="false" customHeight="false" outlineLevel="0" collapsed="false">
      <c r="A415" s="15" t="s">
        <v>3090</v>
      </c>
      <c r="B415" s="15" t="s">
        <v>37</v>
      </c>
      <c r="C415" s="15" t="s">
        <v>2849</v>
      </c>
      <c r="D415" s="15" t="n">
        <v>77</v>
      </c>
      <c r="E415" s="15" t="s">
        <v>3076</v>
      </c>
      <c r="F415" s="15" t="n">
        <v>2</v>
      </c>
      <c r="G415" s="15" t="s">
        <v>152</v>
      </c>
      <c r="H415" s="15" t="s">
        <v>142</v>
      </c>
      <c r="I415" s="3" t="s">
        <v>3091</v>
      </c>
      <c r="J415" s="3" t="s">
        <v>3092</v>
      </c>
      <c r="K415" s="15" t="s">
        <v>133</v>
      </c>
      <c r="L415" s="16" t="s">
        <v>7</v>
      </c>
      <c r="M415" s="15" t="s">
        <v>68</v>
      </c>
      <c r="N415" s="15" t="s">
        <v>82</v>
      </c>
      <c r="O415" s="15" t="s">
        <v>192</v>
      </c>
      <c r="P415" s="15" t="s">
        <v>135</v>
      </c>
      <c r="Q415" s="15" t="s">
        <v>129</v>
      </c>
      <c r="R415" s="15" t="s">
        <v>135</v>
      </c>
      <c r="S415" s="15"/>
      <c r="T415" s="15"/>
      <c r="U415" s="3" t="s">
        <v>3093</v>
      </c>
      <c r="V415" s="3" t="s">
        <v>3094</v>
      </c>
      <c r="W415" s="3" t="s">
        <v>3095</v>
      </c>
      <c r="X415" s="3" t="s">
        <v>3096</v>
      </c>
      <c r="Y415" s="15" t="n">
        <v>0</v>
      </c>
      <c r="Z415" s="15" t="n">
        <v>1</v>
      </c>
      <c r="AA415" s="15" t="n">
        <v>0</v>
      </c>
      <c r="AB415" s="15" t="n">
        <v>1</v>
      </c>
      <c r="AC415" s="15" t="n">
        <v>0</v>
      </c>
      <c r="AD415" s="15" t="n">
        <v>0</v>
      </c>
      <c r="AE415" s="15" t="n">
        <v>0</v>
      </c>
      <c r="AF415" s="15" t="n">
        <v>1</v>
      </c>
      <c r="AG415" s="15" t="n">
        <v>0</v>
      </c>
      <c r="AH415" s="15" t="n">
        <v>0</v>
      </c>
    </row>
    <row r="416" customFormat="false" ht="57.45" hidden="false" customHeight="false" outlineLevel="0" collapsed="false">
      <c r="A416" s="15" t="s">
        <v>3097</v>
      </c>
      <c r="B416" s="15" t="s">
        <v>37</v>
      </c>
      <c r="C416" s="15" t="s">
        <v>2849</v>
      </c>
      <c r="D416" s="15" t="n">
        <v>81</v>
      </c>
      <c r="E416" s="15" t="s">
        <v>3098</v>
      </c>
      <c r="F416" s="15" t="n">
        <v>0</v>
      </c>
      <c r="G416" s="15" t="s">
        <v>129</v>
      </c>
      <c r="H416" s="15" t="s">
        <v>130</v>
      </c>
      <c r="I416" s="3" t="s">
        <v>3099</v>
      </c>
      <c r="J416" s="3" t="s">
        <v>3100</v>
      </c>
      <c r="K416" s="15" t="s">
        <v>133</v>
      </c>
      <c r="L416" s="16" t="s">
        <v>7</v>
      </c>
      <c r="M416" s="15" t="s">
        <v>66</v>
      </c>
      <c r="N416" s="15" t="s">
        <v>90</v>
      </c>
      <c r="O416" s="15" t="s">
        <v>2644</v>
      </c>
      <c r="P416" s="15" t="s">
        <v>185</v>
      </c>
      <c r="Q416" s="15" t="s">
        <v>129</v>
      </c>
      <c r="R416" s="15" t="s">
        <v>135</v>
      </c>
      <c r="S416" s="15"/>
      <c r="T416" s="15"/>
      <c r="U416" s="3" t="s">
        <v>3101</v>
      </c>
      <c r="V416" s="3" t="s">
        <v>3102</v>
      </c>
      <c r="W416" s="3" t="s">
        <v>3103</v>
      </c>
      <c r="X416" s="3" t="s">
        <v>3104</v>
      </c>
      <c r="Y416" s="15" t="n">
        <v>0</v>
      </c>
      <c r="Z416" s="15" t="n">
        <v>0</v>
      </c>
      <c r="AA416" s="15" t="n">
        <v>0</v>
      </c>
      <c r="AB416" s="15" t="n">
        <v>0</v>
      </c>
      <c r="AC416" s="15" t="n">
        <v>1</v>
      </c>
      <c r="AD416" s="15" t="n">
        <v>0</v>
      </c>
      <c r="AE416" s="15" t="n">
        <v>0</v>
      </c>
      <c r="AF416" s="15" t="n">
        <v>0</v>
      </c>
      <c r="AG416" s="15" t="n">
        <v>0</v>
      </c>
      <c r="AH416" s="15" t="n">
        <v>1</v>
      </c>
    </row>
    <row r="417" customFormat="false" ht="46.25" hidden="false" customHeight="false" outlineLevel="0" collapsed="false">
      <c r="A417" s="15" t="s">
        <v>3105</v>
      </c>
      <c r="B417" s="15" t="s">
        <v>37</v>
      </c>
      <c r="C417" s="15" t="s">
        <v>2849</v>
      </c>
      <c r="D417" s="15" t="n">
        <v>81</v>
      </c>
      <c r="E417" s="15" t="s">
        <v>3098</v>
      </c>
      <c r="F417" s="15" t="n">
        <v>1</v>
      </c>
      <c r="G417" s="15" t="s">
        <v>141</v>
      </c>
      <c r="H417" s="15" t="s">
        <v>142</v>
      </c>
      <c r="I417" s="3" t="s">
        <v>3106</v>
      </c>
      <c r="J417" s="3" t="s">
        <v>3107</v>
      </c>
      <c r="K417" s="15" t="s">
        <v>145</v>
      </c>
      <c r="L417" s="16" t="s">
        <v>7</v>
      </c>
      <c r="M417" s="15" t="s">
        <v>66</v>
      </c>
      <c r="N417" s="15" t="s">
        <v>85</v>
      </c>
      <c r="O417" s="15" t="s">
        <v>483</v>
      </c>
      <c r="P417" s="15" t="s">
        <v>135</v>
      </c>
      <c r="Q417" s="15" t="s">
        <v>129</v>
      </c>
      <c r="R417" s="15" t="s">
        <v>135</v>
      </c>
      <c r="S417" s="15"/>
      <c r="T417" s="15"/>
      <c r="U417" s="3" t="s">
        <v>3108</v>
      </c>
      <c r="V417" s="3" t="s">
        <v>3109</v>
      </c>
      <c r="W417" s="3" t="s">
        <v>3110</v>
      </c>
      <c r="X417" s="3" t="s">
        <v>3111</v>
      </c>
      <c r="Y417" s="15" t="n">
        <v>0</v>
      </c>
      <c r="Z417" s="15" t="n">
        <v>0</v>
      </c>
      <c r="AA417" s="15" t="n">
        <v>0</v>
      </c>
      <c r="AB417" s="15" t="n">
        <v>0</v>
      </c>
      <c r="AC417" s="15" t="n">
        <v>1</v>
      </c>
      <c r="AD417" s="15" t="n">
        <v>0</v>
      </c>
      <c r="AE417" s="15" t="n">
        <v>0</v>
      </c>
      <c r="AF417" s="15" t="n">
        <v>1</v>
      </c>
      <c r="AG417" s="15" t="n">
        <v>0</v>
      </c>
      <c r="AH417" s="15" t="n">
        <v>1</v>
      </c>
    </row>
    <row r="418" customFormat="false" ht="57.45" hidden="false" customHeight="false" outlineLevel="0" collapsed="false">
      <c r="A418" s="15" t="s">
        <v>3112</v>
      </c>
      <c r="B418" s="15" t="s">
        <v>37</v>
      </c>
      <c r="C418" s="15" t="s">
        <v>2849</v>
      </c>
      <c r="D418" s="15" t="n">
        <v>81</v>
      </c>
      <c r="E418" s="15" t="s">
        <v>3098</v>
      </c>
      <c r="F418" s="15" t="n">
        <v>2</v>
      </c>
      <c r="G418" s="15" t="s">
        <v>152</v>
      </c>
      <c r="H418" s="15" t="s">
        <v>142</v>
      </c>
      <c r="I418" s="3" t="s">
        <v>3113</v>
      </c>
      <c r="J418" s="3" t="s">
        <v>3114</v>
      </c>
      <c r="K418" s="15" t="s">
        <v>133</v>
      </c>
      <c r="L418" s="16" t="s">
        <v>7</v>
      </c>
      <c r="M418" s="15" t="s">
        <v>66</v>
      </c>
      <c r="N418" s="15" t="s">
        <v>88</v>
      </c>
      <c r="O418" s="15" t="s">
        <v>3115</v>
      </c>
      <c r="P418" s="15" t="s">
        <v>135</v>
      </c>
      <c r="Q418" s="15" t="s">
        <v>129</v>
      </c>
      <c r="R418" s="15" t="s">
        <v>135</v>
      </c>
      <c r="S418" s="15"/>
      <c r="T418" s="15"/>
      <c r="U418" s="3" t="s">
        <v>3116</v>
      </c>
      <c r="V418" s="3" t="s">
        <v>3117</v>
      </c>
      <c r="W418" s="3" t="s">
        <v>3118</v>
      </c>
      <c r="X418" s="3" t="s">
        <v>3119</v>
      </c>
      <c r="Y418" s="15" t="n">
        <v>0</v>
      </c>
      <c r="Z418" s="15" t="n">
        <v>0</v>
      </c>
      <c r="AA418" s="15" t="n">
        <v>0</v>
      </c>
      <c r="AB418" s="15" t="n">
        <v>0</v>
      </c>
      <c r="AC418" s="15" t="n">
        <v>1</v>
      </c>
      <c r="AD418" s="15" t="n">
        <v>0</v>
      </c>
      <c r="AE418" s="15" t="n">
        <v>0</v>
      </c>
      <c r="AF418" s="15" t="n">
        <v>1</v>
      </c>
      <c r="AG418" s="15" t="n">
        <v>0</v>
      </c>
      <c r="AH418" s="15" t="n">
        <v>1</v>
      </c>
    </row>
    <row r="419" customFormat="false" ht="46.25" hidden="false" customHeight="false" outlineLevel="0" collapsed="false">
      <c r="A419" s="15" t="s">
        <v>3120</v>
      </c>
      <c r="B419" s="15" t="s">
        <v>37</v>
      </c>
      <c r="C419" s="15" t="s">
        <v>2849</v>
      </c>
      <c r="D419" s="15" t="n">
        <v>97</v>
      </c>
      <c r="E419" s="15" t="s">
        <v>3121</v>
      </c>
      <c r="F419" s="15" t="n">
        <v>0</v>
      </c>
      <c r="G419" s="15" t="s">
        <v>141</v>
      </c>
      <c r="H419" s="15" t="s">
        <v>142</v>
      </c>
      <c r="I419" s="3" t="s">
        <v>3122</v>
      </c>
      <c r="J419" s="3" t="s">
        <v>3123</v>
      </c>
      <c r="K419" s="15" t="s">
        <v>133</v>
      </c>
      <c r="L419" s="16" t="s">
        <v>7</v>
      </c>
      <c r="M419" s="15" t="s">
        <v>66</v>
      </c>
      <c r="N419" s="15" t="s">
        <v>88</v>
      </c>
      <c r="O419" s="15" t="s">
        <v>231</v>
      </c>
      <c r="P419" s="15" t="s">
        <v>135</v>
      </c>
      <c r="Q419" s="15" t="s">
        <v>129</v>
      </c>
      <c r="R419" s="15" t="s">
        <v>185</v>
      </c>
      <c r="S419" s="15"/>
      <c r="T419" s="15"/>
      <c r="U419" s="3" t="s">
        <v>3124</v>
      </c>
      <c r="V419" s="3" t="s">
        <v>3125</v>
      </c>
      <c r="W419" s="3" t="s">
        <v>3126</v>
      </c>
      <c r="X419" s="3" t="s">
        <v>3127</v>
      </c>
      <c r="Y419" s="15" t="n">
        <v>0</v>
      </c>
      <c r="Z419" s="15" t="n">
        <v>0</v>
      </c>
      <c r="AA419" s="15" t="n">
        <v>0</v>
      </c>
      <c r="AB419" s="15" t="n">
        <v>0</v>
      </c>
      <c r="AC419" s="15" t="n">
        <v>0</v>
      </c>
      <c r="AD419" s="15" t="n">
        <v>0</v>
      </c>
      <c r="AE419" s="15" t="n">
        <v>0</v>
      </c>
      <c r="AF419" s="15" t="n">
        <v>1</v>
      </c>
      <c r="AG419" s="15" t="n">
        <v>0</v>
      </c>
      <c r="AH419" s="15" t="n">
        <v>1</v>
      </c>
    </row>
    <row r="420" customFormat="false" ht="35.05" hidden="false" customHeight="false" outlineLevel="0" collapsed="false">
      <c r="A420" s="15" t="s">
        <v>3128</v>
      </c>
      <c r="B420" s="15" t="s">
        <v>37</v>
      </c>
      <c r="C420" s="15" t="s">
        <v>2849</v>
      </c>
      <c r="D420" s="15" t="n">
        <v>97</v>
      </c>
      <c r="E420" s="15" t="s">
        <v>3121</v>
      </c>
      <c r="F420" s="15" t="n">
        <v>1</v>
      </c>
      <c r="G420" s="15" t="s">
        <v>129</v>
      </c>
      <c r="H420" s="15" t="s">
        <v>130</v>
      </c>
      <c r="I420" s="3" t="s">
        <v>3129</v>
      </c>
      <c r="J420" s="3" t="s">
        <v>3130</v>
      </c>
      <c r="K420" s="15" t="s">
        <v>145</v>
      </c>
      <c r="L420" s="16" t="s">
        <v>7</v>
      </c>
      <c r="M420" s="15" t="s">
        <v>68</v>
      </c>
      <c r="N420" s="15" t="s">
        <v>82</v>
      </c>
      <c r="O420" s="15" t="s">
        <v>82</v>
      </c>
      <c r="P420" s="15" t="s">
        <v>185</v>
      </c>
      <c r="Q420" s="15" t="s">
        <v>129</v>
      </c>
      <c r="R420" s="15" t="s">
        <v>135</v>
      </c>
      <c r="S420" s="15"/>
      <c r="T420" s="15"/>
      <c r="U420" s="3" t="s">
        <v>3131</v>
      </c>
      <c r="V420" s="3" t="s">
        <v>3132</v>
      </c>
      <c r="W420" s="3"/>
      <c r="X420" s="3" t="s">
        <v>3133</v>
      </c>
      <c r="Y420" s="15" t="n">
        <v>0</v>
      </c>
      <c r="Z420" s="15" t="n">
        <v>1</v>
      </c>
      <c r="AA420" s="15" t="n">
        <v>0</v>
      </c>
      <c r="AB420" s="15" t="n">
        <v>0</v>
      </c>
      <c r="AC420" s="15" t="n">
        <v>0</v>
      </c>
      <c r="AD420" s="15" t="n">
        <v>0</v>
      </c>
      <c r="AE420" s="15" t="n">
        <v>0</v>
      </c>
      <c r="AF420" s="15" t="n">
        <v>0</v>
      </c>
      <c r="AG420" s="15" t="n">
        <v>0</v>
      </c>
      <c r="AH420" s="15" t="n">
        <v>0</v>
      </c>
    </row>
    <row r="421" customFormat="false" ht="35.05" hidden="false" customHeight="false" outlineLevel="0" collapsed="false">
      <c r="A421" s="15" t="s">
        <v>3134</v>
      </c>
      <c r="B421" s="15" t="s">
        <v>37</v>
      </c>
      <c r="C421" s="15" t="s">
        <v>2849</v>
      </c>
      <c r="D421" s="15" t="n">
        <v>97</v>
      </c>
      <c r="E421" s="15" t="s">
        <v>3121</v>
      </c>
      <c r="F421" s="15" t="n">
        <v>2</v>
      </c>
      <c r="G421" s="15" t="s">
        <v>197</v>
      </c>
      <c r="H421" s="15" t="s">
        <v>142</v>
      </c>
      <c r="I421" s="3" t="s">
        <v>3135</v>
      </c>
      <c r="J421" s="3" t="s">
        <v>3136</v>
      </c>
      <c r="K421" s="15" t="s">
        <v>133</v>
      </c>
      <c r="L421" s="16" t="s">
        <v>7</v>
      </c>
      <c r="M421" s="15" t="s">
        <v>68</v>
      </c>
      <c r="N421" s="15" t="s">
        <v>82</v>
      </c>
      <c r="O421" s="15" t="s">
        <v>215</v>
      </c>
      <c r="P421" s="15" t="s">
        <v>135</v>
      </c>
      <c r="Q421" s="15" t="s">
        <v>307</v>
      </c>
      <c r="R421" s="15" t="s">
        <v>135</v>
      </c>
      <c r="S421" s="15"/>
      <c r="T421" s="15"/>
      <c r="U421" s="3" t="s">
        <v>3137</v>
      </c>
      <c r="V421" s="3" t="s">
        <v>3138</v>
      </c>
      <c r="W421" s="3"/>
      <c r="X421" s="3" t="s">
        <v>3139</v>
      </c>
      <c r="Y421" s="15" t="n">
        <v>0</v>
      </c>
      <c r="Z421" s="15" t="n">
        <v>1</v>
      </c>
      <c r="AA421" s="15" t="n">
        <v>0</v>
      </c>
      <c r="AB421" s="15" t="n">
        <v>0</v>
      </c>
      <c r="AC421" s="15" t="n">
        <v>0</v>
      </c>
      <c r="AD421" s="15" t="n">
        <v>0</v>
      </c>
      <c r="AE421" s="15" t="n">
        <v>0</v>
      </c>
      <c r="AF421" s="15" t="n">
        <v>1</v>
      </c>
      <c r="AG421" s="15" t="n">
        <v>0</v>
      </c>
      <c r="AH421" s="15" t="n">
        <v>0</v>
      </c>
    </row>
    <row r="422" customFormat="false" ht="35.05" hidden="false" customHeight="false" outlineLevel="0" collapsed="false">
      <c r="A422" s="15" t="s">
        <v>3140</v>
      </c>
      <c r="B422" s="15" t="s">
        <v>37</v>
      </c>
      <c r="C422" s="15" t="s">
        <v>3141</v>
      </c>
      <c r="D422" s="15" t="n">
        <v>1</v>
      </c>
      <c r="E422" s="15" t="s">
        <v>3142</v>
      </c>
      <c r="F422" s="15" t="n">
        <v>0</v>
      </c>
      <c r="G422" s="15" t="s">
        <v>129</v>
      </c>
      <c r="H422" s="15" t="s">
        <v>130</v>
      </c>
      <c r="I422" s="3" t="s">
        <v>3143</v>
      </c>
      <c r="J422" s="3" t="s">
        <v>3144</v>
      </c>
      <c r="K422" s="15" t="s">
        <v>133</v>
      </c>
      <c r="L422" s="16" t="s">
        <v>7</v>
      </c>
      <c r="M422" s="15" t="s">
        <v>66</v>
      </c>
      <c r="N422" s="15" t="s">
        <v>89</v>
      </c>
      <c r="O422" s="15" t="s">
        <v>89</v>
      </c>
      <c r="P422" s="15" t="s">
        <v>185</v>
      </c>
      <c r="Q422" s="15" t="s">
        <v>129</v>
      </c>
      <c r="R422" s="15" t="s">
        <v>185</v>
      </c>
      <c r="S422" s="15"/>
      <c r="T422" s="15"/>
      <c r="U422" s="3" t="s">
        <v>3145</v>
      </c>
      <c r="V422" s="3" t="s">
        <v>3146</v>
      </c>
      <c r="W422" s="3"/>
      <c r="X422" s="3" t="s">
        <v>3147</v>
      </c>
      <c r="Y422" s="15" t="n">
        <v>0</v>
      </c>
      <c r="Z422" s="15" t="n">
        <v>0</v>
      </c>
      <c r="AA422" s="15" t="n">
        <v>0</v>
      </c>
      <c r="AB422" s="15" t="n">
        <v>0</v>
      </c>
      <c r="AC422" s="15" t="n">
        <v>0</v>
      </c>
      <c r="AD422" s="15" t="n">
        <v>0</v>
      </c>
      <c r="AE422" s="15" t="n">
        <v>0</v>
      </c>
      <c r="AF422" s="15" t="n">
        <v>0</v>
      </c>
      <c r="AG422" s="15" t="n">
        <v>1</v>
      </c>
      <c r="AH422" s="15" t="n">
        <v>0</v>
      </c>
    </row>
    <row r="423" customFormat="false" ht="57.45" hidden="false" customHeight="false" outlineLevel="0" collapsed="false">
      <c r="A423" s="15" t="s">
        <v>3148</v>
      </c>
      <c r="B423" s="15" t="s">
        <v>37</v>
      </c>
      <c r="C423" s="15" t="s">
        <v>3141</v>
      </c>
      <c r="D423" s="15" t="n">
        <v>1</v>
      </c>
      <c r="E423" s="15" t="s">
        <v>3142</v>
      </c>
      <c r="F423" s="15" t="n">
        <v>1</v>
      </c>
      <c r="G423" s="15" t="s">
        <v>197</v>
      </c>
      <c r="H423" s="15" t="s">
        <v>142</v>
      </c>
      <c r="I423" s="3" t="s">
        <v>3149</v>
      </c>
      <c r="J423" s="3" t="s">
        <v>3150</v>
      </c>
      <c r="K423" s="15" t="s">
        <v>145</v>
      </c>
      <c r="L423" s="16" t="s">
        <v>7</v>
      </c>
      <c r="M423" s="15" t="s">
        <v>68</v>
      </c>
      <c r="N423" s="15" t="s">
        <v>82</v>
      </c>
      <c r="O423" s="15" t="s">
        <v>1542</v>
      </c>
      <c r="P423" s="15" t="s">
        <v>135</v>
      </c>
      <c r="Q423" s="15" t="s">
        <v>129</v>
      </c>
      <c r="R423" s="15" t="s">
        <v>135</v>
      </c>
      <c r="S423" s="15"/>
      <c r="T423" s="15"/>
      <c r="U423" s="3" t="s">
        <v>3151</v>
      </c>
      <c r="V423" s="3" t="s">
        <v>3152</v>
      </c>
      <c r="W423" s="3" t="s">
        <v>3149</v>
      </c>
      <c r="X423" s="3" t="s">
        <v>3153</v>
      </c>
      <c r="Y423" s="15" t="n">
        <v>0</v>
      </c>
      <c r="Z423" s="15" t="n">
        <v>1</v>
      </c>
      <c r="AA423" s="15" t="n">
        <v>0</v>
      </c>
      <c r="AB423" s="15" t="n">
        <v>0</v>
      </c>
      <c r="AC423" s="15" t="n">
        <v>0</v>
      </c>
      <c r="AD423" s="15" t="n">
        <v>0</v>
      </c>
      <c r="AE423" s="15" t="n">
        <v>0</v>
      </c>
      <c r="AF423" s="15" t="n">
        <v>1</v>
      </c>
      <c r="AG423" s="15" t="n">
        <v>1</v>
      </c>
      <c r="AH423" s="15" t="n">
        <v>0</v>
      </c>
    </row>
    <row r="424" customFormat="false" ht="35.05" hidden="false" customHeight="false" outlineLevel="0" collapsed="false">
      <c r="A424" s="15" t="s">
        <v>3154</v>
      </c>
      <c r="B424" s="15" t="s">
        <v>37</v>
      </c>
      <c r="C424" s="15" t="s">
        <v>3141</v>
      </c>
      <c r="D424" s="15" t="n">
        <v>1</v>
      </c>
      <c r="E424" s="15" t="s">
        <v>3142</v>
      </c>
      <c r="F424" s="15" t="n">
        <v>2</v>
      </c>
      <c r="G424" s="15" t="s">
        <v>141</v>
      </c>
      <c r="H424" s="15" t="s">
        <v>142</v>
      </c>
      <c r="I424" s="3" t="s">
        <v>3155</v>
      </c>
      <c r="J424" s="3" t="s">
        <v>3156</v>
      </c>
      <c r="K424" s="15" t="s">
        <v>133</v>
      </c>
      <c r="L424" s="16" t="s">
        <v>7</v>
      </c>
      <c r="M424" s="15" t="s">
        <v>68</v>
      </c>
      <c r="N424" s="15" t="s">
        <v>82</v>
      </c>
      <c r="O424" s="15" t="s">
        <v>176</v>
      </c>
      <c r="P424" s="15" t="s">
        <v>135</v>
      </c>
      <c r="Q424" s="15" t="s">
        <v>129</v>
      </c>
      <c r="R424" s="15" t="s">
        <v>135</v>
      </c>
      <c r="S424" s="15"/>
      <c r="T424" s="15"/>
      <c r="U424" s="3" t="s">
        <v>3157</v>
      </c>
      <c r="V424" s="3" t="s">
        <v>3158</v>
      </c>
      <c r="W424" s="3"/>
      <c r="X424" s="3" t="s">
        <v>3159</v>
      </c>
      <c r="Y424" s="15" t="n">
        <v>0</v>
      </c>
      <c r="Z424" s="15" t="n">
        <v>1</v>
      </c>
      <c r="AA424" s="15" t="n">
        <v>0</v>
      </c>
      <c r="AB424" s="15" t="n">
        <v>0</v>
      </c>
      <c r="AC424" s="15" t="n">
        <v>1</v>
      </c>
      <c r="AD424" s="15" t="n">
        <v>0</v>
      </c>
      <c r="AE424" s="15" t="n">
        <v>0</v>
      </c>
      <c r="AF424" s="15" t="n">
        <v>1</v>
      </c>
      <c r="AG424" s="15" t="n">
        <v>0</v>
      </c>
      <c r="AH424" s="15" t="n">
        <v>0</v>
      </c>
    </row>
    <row r="425" customFormat="false" ht="46.25" hidden="false" customHeight="false" outlineLevel="0" collapsed="false">
      <c r="A425" s="15" t="s">
        <v>3160</v>
      </c>
      <c r="B425" s="15" t="s">
        <v>37</v>
      </c>
      <c r="C425" s="15" t="s">
        <v>3161</v>
      </c>
      <c r="D425" s="15" t="n">
        <v>1</v>
      </c>
      <c r="E425" s="15" t="s">
        <v>3162</v>
      </c>
      <c r="F425" s="15" t="n">
        <v>0</v>
      </c>
      <c r="G425" s="15" t="s">
        <v>129</v>
      </c>
      <c r="H425" s="15" t="s">
        <v>130</v>
      </c>
      <c r="I425" s="3" t="s">
        <v>3163</v>
      </c>
      <c r="J425" s="3" t="s">
        <v>3164</v>
      </c>
      <c r="K425" s="15" t="s">
        <v>133</v>
      </c>
      <c r="L425" s="16" t="s">
        <v>7</v>
      </c>
      <c r="M425" s="15" t="s">
        <v>68</v>
      </c>
      <c r="N425" s="15" t="s">
        <v>84</v>
      </c>
      <c r="O425" s="15" t="s">
        <v>3165</v>
      </c>
      <c r="P425" s="15" t="s">
        <v>135</v>
      </c>
      <c r="Q425" s="15" t="s">
        <v>136</v>
      </c>
      <c r="R425" s="15" t="s">
        <v>135</v>
      </c>
      <c r="S425" s="15"/>
      <c r="T425" s="15"/>
      <c r="U425" s="3" t="s">
        <v>3166</v>
      </c>
      <c r="V425" s="3" t="s">
        <v>3167</v>
      </c>
      <c r="W425" s="3"/>
      <c r="X425" s="3" t="s">
        <v>3168</v>
      </c>
      <c r="Y425" s="15" t="n">
        <v>0</v>
      </c>
      <c r="Z425" s="15" t="n">
        <v>0</v>
      </c>
      <c r="AA425" s="15" t="n">
        <v>0</v>
      </c>
      <c r="AB425" s="15" t="n">
        <v>1</v>
      </c>
      <c r="AC425" s="15" t="n">
        <v>0</v>
      </c>
      <c r="AD425" s="15" t="n">
        <v>0</v>
      </c>
      <c r="AE425" s="15" t="n">
        <v>0</v>
      </c>
      <c r="AF425" s="15" t="n">
        <v>1</v>
      </c>
      <c r="AG425" s="15" t="n">
        <v>0</v>
      </c>
      <c r="AH425" s="15" t="n">
        <v>0</v>
      </c>
    </row>
    <row r="426" customFormat="false" ht="35.05" hidden="false" customHeight="false" outlineLevel="0" collapsed="false">
      <c r="A426" s="15" t="s">
        <v>3169</v>
      </c>
      <c r="B426" s="15" t="s">
        <v>37</v>
      </c>
      <c r="C426" s="15" t="s">
        <v>3161</v>
      </c>
      <c r="D426" s="15" t="n">
        <v>1</v>
      </c>
      <c r="E426" s="15" t="s">
        <v>3162</v>
      </c>
      <c r="F426" s="15" t="n">
        <v>1</v>
      </c>
      <c r="G426" s="15" t="s">
        <v>307</v>
      </c>
      <c r="H426" s="15" t="s">
        <v>308</v>
      </c>
      <c r="I426" s="3" t="s">
        <v>3170</v>
      </c>
      <c r="J426" s="3" t="s">
        <v>3171</v>
      </c>
      <c r="K426" s="15" t="s">
        <v>145</v>
      </c>
      <c r="L426" s="16" t="s">
        <v>7</v>
      </c>
      <c r="M426" s="15" t="s">
        <v>68</v>
      </c>
      <c r="N426" s="15" t="s">
        <v>84</v>
      </c>
      <c r="O426" s="15" t="s">
        <v>3165</v>
      </c>
      <c r="P426" s="15" t="s">
        <v>135</v>
      </c>
      <c r="Q426" s="15" t="s">
        <v>136</v>
      </c>
      <c r="R426" s="15" t="s">
        <v>135</v>
      </c>
      <c r="S426" s="15"/>
      <c r="T426" s="15"/>
      <c r="U426" s="3" t="s">
        <v>3172</v>
      </c>
      <c r="V426" s="3" t="s">
        <v>3173</v>
      </c>
      <c r="W426" s="3"/>
      <c r="X426" s="3" t="s">
        <v>3174</v>
      </c>
      <c r="Y426" s="15" t="n">
        <v>0</v>
      </c>
      <c r="Z426" s="15" t="n">
        <v>0</v>
      </c>
      <c r="AA426" s="15" t="n">
        <v>0</v>
      </c>
      <c r="AB426" s="15" t="n">
        <v>1</v>
      </c>
      <c r="AC426" s="15" t="n">
        <v>0</v>
      </c>
      <c r="AD426" s="15" t="n">
        <v>0</v>
      </c>
      <c r="AE426" s="15" t="n">
        <v>0</v>
      </c>
      <c r="AF426" s="15" t="n">
        <v>1</v>
      </c>
      <c r="AG426" s="15" t="n">
        <v>0</v>
      </c>
      <c r="AH426" s="15" t="n">
        <v>0</v>
      </c>
    </row>
    <row r="427" customFormat="false" ht="46.25" hidden="false" customHeight="false" outlineLevel="0" collapsed="false">
      <c r="A427" s="15" t="s">
        <v>3175</v>
      </c>
      <c r="B427" s="15" t="s">
        <v>37</v>
      </c>
      <c r="C427" s="15" t="s">
        <v>3161</v>
      </c>
      <c r="D427" s="15" t="n">
        <v>1</v>
      </c>
      <c r="E427" s="15" t="s">
        <v>3162</v>
      </c>
      <c r="F427" s="15" t="n">
        <v>2</v>
      </c>
      <c r="G427" s="15" t="s">
        <v>197</v>
      </c>
      <c r="H427" s="15" t="s">
        <v>142</v>
      </c>
      <c r="I427" s="3" t="s">
        <v>3176</v>
      </c>
      <c r="J427" s="3" t="s">
        <v>3177</v>
      </c>
      <c r="K427" s="15" t="s">
        <v>133</v>
      </c>
      <c r="L427" s="16" t="s">
        <v>7</v>
      </c>
      <c r="M427" s="15" t="s">
        <v>68</v>
      </c>
      <c r="N427" s="15" t="s">
        <v>84</v>
      </c>
      <c r="O427" s="15" t="s">
        <v>2307</v>
      </c>
      <c r="P427" s="15" t="s">
        <v>135</v>
      </c>
      <c r="Q427" s="15" t="s">
        <v>136</v>
      </c>
      <c r="R427" s="15" t="s">
        <v>135</v>
      </c>
      <c r="S427" s="15"/>
      <c r="T427" s="15"/>
      <c r="U427" s="3" t="s">
        <v>3178</v>
      </c>
      <c r="V427" s="3" t="s">
        <v>3179</v>
      </c>
      <c r="W427" s="3" t="s">
        <v>3180</v>
      </c>
      <c r="X427" s="3" t="s">
        <v>3181</v>
      </c>
      <c r="Y427" s="15" t="n">
        <v>0</v>
      </c>
      <c r="Z427" s="15" t="n">
        <v>0</v>
      </c>
      <c r="AA427" s="15" t="n">
        <v>0</v>
      </c>
      <c r="AB427" s="15" t="n">
        <v>1</v>
      </c>
      <c r="AC427" s="15" t="n">
        <v>0</v>
      </c>
      <c r="AD427" s="15" t="n">
        <v>0</v>
      </c>
      <c r="AE427" s="15" t="n">
        <v>0</v>
      </c>
      <c r="AF427" s="15" t="n">
        <v>1</v>
      </c>
      <c r="AG427" s="15" t="n">
        <v>0</v>
      </c>
      <c r="AH427" s="15" t="n">
        <v>1</v>
      </c>
    </row>
    <row r="428" customFormat="false" ht="46.25" hidden="false" customHeight="false" outlineLevel="0" collapsed="false">
      <c r="A428" s="15" t="s">
        <v>3182</v>
      </c>
      <c r="B428" s="15" t="s">
        <v>37</v>
      </c>
      <c r="C428" s="15" t="s">
        <v>3183</v>
      </c>
      <c r="D428" s="15" t="n">
        <v>1</v>
      </c>
      <c r="E428" s="15" t="s">
        <v>3184</v>
      </c>
      <c r="F428" s="15" t="n">
        <v>0</v>
      </c>
      <c r="G428" s="15" t="s">
        <v>129</v>
      </c>
      <c r="H428" s="15" t="s">
        <v>130</v>
      </c>
      <c r="I428" s="3" t="s">
        <v>3163</v>
      </c>
      <c r="J428" s="3" t="s">
        <v>3185</v>
      </c>
      <c r="K428" s="15" t="s">
        <v>133</v>
      </c>
      <c r="L428" s="16" t="s">
        <v>7</v>
      </c>
      <c r="M428" s="15" t="s">
        <v>68</v>
      </c>
      <c r="N428" s="15" t="s">
        <v>84</v>
      </c>
      <c r="O428" s="15" t="s">
        <v>3186</v>
      </c>
      <c r="P428" s="15" t="s">
        <v>185</v>
      </c>
      <c r="Q428" s="15" t="s">
        <v>129</v>
      </c>
      <c r="R428" s="15" t="s">
        <v>135</v>
      </c>
      <c r="S428" s="15"/>
      <c r="T428" s="15"/>
      <c r="U428" s="3" t="s">
        <v>3187</v>
      </c>
      <c r="V428" s="3" t="s">
        <v>3188</v>
      </c>
      <c r="W428" s="3"/>
      <c r="X428" s="3" t="s">
        <v>3189</v>
      </c>
      <c r="Y428" s="15" t="n">
        <v>0</v>
      </c>
      <c r="Z428" s="15" t="n">
        <v>0</v>
      </c>
      <c r="AA428" s="15" t="n">
        <v>0</v>
      </c>
      <c r="AB428" s="15" t="n">
        <v>1</v>
      </c>
      <c r="AC428" s="15" t="n">
        <v>0</v>
      </c>
      <c r="AD428" s="15" t="n">
        <v>0</v>
      </c>
      <c r="AE428" s="15" t="n">
        <v>1</v>
      </c>
      <c r="AF428" s="15" t="n">
        <v>0</v>
      </c>
      <c r="AG428" s="15" t="n">
        <v>0</v>
      </c>
      <c r="AH428" s="15" t="n">
        <v>0</v>
      </c>
    </row>
    <row r="429" customFormat="false" ht="35.05" hidden="false" customHeight="false" outlineLevel="0" collapsed="false">
      <c r="A429" s="15" t="s">
        <v>3190</v>
      </c>
      <c r="B429" s="15" t="s">
        <v>37</v>
      </c>
      <c r="C429" s="15" t="s">
        <v>3183</v>
      </c>
      <c r="D429" s="15" t="n">
        <v>1</v>
      </c>
      <c r="E429" s="15" t="s">
        <v>3184</v>
      </c>
      <c r="F429" s="15" t="n">
        <v>1</v>
      </c>
      <c r="G429" s="15" t="s">
        <v>307</v>
      </c>
      <c r="H429" s="15" t="s">
        <v>308</v>
      </c>
      <c r="I429" s="3" t="s">
        <v>3191</v>
      </c>
      <c r="J429" s="3" t="s">
        <v>3192</v>
      </c>
      <c r="K429" s="15" t="s">
        <v>145</v>
      </c>
      <c r="L429" s="16" t="s">
        <v>7</v>
      </c>
      <c r="M429" s="15" t="s">
        <v>66</v>
      </c>
      <c r="N429" s="15" t="s">
        <v>88</v>
      </c>
      <c r="O429" s="15" t="s">
        <v>3193</v>
      </c>
      <c r="P429" s="15" t="s">
        <v>135</v>
      </c>
      <c r="Q429" s="15" t="s">
        <v>129</v>
      </c>
      <c r="R429" s="15" t="s">
        <v>135</v>
      </c>
      <c r="S429" s="15"/>
      <c r="T429" s="15"/>
      <c r="U429" s="3" t="s">
        <v>3194</v>
      </c>
      <c r="V429" s="3" t="s">
        <v>3195</v>
      </c>
      <c r="W429" s="3"/>
      <c r="X429" s="3" t="s">
        <v>3196</v>
      </c>
      <c r="Y429" s="15" t="n">
        <v>0</v>
      </c>
      <c r="Z429" s="15" t="n">
        <v>0</v>
      </c>
      <c r="AA429" s="15" t="n">
        <v>0</v>
      </c>
      <c r="AB429" s="15" t="n">
        <v>0</v>
      </c>
      <c r="AC429" s="15" t="n">
        <v>0</v>
      </c>
      <c r="AD429" s="15" t="n">
        <v>0</v>
      </c>
      <c r="AE429" s="15" t="n">
        <v>1</v>
      </c>
      <c r="AF429" s="15" t="n">
        <v>1</v>
      </c>
      <c r="AG429" s="15" t="n">
        <v>1</v>
      </c>
      <c r="AH429" s="15" t="n">
        <v>0</v>
      </c>
    </row>
    <row r="430" customFormat="false" ht="46.25" hidden="false" customHeight="false" outlineLevel="0" collapsed="false">
      <c r="A430" s="15" t="s">
        <v>3197</v>
      </c>
      <c r="B430" s="15" t="s">
        <v>37</v>
      </c>
      <c r="C430" s="15" t="s">
        <v>3183</v>
      </c>
      <c r="D430" s="15" t="n">
        <v>1</v>
      </c>
      <c r="E430" s="15" t="s">
        <v>3184</v>
      </c>
      <c r="F430" s="15" t="n">
        <v>2</v>
      </c>
      <c r="G430" s="15" t="s">
        <v>197</v>
      </c>
      <c r="H430" s="15" t="s">
        <v>142</v>
      </c>
      <c r="I430" s="3" t="s">
        <v>3198</v>
      </c>
      <c r="J430" s="3" t="s">
        <v>3199</v>
      </c>
      <c r="K430" s="15" t="s">
        <v>133</v>
      </c>
      <c r="L430" s="16" t="s">
        <v>7</v>
      </c>
      <c r="M430" s="15" t="s">
        <v>68</v>
      </c>
      <c r="N430" s="15" t="s">
        <v>82</v>
      </c>
      <c r="O430" s="15" t="s">
        <v>192</v>
      </c>
      <c r="P430" s="15" t="s">
        <v>135</v>
      </c>
      <c r="Q430" s="15" t="s">
        <v>129</v>
      </c>
      <c r="R430" s="15" t="s">
        <v>135</v>
      </c>
      <c r="S430" s="15"/>
      <c r="T430" s="15"/>
      <c r="U430" s="3" t="s">
        <v>3200</v>
      </c>
      <c r="V430" s="3" t="s">
        <v>3201</v>
      </c>
      <c r="W430" s="3" t="s">
        <v>3202</v>
      </c>
      <c r="X430" s="3" t="s">
        <v>3203</v>
      </c>
      <c r="Y430" s="15" t="n">
        <v>0</v>
      </c>
      <c r="Z430" s="15" t="n">
        <v>1</v>
      </c>
      <c r="AA430" s="15" t="n">
        <v>0</v>
      </c>
      <c r="AB430" s="15" t="n">
        <v>1</v>
      </c>
      <c r="AC430" s="15" t="n">
        <v>0</v>
      </c>
      <c r="AD430" s="15" t="n">
        <v>0</v>
      </c>
      <c r="AE430" s="15" t="n">
        <v>0</v>
      </c>
      <c r="AF430" s="15" t="n">
        <v>1</v>
      </c>
      <c r="AG430" s="15" t="n">
        <v>0</v>
      </c>
      <c r="AH430" s="15" t="n">
        <v>0</v>
      </c>
    </row>
    <row r="431" customFormat="false" ht="35.05" hidden="false" customHeight="false" outlineLevel="0" collapsed="false">
      <c r="A431" s="15" t="s">
        <v>3204</v>
      </c>
      <c r="B431" s="15" t="s">
        <v>37</v>
      </c>
      <c r="C431" s="15" t="s">
        <v>3183</v>
      </c>
      <c r="D431" s="15" t="n">
        <v>3</v>
      </c>
      <c r="E431" s="15" t="s">
        <v>3205</v>
      </c>
      <c r="F431" s="15" t="n">
        <v>0</v>
      </c>
      <c r="G431" s="15" t="s">
        <v>129</v>
      </c>
      <c r="H431" s="15" t="s">
        <v>130</v>
      </c>
      <c r="I431" s="3" t="s">
        <v>3206</v>
      </c>
      <c r="J431" s="3" t="s">
        <v>3207</v>
      </c>
      <c r="K431" s="15" t="s">
        <v>133</v>
      </c>
      <c r="L431" s="18" t="s">
        <v>5</v>
      </c>
      <c r="M431" s="15" t="s">
        <v>426</v>
      </c>
      <c r="N431" s="15" t="s">
        <v>426</v>
      </c>
      <c r="O431" s="15"/>
      <c r="P431" s="15" t="s">
        <v>185</v>
      </c>
      <c r="Q431" s="15" t="s">
        <v>129</v>
      </c>
      <c r="R431" s="15" t="s">
        <v>185</v>
      </c>
      <c r="S431" s="15"/>
      <c r="T431" s="15"/>
      <c r="U431" s="3" t="s">
        <v>3208</v>
      </c>
      <c r="V431" s="3" t="s">
        <v>3209</v>
      </c>
      <c r="W431" s="3"/>
      <c r="X431" s="3"/>
      <c r="Y431" s="15" t="n">
        <v>0</v>
      </c>
      <c r="Z431" s="15" t="n">
        <v>0</v>
      </c>
      <c r="AA431" s="15" t="n">
        <v>0</v>
      </c>
      <c r="AB431" s="15" t="n">
        <v>0</v>
      </c>
      <c r="AC431" s="15" t="n">
        <v>0</v>
      </c>
      <c r="AD431" s="15" t="n">
        <v>0</v>
      </c>
      <c r="AE431" s="15" t="n">
        <v>0</v>
      </c>
      <c r="AF431" s="15" t="n">
        <v>0</v>
      </c>
      <c r="AG431" s="15" t="n">
        <v>0</v>
      </c>
      <c r="AH431" s="15" t="n">
        <v>0</v>
      </c>
    </row>
    <row r="432" customFormat="false" ht="35.05" hidden="false" customHeight="false" outlineLevel="0" collapsed="false">
      <c r="A432" s="15" t="s">
        <v>3210</v>
      </c>
      <c r="B432" s="15" t="s">
        <v>37</v>
      </c>
      <c r="C432" s="15" t="s">
        <v>3183</v>
      </c>
      <c r="D432" s="15" t="n">
        <v>3</v>
      </c>
      <c r="E432" s="15" t="s">
        <v>3205</v>
      </c>
      <c r="F432" s="15" t="n">
        <v>1</v>
      </c>
      <c r="G432" s="15" t="s">
        <v>141</v>
      </c>
      <c r="H432" s="15" t="s">
        <v>142</v>
      </c>
      <c r="I432" s="3" t="s">
        <v>3211</v>
      </c>
      <c r="J432" s="3" t="s">
        <v>3212</v>
      </c>
      <c r="K432" s="15" t="s">
        <v>145</v>
      </c>
      <c r="L432" s="16" t="s">
        <v>7</v>
      </c>
      <c r="M432" s="15" t="s">
        <v>68</v>
      </c>
      <c r="N432" s="15" t="s">
        <v>82</v>
      </c>
      <c r="O432" s="15" t="s">
        <v>215</v>
      </c>
      <c r="P432" s="15" t="s">
        <v>135</v>
      </c>
      <c r="Q432" s="15" t="s">
        <v>129</v>
      </c>
      <c r="R432" s="15" t="s">
        <v>135</v>
      </c>
      <c r="S432" s="15"/>
      <c r="T432" s="15"/>
      <c r="U432" s="3" t="s">
        <v>3213</v>
      </c>
      <c r="V432" s="3" t="s">
        <v>3214</v>
      </c>
      <c r="W432" s="3"/>
      <c r="X432" s="3" t="s">
        <v>3215</v>
      </c>
      <c r="Y432" s="15" t="n">
        <v>0</v>
      </c>
      <c r="Z432" s="15" t="n">
        <v>1</v>
      </c>
      <c r="AA432" s="15" t="n">
        <v>0</v>
      </c>
      <c r="AB432" s="15" t="n">
        <v>0</v>
      </c>
      <c r="AC432" s="15" t="n">
        <v>0</v>
      </c>
      <c r="AD432" s="15" t="n">
        <v>0</v>
      </c>
      <c r="AE432" s="15" t="n">
        <v>0</v>
      </c>
      <c r="AF432" s="15" t="n">
        <v>1</v>
      </c>
      <c r="AG432" s="15" t="n">
        <v>0</v>
      </c>
      <c r="AH432" s="15" t="n">
        <v>0</v>
      </c>
    </row>
    <row r="433" customFormat="false" ht="46.25" hidden="false" customHeight="false" outlineLevel="0" collapsed="false">
      <c r="A433" s="15" t="s">
        <v>3216</v>
      </c>
      <c r="B433" s="15" t="s">
        <v>37</v>
      </c>
      <c r="C433" s="15" t="s">
        <v>3183</v>
      </c>
      <c r="D433" s="15" t="n">
        <v>3</v>
      </c>
      <c r="E433" s="15" t="s">
        <v>3205</v>
      </c>
      <c r="F433" s="15" t="n">
        <v>2</v>
      </c>
      <c r="G433" s="15" t="s">
        <v>152</v>
      </c>
      <c r="H433" s="15" t="s">
        <v>142</v>
      </c>
      <c r="I433" s="3" t="s">
        <v>3211</v>
      </c>
      <c r="J433" s="3" t="s">
        <v>3217</v>
      </c>
      <c r="K433" s="15" t="s">
        <v>133</v>
      </c>
      <c r="L433" s="16" t="s">
        <v>7</v>
      </c>
      <c r="M433" s="15" t="s">
        <v>66</v>
      </c>
      <c r="N433" s="15" t="s">
        <v>88</v>
      </c>
      <c r="O433" s="15" t="s">
        <v>1790</v>
      </c>
      <c r="P433" s="15" t="s">
        <v>135</v>
      </c>
      <c r="Q433" s="15" t="s">
        <v>129</v>
      </c>
      <c r="R433" s="15" t="s">
        <v>135</v>
      </c>
      <c r="S433" s="15"/>
      <c r="T433" s="15"/>
      <c r="U433" s="3" t="s">
        <v>3218</v>
      </c>
      <c r="V433" s="3" t="s">
        <v>3219</v>
      </c>
      <c r="W433" s="3"/>
      <c r="X433" s="3" t="s">
        <v>3220</v>
      </c>
      <c r="Y433" s="15" t="n">
        <v>0</v>
      </c>
      <c r="Z433" s="15" t="n">
        <v>0</v>
      </c>
      <c r="AA433" s="15" t="n">
        <v>0</v>
      </c>
      <c r="AB433" s="15" t="n">
        <v>0</v>
      </c>
      <c r="AC433" s="15" t="n">
        <v>0</v>
      </c>
      <c r="AD433" s="15" t="n">
        <v>0</v>
      </c>
      <c r="AE433" s="15" t="n">
        <v>1</v>
      </c>
      <c r="AF433" s="15" t="n">
        <v>1</v>
      </c>
      <c r="AG433" s="15" t="n">
        <v>0</v>
      </c>
      <c r="AH433" s="15" t="n">
        <v>0</v>
      </c>
    </row>
    <row r="434" customFormat="false" ht="35.05" hidden="false" customHeight="false" outlineLevel="0" collapsed="false">
      <c r="A434" s="15" t="s">
        <v>3221</v>
      </c>
      <c r="B434" s="15" t="s">
        <v>37</v>
      </c>
      <c r="C434" s="15" t="s">
        <v>3222</v>
      </c>
      <c r="D434" s="15" t="n">
        <v>1</v>
      </c>
      <c r="E434" s="15" t="s">
        <v>3223</v>
      </c>
      <c r="F434" s="15" t="n">
        <v>0</v>
      </c>
      <c r="G434" s="15" t="s">
        <v>129</v>
      </c>
      <c r="H434" s="15" t="s">
        <v>130</v>
      </c>
      <c r="I434" s="3" t="s">
        <v>3224</v>
      </c>
      <c r="J434" s="3" t="s">
        <v>3225</v>
      </c>
      <c r="K434" s="15" t="s">
        <v>133</v>
      </c>
      <c r="L434" s="16" t="s">
        <v>7</v>
      </c>
      <c r="M434" s="15" t="s">
        <v>66</v>
      </c>
      <c r="N434" s="15" t="s">
        <v>90</v>
      </c>
      <c r="O434" s="15" t="s">
        <v>90</v>
      </c>
      <c r="P434" s="15" t="s">
        <v>185</v>
      </c>
      <c r="Q434" s="15" t="s">
        <v>129</v>
      </c>
      <c r="R434" s="15" t="s">
        <v>185</v>
      </c>
      <c r="S434" s="15"/>
      <c r="T434" s="15"/>
      <c r="U434" s="3" t="s">
        <v>3226</v>
      </c>
      <c r="V434" s="3" t="s">
        <v>3227</v>
      </c>
      <c r="W434" s="3" t="s">
        <v>3228</v>
      </c>
      <c r="X434" s="3" t="s">
        <v>3229</v>
      </c>
      <c r="Y434" s="15" t="n">
        <v>0</v>
      </c>
      <c r="Z434" s="15" t="n">
        <v>0</v>
      </c>
      <c r="AA434" s="15" t="n">
        <v>0</v>
      </c>
      <c r="AB434" s="15" t="n">
        <v>0</v>
      </c>
      <c r="AC434" s="15" t="n">
        <v>0</v>
      </c>
      <c r="AD434" s="15" t="n">
        <v>0</v>
      </c>
      <c r="AE434" s="15" t="n">
        <v>0</v>
      </c>
      <c r="AF434" s="15" t="n">
        <v>0</v>
      </c>
      <c r="AG434" s="15" t="n">
        <v>0</v>
      </c>
      <c r="AH434" s="15" t="n">
        <v>1</v>
      </c>
    </row>
    <row r="435" customFormat="false" ht="35.05" hidden="false" customHeight="false" outlineLevel="0" collapsed="false">
      <c r="A435" s="15" t="s">
        <v>3230</v>
      </c>
      <c r="B435" s="15" t="s">
        <v>37</v>
      </c>
      <c r="C435" s="15" t="s">
        <v>3222</v>
      </c>
      <c r="D435" s="15" t="n">
        <v>1</v>
      </c>
      <c r="E435" s="15" t="s">
        <v>3223</v>
      </c>
      <c r="F435" s="15" t="n">
        <v>1</v>
      </c>
      <c r="G435" s="15" t="s">
        <v>197</v>
      </c>
      <c r="H435" s="15" t="s">
        <v>142</v>
      </c>
      <c r="I435" s="3" t="s">
        <v>3231</v>
      </c>
      <c r="J435" s="3" t="s">
        <v>3232</v>
      </c>
      <c r="K435" s="15" t="s">
        <v>145</v>
      </c>
      <c r="L435" s="16" t="s">
        <v>7</v>
      </c>
      <c r="M435" s="15" t="s">
        <v>66</v>
      </c>
      <c r="N435" s="15" t="s">
        <v>88</v>
      </c>
      <c r="O435" s="15" t="s">
        <v>231</v>
      </c>
      <c r="P435" s="15" t="s">
        <v>135</v>
      </c>
      <c r="Q435" s="15" t="s">
        <v>129</v>
      </c>
      <c r="R435" s="15" t="s">
        <v>185</v>
      </c>
      <c r="S435" s="15"/>
      <c r="T435" s="15"/>
      <c r="U435" s="3" t="s">
        <v>3233</v>
      </c>
      <c r="V435" s="3" t="s">
        <v>3234</v>
      </c>
      <c r="W435" s="3" t="s">
        <v>3235</v>
      </c>
      <c r="X435" s="3" t="s">
        <v>3236</v>
      </c>
      <c r="Y435" s="15" t="n">
        <v>0</v>
      </c>
      <c r="Z435" s="15" t="n">
        <v>0</v>
      </c>
      <c r="AA435" s="15" t="n">
        <v>0</v>
      </c>
      <c r="AB435" s="15" t="n">
        <v>0</v>
      </c>
      <c r="AC435" s="15" t="n">
        <v>0</v>
      </c>
      <c r="AD435" s="15" t="n">
        <v>0</v>
      </c>
      <c r="AE435" s="15" t="n">
        <v>0</v>
      </c>
      <c r="AF435" s="15" t="n">
        <v>1</v>
      </c>
      <c r="AG435" s="15" t="n">
        <v>0</v>
      </c>
      <c r="AH435" s="15" t="n">
        <v>1</v>
      </c>
    </row>
    <row r="436" customFormat="false" ht="23.85" hidden="false" customHeight="false" outlineLevel="0" collapsed="false">
      <c r="A436" s="15" t="s">
        <v>3237</v>
      </c>
      <c r="B436" s="15" t="s">
        <v>37</v>
      </c>
      <c r="C436" s="15" t="s">
        <v>3222</v>
      </c>
      <c r="D436" s="15" t="n">
        <v>1</v>
      </c>
      <c r="E436" s="15" t="s">
        <v>3223</v>
      </c>
      <c r="F436" s="15" t="n">
        <v>2</v>
      </c>
      <c r="G436" s="15" t="s">
        <v>141</v>
      </c>
      <c r="H436" s="15" t="s">
        <v>142</v>
      </c>
      <c r="I436" s="3" t="s">
        <v>3238</v>
      </c>
      <c r="J436" s="3" t="s">
        <v>3239</v>
      </c>
      <c r="K436" s="15" t="s">
        <v>133</v>
      </c>
      <c r="L436" s="16" t="s">
        <v>7</v>
      </c>
      <c r="M436" s="15" t="s">
        <v>66</v>
      </c>
      <c r="N436" s="15" t="s">
        <v>88</v>
      </c>
      <c r="O436" s="15" t="s">
        <v>231</v>
      </c>
      <c r="P436" s="15" t="s">
        <v>135</v>
      </c>
      <c r="Q436" s="15" t="s">
        <v>129</v>
      </c>
      <c r="R436" s="15" t="s">
        <v>185</v>
      </c>
      <c r="S436" s="15"/>
      <c r="T436" s="15"/>
      <c r="U436" s="3" t="s">
        <v>3240</v>
      </c>
      <c r="V436" s="3" t="s">
        <v>3241</v>
      </c>
      <c r="W436" s="3" t="s">
        <v>3242</v>
      </c>
      <c r="X436" s="3" t="s">
        <v>3243</v>
      </c>
      <c r="Y436" s="15" t="n">
        <v>0</v>
      </c>
      <c r="Z436" s="15" t="n">
        <v>0</v>
      </c>
      <c r="AA436" s="15" t="n">
        <v>0</v>
      </c>
      <c r="AB436" s="15" t="n">
        <v>0</v>
      </c>
      <c r="AC436" s="15" t="n">
        <v>0</v>
      </c>
      <c r="AD436" s="15" t="n">
        <v>0</v>
      </c>
      <c r="AE436" s="15" t="n">
        <v>0</v>
      </c>
      <c r="AF436" s="15" t="n">
        <v>1</v>
      </c>
      <c r="AG436" s="15" t="n">
        <v>0</v>
      </c>
      <c r="AH436" s="15" t="n">
        <v>1</v>
      </c>
    </row>
    <row r="437" customFormat="false" ht="23.85" hidden="false" customHeight="false" outlineLevel="0" collapsed="false">
      <c r="A437" s="15" t="s">
        <v>3244</v>
      </c>
      <c r="B437" s="15" t="s">
        <v>37</v>
      </c>
      <c r="C437" s="15" t="s">
        <v>3245</v>
      </c>
      <c r="D437" s="15" t="n">
        <v>1</v>
      </c>
      <c r="E437" s="15" t="s">
        <v>3246</v>
      </c>
      <c r="F437" s="15" t="n">
        <v>0</v>
      </c>
      <c r="G437" s="15" t="s">
        <v>129</v>
      </c>
      <c r="H437" s="15" t="s">
        <v>130</v>
      </c>
      <c r="I437" s="3" t="s">
        <v>3247</v>
      </c>
      <c r="J437" s="3" t="s">
        <v>3248</v>
      </c>
      <c r="K437" s="15" t="s">
        <v>133</v>
      </c>
      <c r="L437" s="18" t="s">
        <v>5</v>
      </c>
      <c r="M437" s="15" t="s">
        <v>426</v>
      </c>
      <c r="N437" s="15" t="s">
        <v>426</v>
      </c>
      <c r="O437" s="15"/>
      <c r="P437" s="15" t="s">
        <v>185</v>
      </c>
      <c r="Q437" s="15" t="s">
        <v>129</v>
      </c>
      <c r="R437" s="15" t="s">
        <v>185</v>
      </c>
      <c r="S437" s="15"/>
      <c r="T437" s="15"/>
      <c r="U437" s="3" t="s">
        <v>3249</v>
      </c>
      <c r="V437" s="3" t="s">
        <v>3250</v>
      </c>
      <c r="W437" s="3"/>
      <c r="X437" s="3"/>
      <c r="Y437" s="15" t="n">
        <v>0</v>
      </c>
      <c r="Z437" s="15" t="n">
        <v>0</v>
      </c>
      <c r="AA437" s="15" t="n">
        <v>0</v>
      </c>
      <c r="AB437" s="15" t="n">
        <v>0</v>
      </c>
      <c r="AC437" s="15" t="n">
        <v>0</v>
      </c>
      <c r="AD437" s="15" t="n">
        <v>0</v>
      </c>
      <c r="AE437" s="15" t="n">
        <v>0</v>
      </c>
      <c r="AF437" s="15" t="n">
        <v>0</v>
      </c>
      <c r="AG437" s="15" t="n">
        <v>0</v>
      </c>
      <c r="AH437" s="15" t="n">
        <v>0</v>
      </c>
    </row>
    <row r="438" customFormat="false" ht="23.85" hidden="false" customHeight="false" outlineLevel="0" collapsed="false">
      <c r="A438" s="15" t="s">
        <v>3251</v>
      </c>
      <c r="B438" s="15" t="s">
        <v>37</v>
      </c>
      <c r="C438" s="15" t="s">
        <v>3245</v>
      </c>
      <c r="D438" s="15" t="n">
        <v>1</v>
      </c>
      <c r="E438" s="15" t="s">
        <v>3246</v>
      </c>
      <c r="F438" s="15" t="n">
        <v>1</v>
      </c>
      <c r="G438" s="15" t="s">
        <v>141</v>
      </c>
      <c r="H438" s="15" t="s">
        <v>142</v>
      </c>
      <c r="I438" s="3" t="s">
        <v>3252</v>
      </c>
      <c r="J438" s="3" t="s">
        <v>3253</v>
      </c>
      <c r="K438" s="15" t="s">
        <v>133</v>
      </c>
      <c r="L438" s="16" t="s">
        <v>7</v>
      </c>
      <c r="M438" s="15" t="s">
        <v>68</v>
      </c>
      <c r="N438" s="15" t="s">
        <v>82</v>
      </c>
      <c r="O438" s="15" t="s">
        <v>215</v>
      </c>
      <c r="P438" s="15" t="s">
        <v>135</v>
      </c>
      <c r="Q438" s="15" t="s">
        <v>129</v>
      </c>
      <c r="R438" s="15" t="s">
        <v>135</v>
      </c>
      <c r="S438" s="15"/>
      <c r="T438" s="15"/>
      <c r="U438" s="3" t="s">
        <v>3254</v>
      </c>
      <c r="V438" s="3" t="s">
        <v>3255</v>
      </c>
      <c r="W438" s="3"/>
      <c r="X438" s="3" t="s">
        <v>3256</v>
      </c>
      <c r="Y438" s="15" t="n">
        <v>0</v>
      </c>
      <c r="Z438" s="15" t="n">
        <v>1</v>
      </c>
      <c r="AA438" s="15" t="n">
        <v>0</v>
      </c>
      <c r="AB438" s="15" t="n">
        <v>0</v>
      </c>
      <c r="AC438" s="15" t="n">
        <v>0</v>
      </c>
      <c r="AD438" s="15" t="n">
        <v>0</v>
      </c>
      <c r="AE438" s="15" t="n">
        <v>0</v>
      </c>
      <c r="AF438" s="15" t="n">
        <v>1</v>
      </c>
      <c r="AG438" s="15" t="n">
        <v>0</v>
      </c>
      <c r="AH438" s="15" t="n">
        <v>0</v>
      </c>
    </row>
    <row r="439" customFormat="false" ht="35.05" hidden="false" customHeight="false" outlineLevel="0" collapsed="false">
      <c r="A439" s="15" t="s">
        <v>3257</v>
      </c>
      <c r="B439" s="15" t="s">
        <v>37</v>
      </c>
      <c r="C439" s="15" t="s">
        <v>3245</v>
      </c>
      <c r="D439" s="15" t="n">
        <v>1</v>
      </c>
      <c r="E439" s="15" t="s">
        <v>3246</v>
      </c>
      <c r="F439" s="15" t="n">
        <v>2</v>
      </c>
      <c r="G439" s="15" t="s">
        <v>197</v>
      </c>
      <c r="H439" s="15" t="s">
        <v>142</v>
      </c>
      <c r="I439" s="3" t="s">
        <v>3258</v>
      </c>
      <c r="J439" s="3" t="s">
        <v>3259</v>
      </c>
      <c r="K439" s="15" t="s">
        <v>133</v>
      </c>
      <c r="L439" s="16" t="s">
        <v>7</v>
      </c>
      <c r="M439" s="15" t="s">
        <v>68</v>
      </c>
      <c r="N439" s="15" t="s">
        <v>82</v>
      </c>
      <c r="O439" s="15" t="s">
        <v>215</v>
      </c>
      <c r="P439" s="15" t="s">
        <v>135</v>
      </c>
      <c r="Q439" s="15" t="s">
        <v>129</v>
      </c>
      <c r="R439" s="15" t="s">
        <v>135</v>
      </c>
      <c r="S439" s="15"/>
      <c r="T439" s="15"/>
      <c r="U439" s="3" t="s">
        <v>3260</v>
      </c>
      <c r="V439" s="3" t="s">
        <v>3261</v>
      </c>
      <c r="W439" s="3"/>
      <c r="X439" s="3" t="s">
        <v>3262</v>
      </c>
      <c r="Y439" s="15" t="n">
        <v>0</v>
      </c>
      <c r="Z439" s="15" t="n">
        <v>1</v>
      </c>
      <c r="AA439" s="15" t="n">
        <v>0</v>
      </c>
      <c r="AB439" s="15" t="n">
        <v>0</v>
      </c>
      <c r="AC439" s="15" t="n">
        <v>0</v>
      </c>
      <c r="AD439" s="15" t="n">
        <v>0</v>
      </c>
      <c r="AE439" s="15" t="n">
        <v>0</v>
      </c>
      <c r="AF439" s="15" t="n">
        <v>1</v>
      </c>
      <c r="AG439" s="15" t="n">
        <v>0</v>
      </c>
      <c r="AH439" s="15" t="n">
        <v>0</v>
      </c>
    </row>
    <row r="440" customFormat="false" ht="35.05" hidden="false" customHeight="false" outlineLevel="0" collapsed="false">
      <c r="A440" s="15" t="s">
        <v>3263</v>
      </c>
      <c r="B440" s="15" t="s">
        <v>37</v>
      </c>
      <c r="C440" s="15" t="s">
        <v>3264</v>
      </c>
      <c r="D440" s="15" t="n">
        <v>1</v>
      </c>
      <c r="E440" s="15" t="s">
        <v>3265</v>
      </c>
      <c r="F440" s="15" t="n">
        <v>0</v>
      </c>
      <c r="G440" s="15" t="s">
        <v>129</v>
      </c>
      <c r="H440" s="15" t="s">
        <v>130</v>
      </c>
      <c r="I440" s="3" t="s">
        <v>3266</v>
      </c>
      <c r="J440" s="3" t="s">
        <v>3267</v>
      </c>
      <c r="K440" s="15" t="s">
        <v>133</v>
      </c>
      <c r="L440" s="18" t="s">
        <v>5</v>
      </c>
      <c r="M440" s="15" t="s">
        <v>426</v>
      </c>
      <c r="N440" s="15" t="s">
        <v>426</v>
      </c>
      <c r="O440" s="15"/>
      <c r="P440" s="15" t="s">
        <v>185</v>
      </c>
      <c r="Q440" s="15" t="s">
        <v>129</v>
      </c>
      <c r="R440" s="15" t="s">
        <v>185</v>
      </c>
      <c r="S440" s="15"/>
      <c r="T440" s="15"/>
      <c r="U440" s="3" t="s">
        <v>3268</v>
      </c>
      <c r="V440" s="3" t="s">
        <v>3269</v>
      </c>
      <c r="W440" s="3"/>
      <c r="X440" s="3"/>
      <c r="Y440" s="15" t="n">
        <v>0</v>
      </c>
      <c r="Z440" s="15" t="n">
        <v>0</v>
      </c>
      <c r="AA440" s="15" t="n">
        <v>0</v>
      </c>
      <c r="AB440" s="15" t="n">
        <v>0</v>
      </c>
      <c r="AC440" s="15" t="n">
        <v>0</v>
      </c>
      <c r="AD440" s="15" t="n">
        <v>0</v>
      </c>
      <c r="AE440" s="15" t="n">
        <v>0</v>
      </c>
      <c r="AF440" s="15" t="n">
        <v>0</v>
      </c>
      <c r="AG440" s="15" t="n">
        <v>0</v>
      </c>
      <c r="AH440" s="15" t="n">
        <v>0</v>
      </c>
    </row>
    <row r="441" customFormat="false" ht="23.85" hidden="false" customHeight="false" outlineLevel="0" collapsed="false">
      <c r="A441" s="15" t="s">
        <v>3270</v>
      </c>
      <c r="B441" s="15" t="s">
        <v>37</v>
      </c>
      <c r="C441" s="15" t="s">
        <v>3264</v>
      </c>
      <c r="D441" s="15" t="n">
        <v>1</v>
      </c>
      <c r="E441" s="15" t="s">
        <v>3265</v>
      </c>
      <c r="F441" s="15" t="n">
        <v>1</v>
      </c>
      <c r="G441" s="15" t="s">
        <v>141</v>
      </c>
      <c r="H441" s="15" t="s">
        <v>142</v>
      </c>
      <c r="I441" s="3" t="s">
        <v>3271</v>
      </c>
      <c r="J441" s="3" t="s">
        <v>3272</v>
      </c>
      <c r="K441" s="15" t="s">
        <v>145</v>
      </c>
      <c r="L441" s="16" t="s">
        <v>7</v>
      </c>
      <c r="M441" s="15" t="s">
        <v>66</v>
      </c>
      <c r="N441" s="15" t="s">
        <v>88</v>
      </c>
      <c r="O441" s="15" t="s">
        <v>822</v>
      </c>
      <c r="P441" s="15" t="s">
        <v>135</v>
      </c>
      <c r="Q441" s="15" t="s">
        <v>129</v>
      </c>
      <c r="R441" s="15" t="s">
        <v>135</v>
      </c>
      <c r="S441" s="15"/>
      <c r="T441" s="15"/>
      <c r="U441" s="3" t="s">
        <v>3273</v>
      </c>
      <c r="V441" s="3" t="s">
        <v>3274</v>
      </c>
      <c r="W441" s="3" t="s">
        <v>3275</v>
      </c>
      <c r="X441" s="3" t="s">
        <v>3276</v>
      </c>
      <c r="Y441" s="15" t="n">
        <v>0</v>
      </c>
      <c r="Z441" s="15" t="n">
        <v>0</v>
      </c>
      <c r="AA441" s="15" t="n">
        <v>0</v>
      </c>
      <c r="AB441" s="15" t="n">
        <v>0</v>
      </c>
      <c r="AC441" s="15" t="n">
        <v>0</v>
      </c>
      <c r="AD441" s="15" t="n">
        <v>1</v>
      </c>
      <c r="AE441" s="15" t="n">
        <v>0</v>
      </c>
      <c r="AF441" s="15" t="n">
        <v>1</v>
      </c>
      <c r="AG441" s="15" t="n">
        <v>1</v>
      </c>
      <c r="AH441" s="15" t="n">
        <v>0</v>
      </c>
    </row>
    <row r="442" customFormat="false" ht="46.25" hidden="false" customHeight="false" outlineLevel="0" collapsed="false">
      <c r="A442" s="15" t="s">
        <v>3277</v>
      </c>
      <c r="B442" s="15" t="s">
        <v>37</v>
      </c>
      <c r="C442" s="15" t="s">
        <v>3264</v>
      </c>
      <c r="D442" s="15" t="n">
        <v>1</v>
      </c>
      <c r="E442" s="15" t="s">
        <v>3265</v>
      </c>
      <c r="F442" s="15" t="n">
        <v>2</v>
      </c>
      <c r="G442" s="15" t="s">
        <v>197</v>
      </c>
      <c r="H442" s="15" t="s">
        <v>142</v>
      </c>
      <c r="I442" s="3" t="s">
        <v>3278</v>
      </c>
      <c r="J442" s="3" t="s">
        <v>3279</v>
      </c>
      <c r="K442" s="15" t="s">
        <v>133</v>
      </c>
      <c r="L442" s="16" t="s">
        <v>7</v>
      </c>
      <c r="M442" s="15" t="s">
        <v>68</v>
      </c>
      <c r="N442" s="15" t="s">
        <v>82</v>
      </c>
      <c r="O442" s="15" t="s">
        <v>176</v>
      </c>
      <c r="P442" s="15" t="s">
        <v>135</v>
      </c>
      <c r="Q442" s="15" t="s">
        <v>129</v>
      </c>
      <c r="R442" s="15" t="s">
        <v>135</v>
      </c>
      <c r="S442" s="15"/>
      <c r="T442" s="15"/>
      <c r="U442" s="3" t="s">
        <v>3280</v>
      </c>
      <c r="V442" s="3" t="s">
        <v>3281</v>
      </c>
      <c r="W442" s="3" t="s">
        <v>3282</v>
      </c>
      <c r="X442" s="3" t="s">
        <v>3283</v>
      </c>
      <c r="Y442" s="15" t="n">
        <v>0</v>
      </c>
      <c r="Z442" s="15" t="n">
        <v>1</v>
      </c>
      <c r="AA442" s="15" t="n">
        <v>0</v>
      </c>
      <c r="AB442" s="15" t="n">
        <v>0</v>
      </c>
      <c r="AC442" s="15" t="n">
        <v>1</v>
      </c>
      <c r="AD442" s="15" t="n">
        <v>0</v>
      </c>
      <c r="AE442" s="15" t="n">
        <v>0</v>
      </c>
      <c r="AF442" s="15" t="n">
        <v>1</v>
      </c>
      <c r="AG442" s="15" t="n">
        <v>0</v>
      </c>
      <c r="AH442" s="15" t="n">
        <v>0</v>
      </c>
    </row>
    <row r="443" customFormat="false" ht="35.05" hidden="false" customHeight="false" outlineLevel="0" collapsed="false">
      <c r="A443" s="15" t="s">
        <v>3284</v>
      </c>
      <c r="B443" s="15" t="s">
        <v>37</v>
      </c>
      <c r="C443" s="15" t="s">
        <v>3264</v>
      </c>
      <c r="D443" s="15" t="n">
        <v>3</v>
      </c>
      <c r="E443" s="15" t="s">
        <v>3285</v>
      </c>
      <c r="F443" s="15" t="n">
        <v>0</v>
      </c>
      <c r="G443" s="15" t="s">
        <v>141</v>
      </c>
      <c r="H443" s="15" t="s">
        <v>142</v>
      </c>
      <c r="I443" s="3" t="s">
        <v>3286</v>
      </c>
      <c r="J443" s="3" t="s">
        <v>3287</v>
      </c>
      <c r="K443" s="15" t="s">
        <v>133</v>
      </c>
      <c r="L443" s="16" t="s">
        <v>7</v>
      </c>
      <c r="M443" s="15" t="s">
        <v>66</v>
      </c>
      <c r="N443" s="15" t="s">
        <v>88</v>
      </c>
      <c r="O443" s="15" t="s">
        <v>231</v>
      </c>
      <c r="P443" s="15" t="s">
        <v>135</v>
      </c>
      <c r="Q443" s="15" t="s">
        <v>129</v>
      </c>
      <c r="R443" s="15" t="s">
        <v>185</v>
      </c>
      <c r="S443" s="15"/>
      <c r="T443" s="15"/>
      <c r="U443" s="3" t="s">
        <v>3288</v>
      </c>
      <c r="V443" s="3" t="s">
        <v>3289</v>
      </c>
      <c r="W443" s="3" t="s">
        <v>3290</v>
      </c>
      <c r="X443" s="3" t="s">
        <v>3291</v>
      </c>
      <c r="Y443" s="15" t="n">
        <v>0</v>
      </c>
      <c r="Z443" s="15" t="n">
        <v>0</v>
      </c>
      <c r="AA443" s="15" t="n">
        <v>0</v>
      </c>
      <c r="AB443" s="15" t="n">
        <v>0</v>
      </c>
      <c r="AC443" s="15" t="n">
        <v>0</v>
      </c>
      <c r="AD443" s="15" t="n">
        <v>0</v>
      </c>
      <c r="AE443" s="15" t="n">
        <v>0</v>
      </c>
      <c r="AF443" s="15" t="n">
        <v>1</v>
      </c>
      <c r="AG443" s="15" t="n">
        <v>0</v>
      </c>
      <c r="AH443" s="15" t="n">
        <v>1</v>
      </c>
    </row>
    <row r="444" customFormat="false" ht="102.2" hidden="false" customHeight="false" outlineLevel="0" collapsed="false">
      <c r="A444" s="15" t="s">
        <v>3292</v>
      </c>
      <c r="B444" s="15" t="s">
        <v>37</v>
      </c>
      <c r="C444" s="15" t="s">
        <v>3264</v>
      </c>
      <c r="D444" s="15" t="n">
        <v>3</v>
      </c>
      <c r="E444" s="15" t="s">
        <v>3285</v>
      </c>
      <c r="F444" s="15" t="n">
        <v>1</v>
      </c>
      <c r="G444" s="15" t="s">
        <v>197</v>
      </c>
      <c r="H444" s="15" t="s">
        <v>142</v>
      </c>
      <c r="I444" s="3" t="s">
        <v>3293</v>
      </c>
      <c r="J444" s="3" t="s">
        <v>3294</v>
      </c>
      <c r="K444" s="15" t="s">
        <v>145</v>
      </c>
      <c r="L444" s="16" t="s">
        <v>7</v>
      </c>
      <c r="M444" s="15" t="s">
        <v>68</v>
      </c>
      <c r="N444" s="15" t="s">
        <v>82</v>
      </c>
      <c r="O444" s="15" t="s">
        <v>3295</v>
      </c>
      <c r="P444" s="15" t="s">
        <v>135</v>
      </c>
      <c r="Q444" s="15" t="s">
        <v>129</v>
      </c>
      <c r="R444" s="15" t="s">
        <v>135</v>
      </c>
      <c r="S444" s="15"/>
      <c r="T444" s="15"/>
      <c r="U444" s="3" t="s">
        <v>3296</v>
      </c>
      <c r="V444" s="3" t="s">
        <v>3297</v>
      </c>
      <c r="W444" s="3" t="s">
        <v>3298</v>
      </c>
      <c r="X444" s="3" t="s">
        <v>3299</v>
      </c>
      <c r="Y444" s="15" t="n">
        <v>0</v>
      </c>
      <c r="Z444" s="15" t="n">
        <v>1</v>
      </c>
      <c r="AA444" s="15" t="n">
        <v>0</v>
      </c>
      <c r="AB444" s="15" t="n">
        <v>0</v>
      </c>
      <c r="AC444" s="15" t="n">
        <v>0</v>
      </c>
      <c r="AD444" s="15" t="n">
        <v>0</v>
      </c>
      <c r="AE444" s="15" t="n">
        <v>0</v>
      </c>
      <c r="AF444" s="15" t="n">
        <v>1</v>
      </c>
      <c r="AG444" s="15" t="n">
        <v>1</v>
      </c>
      <c r="AH444" s="15" t="n">
        <v>1</v>
      </c>
    </row>
    <row r="445" customFormat="false" ht="35.05" hidden="false" customHeight="false" outlineLevel="0" collapsed="false">
      <c r="A445" s="15" t="s">
        <v>3300</v>
      </c>
      <c r="B445" s="15" t="s">
        <v>37</v>
      </c>
      <c r="C445" s="15" t="s">
        <v>3264</v>
      </c>
      <c r="D445" s="15" t="n">
        <v>3</v>
      </c>
      <c r="E445" s="15" t="s">
        <v>3285</v>
      </c>
      <c r="F445" s="15" t="n">
        <v>2</v>
      </c>
      <c r="G445" s="15" t="s">
        <v>129</v>
      </c>
      <c r="H445" s="15" t="s">
        <v>130</v>
      </c>
      <c r="I445" s="3" t="s">
        <v>3301</v>
      </c>
      <c r="J445" s="3" t="s">
        <v>3287</v>
      </c>
      <c r="K445" s="15" t="s">
        <v>133</v>
      </c>
      <c r="L445" s="18" t="s">
        <v>5</v>
      </c>
      <c r="M445" s="15" t="s">
        <v>426</v>
      </c>
      <c r="N445" s="15" t="s">
        <v>426</v>
      </c>
      <c r="O445" s="15"/>
      <c r="P445" s="15" t="s">
        <v>185</v>
      </c>
      <c r="Q445" s="15" t="s">
        <v>129</v>
      </c>
      <c r="R445" s="15" t="s">
        <v>185</v>
      </c>
      <c r="S445" s="15"/>
      <c r="T445" s="15"/>
      <c r="U445" s="3" t="s">
        <v>3302</v>
      </c>
      <c r="V445" s="3" t="s">
        <v>3303</v>
      </c>
      <c r="W445" s="3"/>
      <c r="X445" s="3"/>
      <c r="Y445" s="15" t="n">
        <v>0</v>
      </c>
      <c r="Z445" s="15" t="n">
        <v>0</v>
      </c>
      <c r="AA445" s="15" t="n">
        <v>0</v>
      </c>
      <c r="AB445" s="15" t="n">
        <v>0</v>
      </c>
      <c r="AC445" s="15" t="n">
        <v>0</v>
      </c>
      <c r="AD445" s="15" t="n">
        <v>0</v>
      </c>
      <c r="AE445" s="15" t="n">
        <v>0</v>
      </c>
      <c r="AF445" s="15" t="n">
        <v>0</v>
      </c>
      <c r="AG445" s="15" t="n">
        <v>0</v>
      </c>
      <c r="AH445" s="15" t="n">
        <v>0</v>
      </c>
    </row>
    <row r="446" customFormat="false" ht="23.85" hidden="false" customHeight="false" outlineLevel="0" collapsed="false">
      <c r="A446" s="15" t="s">
        <v>3304</v>
      </c>
      <c r="B446" s="15" t="s">
        <v>37</v>
      </c>
      <c r="C446" s="15" t="s">
        <v>3305</v>
      </c>
      <c r="D446" s="15" t="n">
        <v>9</v>
      </c>
      <c r="E446" s="15" t="s">
        <v>3306</v>
      </c>
      <c r="F446" s="15" t="n">
        <v>0</v>
      </c>
      <c r="G446" s="15" t="s">
        <v>129</v>
      </c>
      <c r="H446" s="15" t="s">
        <v>130</v>
      </c>
      <c r="I446" s="3" t="s">
        <v>3307</v>
      </c>
      <c r="J446" s="3" t="s">
        <v>3308</v>
      </c>
      <c r="K446" s="15" t="s">
        <v>133</v>
      </c>
      <c r="L446" s="18" t="s">
        <v>5</v>
      </c>
      <c r="M446" s="15" t="s">
        <v>426</v>
      </c>
      <c r="N446" s="15" t="s">
        <v>426</v>
      </c>
      <c r="O446" s="15"/>
      <c r="P446" s="15" t="s">
        <v>185</v>
      </c>
      <c r="Q446" s="15" t="s">
        <v>129</v>
      </c>
      <c r="R446" s="15" t="s">
        <v>185</v>
      </c>
      <c r="S446" s="15"/>
      <c r="T446" s="15"/>
      <c r="U446" s="3" t="s">
        <v>3309</v>
      </c>
      <c r="V446" s="3" t="s">
        <v>3310</v>
      </c>
      <c r="W446" s="3"/>
      <c r="X446" s="3"/>
      <c r="Y446" s="15" t="n">
        <v>0</v>
      </c>
      <c r="Z446" s="15" t="n">
        <v>0</v>
      </c>
      <c r="AA446" s="15" t="n">
        <v>0</v>
      </c>
      <c r="AB446" s="15" t="n">
        <v>0</v>
      </c>
      <c r="AC446" s="15" t="n">
        <v>0</v>
      </c>
      <c r="AD446" s="15" t="n">
        <v>0</v>
      </c>
      <c r="AE446" s="15" t="n">
        <v>0</v>
      </c>
      <c r="AF446" s="15" t="n">
        <v>0</v>
      </c>
      <c r="AG446" s="15" t="n">
        <v>0</v>
      </c>
      <c r="AH446" s="15" t="n">
        <v>0</v>
      </c>
    </row>
    <row r="447" customFormat="false" ht="46.25" hidden="false" customHeight="false" outlineLevel="0" collapsed="false">
      <c r="A447" s="15" t="s">
        <v>3311</v>
      </c>
      <c r="B447" s="15" t="s">
        <v>37</v>
      </c>
      <c r="C447" s="15" t="s">
        <v>3305</v>
      </c>
      <c r="D447" s="15" t="n">
        <v>9</v>
      </c>
      <c r="E447" s="15" t="s">
        <v>3306</v>
      </c>
      <c r="F447" s="15" t="n">
        <v>1</v>
      </c>
      <c r="G447" s="15" t="s">
        <v>197</v>
      </c>
      <c r="H447" s="15" t="s">
        <v>142</v>
      </c>
      <c r="I447" s="3" t="s">
        <v>3312</v>
      </c>
      <c r="J447" s="3" t="s">
        <v>3313</v>
      </c>
      <c r="K447" s="15" t="s">
        <v>145</v>
      </c>
      <c r="L447" s="16" t="s">
        <v>7</v>
      </c>
      <c r="M447" s="15" t="s">
        <v>66</v>
      </c>
      <c r="N447" s="15" t="s">
        <v>88</v>
      </c>
      <c r="O447" s="15" t="s">
        <v>88</v>
      </c>
      <c r="P447" s="15" t="s">
        <v>135</v>
      </c>
      <c r="Q447" s="15" t="s">
        <v>129</v>
      </c>
      <c r="R447" s="15" t="s">
        <v>185</v>
      </c>
      <c r="S447" s="15"/>
      <c r="T447" s="15"/>
      <c r="U447" s="3" t="s">
        <v>3314</v>
      </c>
      <c r="V447" s="3" t="s">
        <v>3315</v>
      </c>
      <c r="W447" s="3"/>
      <c r="X447" s="3" t="s">
        <v>3316</v>
      </c>
      <c r="Y447" s="15" t="n">
        <v>0</v>
      </c>
      <c r="Z447" s="15" t="n">
        <v>0</v>
      </c>
      <c r="AA447" s="15" t="n">
        <v>0</v>
      </c>
      <c r="AB447" s="15" t="n">
        <v>0</v>
      </c>
      <c r="AC447" s="15" t="n">
        <v>0</v>
      </c>
      <c r="AD447" s="15" t="n">
        <v>0</v>
      </c>
      <c r="AE447" s="15" t="n">
        <v>0</v>
      </c>
      <c r="AF447" s="15" t="n">
        <v>1</v>
      </c>
      <c r="AG447" s="15" t="n">
        <v>0</v>
      </c>
      <c r="AH447" s="15" t="n">
        <v>0</v>
      </c>
    </row>
    <row r="448" customFormat="false" ht="35.05" hidden="false" customHeight="false" outlineLevel="0" collapsed="false">
      <c r="A448" s="15" t="s">
        <v>3317</v>
      </c>
      <c r="B448" s="15" t="s">
        <v>37</v>
      </c>
      <c r="C448" s="15" t="s">
        <v>3305</v>
      </c>
      <c r="D448" s="15" t="n">
        <v>9</v>
      </c>
      <c r="E448" s="15" t="s">
        <v>3306</v>
      </c>
      <c r="F448" s="15" t="n">
        <v>2</v>
      </c>
      <c r="G448" s="15" t="s">
        <v>141</v>
      </c>
      <c r="H448" s="15" t="s">
        <v>142</v>
      </c>
      <c r="I448" s="3" t="s">
        <v>3318</v>
      </c>
      <c r="J448" s="3" t="s">
        <v>3319</v>
      </c>
      <c r="K448" s="15" t="s">
        <v>133</v>
      </c>
      <c r="L448" s="16" t="s">
        <v>7</v>
      </c>
      <c r="M448" s="15" t="s">
        <v>66</v>
      </c>
      <c r="N448" s="15" t="s">
        <v>88</v>
      </c>
      <c r="O448" s="15" t="s">
        <v>88</v>
      </c>
      <c r="P448" s="15" t="s">
        <v>135</v>
      </c>
      <c r="Q448" s="15" t="s">
        <v>129</v>
      </c>
      <c r="R448" s="15" t="s">
        <v>185</v>
      </c>
      <c r="S448" s="15"/>
      <c r="T448" s="15"/>
      <c r="U448" s="3" t="s">
        <v>3320</v>
      </c>
      <c r="V448" s="3" t="s">
        <v>3321</v>
      </c>
      <c r="W448" s="3"/>
      <c r="X448" s="3" t="s">
        <v>3322</v>
      </c>
      <c r="Y448" s="15" t="n">
        <v>0</v>
      </c>
      <c r="Z448" s="15" t="n">
        <v>0</v>
      </c>
      <c r="AA448" s="15" t="n">
        <v>0</v>
      </c>
      <c r="AB448" s="15" t="n">
        <v>0</v>
      </c>
      <c r="AC448" s="15" t="n">
        <v>0</v>
      </c>
      <c r="AD448" s="15" t="n">
        <v>0</v>
      </c>
      <c r="AE448" s="15" t="n">
        <v>0</v>
      </c>
      <c r="AF448" s="15" t="n">
        <v>1</v>
      </c>
      <c r="AG448" s="15" t="n">
        <v>0</v>
      </c>
      <c r="AH448" s="15" t="n">
        <v>0</v>
      </c>
    </row>
    <row r="449" customFormat="false" ht="35.05" hidden="false" customHeight="false" outlineLevel="0" collapsed="false">
      <c r="A449" s="15" t="s">
        <v>3323</v>
      </c>
      <c r="B449" s="15" t="s">
        <v>37</v>
      </c>
      <c r="C449" s="15" t="s">
        <v>3305</v>
      </c>
      <c r="D449" s="15" t="n">
        <v>13</v>
      </c>
      <c r="E449" s="15" t="s">
        <v>3324</v>
      </c>
      <c r="F449" s="15" t="n">
        <v>0</v>
      </c>
      <c r="G449" s="15" t="s">
        <v>152</v>
      </c>
      <c r="H449" s="15" t="s">
        <v>142</v>
      </c>
      <c r="I449" s="3" t="s">
        <v>3325</v>
      </c>
      <c r="J449" s="3" t="s">
        <v>3326</v>
      </c>
      <c r="K449" s="15" t="s">
        <v>133</v>
      </c>
      <c r="L449" s="16" t="s">
        <v>7</v>
      </c>
      <c r="M449" s="15" t="s">
        <v>66</v>
      </c>
      <c r="N449" s="15" t="s">
        <v>85</v>
      </c>
      <c r="O449" s="15" t="s">
        <v>3327</v>
      </c>
      <c r="P449" s="15" t="s">
        <v>135</v>
      </c>
      <c r="Q449" s="15" t="s">
        <v>129</v>
      </c>
      <c r="R449" s="15" t="s">
        <v>135</v>
      </c>
      <c r="S449" s="15"/>
      <c r="T449" s="15"/>
      <c r="U449" s="3" t="s">
        <v>3328</v>
      </c>
      <c r="V449" s="3" t="s">
        <v>3329</v>
      </c>
      <c r="W449" s="3" t="s">
        <v>3330</v>
      </c>
      <c r="X449" s="3" t="s">
        <v>3331</v>
      </c>
      <c r="Y449" s="15" t="n">
        <v>0</v>
      </c>
      <c r="Z449" s="15" t="n">
        <v>0</v>
      </c>
      <c r="AA449" s="15" t="n">
        <v>0</v>
      </c>
      <c r="AB449" s="15" t="n">
        <v>0</v>
      </c>
      <c r="AC449" s="15" t="n">
        <v>1</v>
      </c>
      <c r="AD449" s="15" t="n">
        <v>0</v>
      </c>
      <c r="AE449" s="15" t="n">
        <v>1</v>
      </c>
      <c r="AF449" s="15" t="n">
        <v>1</v>
      </c>
      <c r="AG449" s="15" t="n">
        <v>0</v>
      </c>
      <c r="AH449" s="15" t="n">
        <v>0</v>
      </c>
    </row>
    <row r="450" customFormat="false" ht="46.25" hidden="false" customHeight="false" outlineLevel="0" collapsed="false">
      <c r="A450" s="15" t="s">
        <v>3332</v>
      </c>
      <c r="B450" s="15" t="s">
        <v>37</v>
      </c>
      <c r="C450" s="15" t="s">
        <v>3305</v>
      </c>
      <c r="D450" s="15" t="n">
        <v>13</v>
      </c>
      <c r="E450" s="15" t="s">
        <v>3324</v>
      </c>
      <c r="F450" s="15" t="n">
        <v>1</v>
      </c>
      <c r="G450" s="15" t="s">
        <v>129</v>
      </c>
      <c r="H450" s="15" t="s">
        <v>130</v>
      </c>
      <c r="I450" s="3" t="s">
        <v>3333</v>
      </c>
      <c r="J450" s="3" t="s">
        <v>3334</v>
      </c>
      <c r="K450" s="15" t="s">
        <v>145</v>
      </c>
      <c r="L450" s="16" t="s">
        <v>7</v>
      </c>
      <c r="M450" s="15" t="s">
        <v>68</v>
      </c>
      <c r="N450" s="15" t="s">
        <v>84</v>
      </c>
      <c r="O450" s="15" t="s">
        <v>3335</v>
      </c>
      <c r="P450" s="15" t="s">
        <v>185</v>
      </c>
      <c r="Q450" s="15" t="s">
        <v>129</v>
      </c>
      <c r="R450" s="15" t="s">
        <v>135</v>
      </c>
      <c r="S450" s="15"/>
      <c r="T450" s="15"/>
      <c r="U450" s="3" t="s">
        <v>3336</v>
      </c>
      <c r="V450" s="3" t="s">
        <v>3337</v>
      </c>
      <c r="W450" s="3" t="s">
        <v>3338</v>
      </c>
      <c r="X450" s="3" t="s">
        <v>3339</v>
      </c>
      <c r="Y450" s="15" t="n">
        <v>0</v>
      </c>
      <c r="Z450" s="15" t="n">
        <v>0</v>
      </c>
      <c r="AA450" s="15" t="n">
        <v>0</v>
      </c>
      <c r="AB450" s="15" t="n">
        <v>1</v>
      </c>
      <c r="AC450" s="15" t="n">
        <v>1</v>
      </c>
      <c r="AD450" s="15" t="n">
        <v>0</v>
      </c>
      <c r="AE450" s="15" t="n">
        <v>0</v>
      </c>
      <c r="AF450" s="15" t="n">
        <v>0</v>
      </c>
      <c r="AG450" s="15" t="n">
        <v>0</v>
      </c>
      <c r="AH450" s="15" t="n">
        <v>1</v>
      </c>
    </row>
    <row r="451" customFormat="false" ht="35.05" hidden="false" customHeight="false" outlineLevel="0" collapsed="false">
      <c r="A451" s="15" t="s">
        <v>3340</v>
      </c>
      <c r="B451" s="15" t="s">
        <v>37</v>
      </c>
      <c r="C451" s="15" t="s">
        <v>3305</v>
      </c>
      <c r="D451" s="15" t="n">
        <v>13</v>
      </c>
      <c r="E451" s="15" t="s">
        <v>3324</v>
      </c>
      <c r="F451" s="15" t="n">
        <v>2</v>
      </c>
      <c r="G451" s="15" t="s">
        <v>197</v>
      </c>
      <c r="H451" s="15" t="s">
        <v>142</v>
      </c>
      <c r="I451" s="3" t="s">
        <v>3341</v>
      </c>
      <c r="J451" s="3" t="s">
        <v>3342</v>
      </c>
      <c r="K451" s="15" t="s">
        <v>133</v>
      </c>
      <c r="L451" s="16" t="s">
        <v>7</v>
      </c>
      <c r="M451" s="15" t="s">
        <v>66</v>
      </c>
      <c r="N451" s="15" t="s">
        <v>85</v>
      </c>
      <c r="O451" s="15" t="s">
        <v>483</v>
      </c>
      <c r="P451" s="15" t="s">
        <v>135</v>
      </c>
      <c r="Q451" s="15" t="s">
        <v>129</v>
      </c>
      <c r="R451" s="15" t="s">
        <v>135</v>
      </c>
      <c r="S451" s="15"/>
      <c r="T451" s="15"/>
      <c r="U451" s="3" t="s">
        <v>3343</v>
      </c>
      <c r="V451" s="3" t="s">
        <v>3344</v>
      </c>
      <c r="W451" s="3" t="s">
        <v>3345</v>
      </c>
      <c r="X451" s="3" t="s">
        <v>3346</v>
      </c>
      <c r="Y451" s="15" t="n">
        <v>0</v>
      </c>
      <c r="Z451" s="15" t="n">
        <v>0</v>
      </c>
      <c r="AA451" s="15" t="n">
        <v>0</v>
      </c>
      <c r="AB451" s="15" t="n">
        <v>0</v>
      </c>
      <c r="AC451" s="15" t="n">
        <v>1</v>
      </c>
      <c r="AD451" s="15" t="n">
        <v>0</v>
      </c>
      <c r="AE451" s="15" t="n">
        <v>0</v>
      </c>
      <c r="AF451" s="15" t="n">
        <v>1</v>
      </c>
      <c r="AG451" s="15" t="n">
        <v>0</v>
      </c>
      <c r="AH451" s="15" t="n">
        <v>1</v>
      </c>
    </row>
    <row r="452" customFormat="false" ht="46.25" hidden="false" customHeight="false" outlineLevel="0" collapsed="false">
      <c r="A452" s="15" t="s">
        <v>3347</v>
      </c>
      <c r="B452" s="15" t="s">
        <v>37</v>
      </c>
      <c r="C452" s="15" t="s">
        <v>3305</v>
      </c>
      <c r="D452" s="15" t="n">
        <v>17</v>
      </c>
      <c r="E452" s="15" t="s">
        <v>3348</v>
      </c>
      <c r="F452" s="15" t="n">
        <v>0</v>
      </c>
      <c r="G452" s="15" t="s">
        <v>129</v>
      </c>
      <c r="H452" s="15" t="s">
        <v>130</v>
      </c>
      <c r="I452" s="3" t="s">
        <v>3349</v>
      </c>
      <c r="J452" s="3" t="s">
        <v>3350</v>
      </c>
      <c r="K452" s="15" t="s">
        <v>133</v>
      </c>
      <c r="L452" s="16" t="s">
        <v>7</v>
      </c>
      <c r="M452" s="15" t="s">
        <v>68</v>
      </c>
      <c r="N452" s="15" t="s">
        <v>82</v>
      </c>
      <c r="O452" s="15" t="s">
        <v>271</v>
      </c>
      <c r="P452" s="15" t="s">
        <v>185</v>
      </c>
      <c r="Q452" s="15" t="s">
        <v>129</v>
      </c>
      <c r="R452" s="15" t="s">
        <v>135</v>
      </c>
      <c r="S452" s="15"/>
      <c r="T452" s="15"/>
      <c r="U452" s="3" t="s">
        <v>3351</v>
      </c>
      <c r="V452" s="3" t="s">
        <v>3352</v>
      </c>
      <c r="W452" s="3"/>
      <c r="X452" s="3" t="s">
        <v>3353</v>
      </c>
      <c r="Y452" s="15" t="n">
        <v>0</v>
      </c>
      <c r="Z452" s="15" t="n">
        <v>1</v>
      </c>
      <c r="AA452" s="15" t="n">
        <v>0</v>
      </c>
      <c r="AB452" s="15" t="n">
        <v>1</v>
      </c>
      <c r="AC452" s="15" t="n">
        <v>0</v>
      </c>
      <c r="AD452" s="15" t="n">
        <v>0</v>
      </c>
      <c r="AE452" s="15" t="n">
        <v>0</v>
      </c>
      <c r="AF452" s="15" t="n">
        <v>0</v>
      </c>
      <c r="AG452" s="15" t="n">
        <v>0</v>
      </c>
      <c r="AH452" s="15" t="n">
        <v>0</v>
      </c>
    </row>
    <row r="453" customFormat="false" ht="35.05" hidden="false" customHeight="false" outlineLevel="0" collapsed="false">
      <c r="A453" s="15" t="s">
        <v>3354</v>
      </c>
      <c r="B453" s="15" t="s">
        <v>37</v>
      </c>
      <c r="C453" s="15" t="s">
        <v>3305</v>
      </c>
      <c r="D453" s="15" t="n">
        <v>17</v>
      </c>
      <c r="E453" s="15" t="s">
        <v>3348</v>
      </c>
      <c r="F453" s="15" t="n">
        <v>1</v>
      </c>
      <c r="G453" s="15" t="s">
        <v>141</v>
      </c>
      <c r="H453" s="15" t="s">
        <v>142</v>
      </c>
      <c r="I453" s="3" t="s">
        <v>3355</v>
      </c>
      <c r="J453" s="3" t="s">
        <v>3356</v>
      </c>
      <c r="K453" s="15" t="s">
        <v>145</v>
      </c>
      <c r="L453" s="16" t="s">
        <v>7</v>
      </c>
      <c r="M453" s="15" t="s">
        <v>68</v>
      </c>
      <c r="N453" s="15" t="s">
        <v>86</v>
      </c>
      <c r="O453" s="15" t="s">
        <v>3357</v>
      </c>
      <c r="P453" s="15" t="s">
        <v>135</v>
      </c>
      <c r="Q453" s="15" t="s">
        <v>307</v>
      </c>
      <c r="R453" s="15" t="s">
        <v>135</v>
      </c>
      <c r="S453" s="15"/>
      <c r="T453" s="15"/>
      <c r="U453" s="3" t="s">
        <v>3358</v>
      </c>
      <c r="V453" s="3" t="s">
        <v>3359</v>
      </c>
      <c r="W453" s="3"/>
      <c r="X453" s="3" t="s">
        <v>3360</v>
      </c>
      <c r="Y453" s="15" t="n">
        <v>0</v>
      </c>
      <c r="Z453" s="15" t="n">
        <v>0</v>
      </c>
      <c r="AA453" s="15" t="n">
        <v>1</v>
      </c>
      <c r="AB453" s="15" t="n">
        <v>0</v>
      </c>
      <c r="AC453" s="15" t="n">
        <v>0</v>
      </c>
      <c r="AD453" s="15" t="n">
        <v>1</v>
      </c>
      <c r="AE453" s="15" t="n">
        <v>0</v>
      </c>
      <c r="AF453" s="15" t="n">
        <v>1</v>
      </c>
      <c r="AG453" s="15" t="n">
        <v>0</v>
      </c>
      <c r="AH453" s="15" t="n">
        <v>0</v>
      </c>
    </row>
    <row r="454" customFormat="false" ht="57.45" hidden="false" customHeight="false" outlineLevel="0" collapsed="false">
      <c r="A454" s="15" t="s">
        <v>3361</v>
      </c>
      <c r="B454" s="15" t="s">
        <v>37</v>
      </c>
      <c r="C454" s="15" t="s">
        <v>3305</v>
      </c>
      <c r="D454" s="15" t="n">
        <v>17</v>
      </c>
      <c r="E454" s="15" t="s">
        <v>3348</v>
      </c>
      <c r="F454" s="15" t="n">
        <v>2</v>
      </c>
      <c r="G454" s="15" t="s">
        <v>197</v>
      </c>
      <c r="H454" s="15" t="s">
        <v>142</v>
      </c>
      <c r="I454" s="3" t="s">
        <v>3362</v>
      </c>
      <c r="J454" s="3" t="s">
        <v>3363</v>
      </c>
      <c r="K454" s="15" t="s">
        <v>133</v>
      </c>
      <c r="L454" s="16" t="s">
        <v>7</v>
      </c>
      <c r="M454" s="15" t="s">
        <v>68</v>
      </c>
      <c r="N454" s="15" t="s">
        <v>82</v>
      </c>
      <c r="O454" s="15" t="s">
        <v>162</v>
      </c>
      <c r="P454" s="15" t="s">
        <v>135</v>
      </c>
      <c r="Q454" s="15" t="s">
        <v>129</v>
      </c>
      <c r="R454" s="15" t="s">
        <v>135</v>
      </c>
      <c r="S454" s="15"/>
      <c r="T454" s="15"/>
      <c r="U454" s="3" t="s">
        <v>3364</v>
      </c>
      <c r="V454" s="3" t="s">
        <v>3365</v>
      </c>
      <c r="W454" s="3"/>
      <c r="X454" s="3" t="s">
        <v>3366</v>
      </c>
      <c r="Y454" s="15" t="n">
        <v>0</v>
      </c>
      <c r="Z454" s="15" t="n">
        <v>1</v>
      </c>
      <c r="AA454" s="15" t="n">
        <v>0</v>
      </c>
      <c r="AB454" s="15" t="n">
        <v>1</v>
      </c>
      <c r="AC454" s="15" t="n">
        <v>0</v>
      </c>
      <c r="AD454" s="15" t="n">
        <v>1</v>
      </c>
      <c r="AE454" s="15" t="n">
        <v>0</v>
      </c>
      <c r="AF454" s="15" t="n">
        <v>1</v>
      </c>
      <c r="AG454" s="15" t="n">
        <v>0</v>
      </c>
      <c r="AH454" s="15" t="n">
        <v>0</v>
      </c>
    </row>
    <row r="455" customFormat="false" ht="46.25" hidden="false" customHeight="false" outlineLevel="0" collapsed="false">
      <c r="A455" s="15" t="s">
        <v>3367</v>
      </c>
      <c r="B455" s="15" t="s">
        <v>37</v>
      </c>
      <c r="C455" s="15" t="s">
        <v>3305</v>
      </c>
      <c r="D455" s="15" t="n">
        <v>29</v>
      </c>
      <c r="E455" s="15" t="s">
        <v>3368</v>
      </c>
      <c r="F455" s="15" t="n">
        <v>0</v>
      </c>
      <c r="G455" s="15" t="s">
        <v>307</v>
      </c>
      <c r="H455" s="15" t="s">
        <v>308</v>
      </c>
      <c r="I455" s="3" t="s">
        <v>3369</v>
      </c>
      <c r="J455" s="3" t="s">
        <v>3370</v>
      </c>
      <c r="K455" s="15" t="s">
        <v>133</v>
      </c>
      <c r="L455" s="16" t="s">
        <v>7</v>
      </c>
      <c r="M455" s="15" t="s">
        <v>68</v>
      </c>
      <c r="N455" s="15" t="s">
        <v>85</v>
      </c>
      <c r="O455" s="15" t="s">
        <v>3371</v>
      </c>
      <c r="P455" s="15" t="s">
        <v>185</v>
      </c>
      <c r="Q455" s="15" t="s">
        <v>307</v>
      </c>
      <c r="R455" s="15" t="s">
        <v>135</v>
      </c>
      <c r="S455" s="15"/>
      <c r="T455" s="15"/>
      <c r="U455" s="3" t="s">
        <v>3372</v>
      </c>
      <c r="V455" s="3" t="s">
        <v>3373</v>
      </c>
      <c r="W455" s="3" t="s">
        <v>3374</v>
      </c>
      <c r="X455" s="3" t="s">
        <v>3375</v>
      </c>
      <c r="Y455" s="15" t="n">
        <v>0</v>
      </c>
      <c r="Z455" s="15" t="n">
        <v>1</v>
      </c>
      <c r="AA455" s="15" t="n">
        <v>0</v>
      </c>
      <c r="AB455" s="15" t="n">
        <v>0</v>
      </c>
      <c r="AC455" s="15" t="n">
        <v>1</v>
      </c>
      <c r="AD455" s="15" t="n">
        <v>1</v>
      </c>
      <c r="AE455" s="15" t="n">
        <v>0</v>
      </c>
      <c r="AF455" s="15" t="n">
        <v>0</v>
      </c>
      <c r="AG455" s="15" t="n">
        <v>0</v>
      </c>
      <c r="AH455" s="15" t="n">
        <v>1</v>
      </c>
    </row>
    <row r="456" customFormat="false" ht="46.25" hidden="false" customHeight="false" outlineLevel="0" collapsed="false">
      <c r="A456" s="15" t="s">
        <v>3376</v>
      </c>
      <c r="B456" s="15" t="s">
        <v>37</v>
      </c>
      <c r="C456" s="15" t="s">
        <v>3305</v>
      </c>
      <c r="D456" s="15" t="n">
        <v>29</v>
      </c>
      <c r="E456" s="15" t="s">
        <v>3368</v>
      </c>
      <c r="F456" s="15" t="n">
        <v>1</v>
      </c>
      <c r="G456" s="15" t="s">
        <v>129</v>
      </c>
      <c r="H456" s="15" t="s">
        <v>130</v>
      </c>
      <c r="I456" s="3" t="s">
        <v>3377</v>
      </c>
      <c r="J456" s="3" t="s">
        <v>3378</v>
      </c>
      <c r="K456" s="15" t="s">
        <v>145</v>
      </c>
      <c r="L456" s="16" t="s">
        <v>7</v>
      </c>
      <c r="M456" s="15" t="s">
        <v>68</v>
      </c>
      <c r="N456" s="15" t="s">
        <v>85</v>
      </c>
      <c r="O456" s="15" t="s">
        <v>3379</v>
      </c>
      <c r="P456" s="15" t="s">
        <v>135</v>
      </c>
      <c r="Q456" s="15" t="s">
        <v>307</v>
      </c>
      <c r="R456" s="15" t="s">
        <v>135</v>
      </c>
      <c r="S456" s="15"/>
      <c r="T456" s="15"/>
      <c r="U456" s="3" t="s">
        <v>3380</v>
      </c>
      <c r="V456" s="3" t="s">
        <v>3381</v>
      </c>
      <c r="W456" s="3" t="s">
        <v>3382</v>
      </c>
      <c r="X456" s="3" t="s">
        <v>3383</v>
      </c>
      <c r="Y456" s="15" t="n">
        <v>0</v>
      </c>
      <c r="Z456" s="15" t="n">
        <v>0</v>
      </c>
      <c r="AA456" s="15" t="n">
        <v>0</v>
      </c>
      <c r="AB456" s="15" t="n">
        <v>0</v>
      </c>
      <c r="AC456" s="15" t="n">
        <v>1</v>
      </c>
      <c r="AD456" s="15" t="n">
        <v>1</v>
      </c>
      <c r="AE456" s="15" t="n">
        <v>0</v>
      </c>
      <c r="AF456" s="15" t="n">
        <v>1</v>
      </c>
      <c r="AG456" s="15" t="n">
        <v>0</v>
      </c>
      <c r="AH456" s="15" t="n">
        <v>1</v>
      </c>
    </row>
    <row r="457" customFormat="false" ht="46.25" hidden="false" customHeight="false" outlineLevel="0" collapsed="false">
      <c r="A457" s="15" t="s">
        <v>3384</v>
      </c>
      <c r="B457" s="15" t="s">
        <v>37</v>
      </c>
      <c r="C457" s="15" t="s">
        <v>3305</v>
      </c>
      <c r="D457" s="15" t="n">
        <v>29</v>
      </c>
      <c r="E457" s="15" t="s">
        <v>3368</v>
      </c>
      <c r="F457" s="15" t="n">
        <v>2</v>
      </c>
      <c r="G457" s="15" t="s">
        <v>197</v>
      </c>
      <c r="H457" s="15" t="s">
        <v>142</v>
      </c>
      <c r="I457" s="3" t="s">
        <v>3385</v>
      </c>
      <c r="J457" s="3" t="s">
        <v>3386</v>
      </c>
      <c r="K457" s="15" t="s">
        <v>133</v>
      </c>
      <c r="L457" s="16" t="s">
        <v>7</v>
      </c>
      <c r="M457" s="15" t="s">
        <v>68</v>
      </c>
      <c r="N457" s="15" t="s">
        <v>85</v>
      </c>
      <c r="O457" s="15" t="s">
        <v>3379</v>
      </c>
      <c r="P457" s="15" t="s">
        <v>135</v>
      </c>
      <c r="Q457" s="15" t="s">
        <v>307</v>
      </c>
      <c r="R457" s="15" t="s">
        <v>135</v>
      </c>
      <c r="S457" s="15"/>
      <c r="T457" s="15"/>
      <c r="U457" s="3" t="s">
        <v>3387</v>
      </c>
      <c r="V457" s="3" t="s">
        <v>3388</v>
      </c>
      <c r="W457" s="3" t="s">
        <v>3389</v>
      </c>
      <c r="X457" s="3" t="s">
        <v>3390</v>
      </c>
      <c r="Y457" s="15" t="n">
        <v>0</v>
      </c>
      <c r="Z457" s="15" t="n">
        <v>0</v>
      </c>
      <c r="AA457" s="15" t="n">
        <v>0</v>
      </c>
      <c r="AB457" s="15" t="n">
        <v>0</v>
      </c>
      <c r="AC457" s="15" t="n">
        <v>1</v>
      </c>
      <c r="AD457" s="15" t="n">
        <v>1</v>
      </c>
      <c r="AE457" s="15" t="n">
        <v>0</v>
      </c>
      <c r="AF457" s="15" t="n">
        <v>1</v>
      </c>
      <c r="AG457" s="15" t="n">
        <v>0</v>
      </c>
      <c r="AH457" s="15" t="n">
        <v>1</v>
      </c>
    </row>
    <row r="458" customFormat="false" ht="35.05" hidden="false" customHeight="false" outlineLevel="0" collapsed="false">
      <c r="A458" s="15" t="s">
        <v>3391</v>
      </c>
      <c r="B458" s="15" t="s">
        <v>37</v>
      </c>
      <c r="C458" s="15" t="s">
        <v>3392</v>
      </c>
      <c r="D458" s="15" t="n">
        <v>14</v>
      </c>
      <c r="E458" s="15" t="s">
        <v>3393</v>
      </c>
      <c r="F458" s="15" t="n">
        <v>0</v>
      </c>
      <c r="G458" s="15" t="s">
        <v>197</v>
      </c>
      <c r="H458" s="15" t="s">
        <v>142</v>
      </c>
      <c r="I458" s="3" t="s">
        <v>3394</v>
      </c>
      <c r="J458" s="3" t="s">
        <v>3395</v>
      </c>
      <c r="K458" s="15" t="s">
        <v>133</v>
      </c>
      <c r="L458" s="16" t="s">
        <v>7</v>
      </c>
      <c r="M458" s="15" t="s">
        <v>66</v>
      </c>
      <c r="N458" s="15" t="s">
        <v>88</v>
      </c>
      <c r="O458" s="15" t="s">
        <v>88</v>
      </c>
      <c r="P458" s="15" t="s">
        <v>135</v>
      </c>
      <c r="Q458" s="15" t="s">
        <v>129</v>
      </c>
      <c r="R458" s="15" t="s">
        <v>185</v>
      </c>
      <c r="S458" s="15"/>
      <c r="T458" s="15"/>
      <c r="U458" s="3" t="s">
        <v>3396</v>
      </c>
      <c r="V458" s="3" t="s">
        <v>3397</v>
      </c>
      <c r="W458" s="3"/>
      <c r="X458" s="3"/>
      <c r="Y458" s="15" t="n">
        <v>0</v>
      </c>
      <c r="Z458" s="15" t="n">
        <v>0</v>
      </c>
      <c r="AA458" s="15" t="n">
        <v>0</v>
      </c>
      <c r="AB458" s="15" t="n">
        <v>0</v>
      </c>
      <c r="AC458" s="15" t="n">
        <v>0</v>
      </c>
      <c r="AD458" s="15" t="n">
        <v>0</v>
      </c>
      <c r="AE458" s="15" t="n">
        <v>0</v>
      </c>
      <c r="AF458" s="15" t="n">
        <v>1</v>
      </c>
      <c r="AG458" s="15" t="n">
        <v>0</v>
      </c>
      <c r="AH458" s="15" t="n">
        <v>0</v>
      </c>
    </row>
    <row r="459" customFormat="false" ht="46.25" hidden="false" customHeight="false" outlineLevel="0" collapsed="false">
      <c r="A459" s="15" t="s">
        <v>3398</v>
      </c>
      <c r="B459" s="15" t="s">
        <v>37</v>
      </c>
      <c r="C459" s="15" t="s">
        <v>3392</v>
      </c>
      <c r="D459" s="15" t="n">
        <v>14</v>
      </c>
      <c r="E459" s="15" t="s">
        <v>3393</v>
      </c>
      <c r="F459" s="15" t="n">
        <v>1</v>
      </c>
      <c r="G459" s="15" t="s">
        <v>129</v>
      </c>
      <c r="H459" s="15" t="s">
        <v>130</v>
      </c>
      <c r="I459" s="3" t="s">
        <v>3399</v>
      </c>
      <c r="J459" s="3" t="s">
        <v>3400</v>
      </c>
      <c r="K459" s="15" t="s">
        <v>145</v>
      </c>
      <c r="L459" s="16" t="s">
        <v>7</v>
      </c>
      <c r="M459" s="15" t="s">
        <v>68</v>
      </c>
      <c r="N459" s="15" t="s">
        <v>82</v>
      </c>
      <c r="O459" s="15" t="s">
        <v>192</v>
      </c>
      <c r="P459" s="15" t="s">
        <v>135</v>
      </c>
      <c r="Q459" s="15" t="s">
        <v>136</v>
      </c>
      <c r="R459" s="15" t="s">
        <v>135</v>
      </c>
      <c r="S459" s="15"/>
      <c r="T459" s="15"/>
      <c r="U459" s="3" t="s">
        <v>3401</v>
      </c>
      <c r="V459" s="3" t="s">
        <v>3402</v>
      </c>
      <c r="W459" s="3"/>
      <c r="X459" s="3" t="s">
        <v>3403</v>
      </c>
      <c r="Y459" s="15" t="n">
        <v>0</v>
      </c>
      <c r="Z459" s="15" t="n">
        <v>1</v>
      </c>
      <c r="AA459" s="15" t="n">
        <v>0</v>
      </c>
      <c r="AB459" s="15" t="n">
        <v>1</v>
      </c>
      <c r="AC459" s="15" t="n">
        <v>0</v>
      </c>
      <c r="AD459" s="15" t="n">
        <v>0</v>
      </c>
      <c r="AE459" s="15" t="n">
        <v>0</v>
      </c>
      <c r="AF459" s="15" t="n">
        <v>1</v>
      </c>
      <c r="AG459" s="15" t="n">
        <v>0</v>
      </c>
      <c r="AH459" s="15" t="n">
        <v>0</v>
      </c>
    </row>
    <row r="460" customFormat="false" ht="46.25" hidden="false" customHeight="false" outlineLevel="0" collapsed="false">
      <c r="A460" s="15" t="s">
        <v>3404</v>
      </c>
      <c r="B460" s="15" t="s">
        <v>37</v>
      </c>
      <c r="C460" s="15" t="s">
        <v>3392</v>
      </c>
      <c r="D460" s="15" t="n">
        <v>14</v>
      </c>
      <c r="E460" s="15" t="s">
        <v>3393</v>
      </c>
      <c r="F460" s="15" t="n">
        <v>2</v>
      </c>
      <c r="G460" s="15" t="s">
        <v>141</v>
      </c>
      <c r="H460" s="15" t="s">
        <v>142</v>
      </c>
      <c r="I460" s="3" t="s">
        <v>3405</v>
      </c>
      <c r="J460" s="3" t="s">
        <v>3406</v>
      </c>
      <c r="K460" s="15" t="s">
        <v>133</v>
      </c>
      <c r="L460" s="16" t="s">
        <v>7</v>
      </c>
      <c r="M460" s="15" t="s">
        <v>68</v>
      </c>
      <c r="N460" s="15" t="s">
        <v>84</v>
      </c>
      <c r="O460" s="15" t="s">
        <v>3165</v>
      </c>
      <c r="P460" s="15" t="s">
        <v>135</v>
      </c>
      <c r="Q460" s="15" t="s">
        <v>129</v>
      </c>
      <c r="R460" s="15" t="s">
        <v>135</v>
      </c>
      <c r="S460" s="15"/>
      <c r="T460" s="15"/>
      <c r="U460" s="3" t="s">
        <v>3407</v>
      </c>
      <c r="V460" s="3" t="s">
        <v>3408</v>
      </c>
      <c r="W460" s="3"/>
      <c r="X460" s="3" t="s">
        <v>3409</v>
      </c>
      <c r="Y460" s="15" t="n">
        <v>0</v>
      </c>
      <c r="Z460" s="15" t="n">
        <v>0</v>
      </c>
      <c r="AA460" s="15" t="n">
        <v>0</v>
      </c>
      <c r="AB460" s="15" t="n">
        <v>1</v>
      </c>
      <c r="AC460" s="15" t="n">
        <v>0</v>
      </c>
      <c r="AD460" s="15" t="n">
        <v>0</v>
      </c>
      <c r="AE460" s="15" t="n">
        <v>0</v>
      </c>
      <c r="AF460" s="15" t="n">
        <v>1</v>
      </c>
      <c r="AG460" s="15" t="n">
        <v>0</v>
      </c>
      <c r="AH460" s="15" t="n">
        <v>0</v>
      </c>
    </row>
    <row r="461" customFormat="false" ht="35.05" hidden="false" customHeight="false" outlineLevel="0" collapsed="false">
      <c r="A461" s="15" t="s">
        <v>3410</v>
      </c>
      <c r="B461" s="15" t="s">
        <v>37</v>
      </c>
      <c r="C461" s="15" t="s">
        <v>3392</v>
      </c>
      <c r="D461" s="15" t="n">
        <v>15</v>
      </c>
      <c r="E461" s="15" t="s">
        <v>3411</v>
      </c>
      <c r="F461" s="15" t="n">
        <v>0</v>
      </c>
      <c r="G461" s="15" t="s">
        <v>129</v>
      </c>
      <c r="H461" s="15" t="s">
        <v>130</v>
      </c>
      <c r="I461" s="3" t="s">
        <v>3412</v>
      </c>
      <c r="J461" s="3" t="s">
        <v>3413</v>
      </c>
      <c r="K461" s="15" t="s">
        <v>133</v>
      </c>
      <c r="L461" s="16" t="s">
        <v>7</v>
      </c>
      <c r="M461" s="15" t="s">
        <v>66</v>
      </c>
      <c r="N461" s="15" t="s">
        <v>85</v>
      </c>
      <c r="O461" s="15" t="s">
        <v>3414</v>
      </c>
      <c r="P461" s="15" t="s">
        <v>185</v>
      </c>
      <c r="Q461" s="15" t="s">
        <v>129</v>
      </c>
      <c r="R461" s="15" t="s">
        <v>135</v>
      </c>
      <c r="S461" s="15"/>
      <c r="T461" s="15"/>
      <c r="U461" s="3" t="s">
        <v>3415</v>
      </c>
      <c r="V461" s="3" t="s">
        <v>3416</v>
      </c>
      <c r="W461" s="3" t="s">
        <v>3417</v>
      </c>
      <c r="X461" s="3" t="s">
        <v>3418</v>
      </c>
      <c r="Y461" s="15" t="n">
        <v>0</v>
      </c>
      <c r="Z461" s="15" t="n">
        <v>0</v>
      </c>
      <c r="AA461" s="15" t="n">
        <v>0</v>
      </c>
      <c r="AB461" s="15" t="n">
        <v>0</v>
      </c>
      <c r="AC461" s="15" t="n">
        <v>1</v>
      </c>
      <c r="AD461" s="15" t="n">
        <v>1</v>
      </c>
      <c r="AE461" s="15" t="n">
        <v>0</v>
      </c>
      <c r="AF461" s="15" t="n">
        <v>0</v>
      </c>
      <c r="AG461" s="15" t="n">
        <v>1</v>
      </c>
      <c r="AH461" s="15" t="n">
        <v>0</v>
      </c>
    </row>
    <row r="462" customFormat="false" ht="35.05" hidden="false" customHeight="false" outlineLevel="0" collapsed="false">
      <c r="A462" s="15" t="s">
        <v>3419</v>
      </c>
      <c r="B462" s="15" t="s">
        <v>37</v>
      </c>
      <c r="C462" s="15" t="s">
        <v>3392</v>
      </c>
      <c r="D462" s="15" t="n">
        <v>15</v>
      </c>
      <c r="E462" s="15" t="s">
        <v>3411</v>
      </c>
      <c r="F462" s="15" t="n">
        <v>1</v>
      </c>
      <c r="G462" s="15" t="s">
        <v>141</v>
      </c>
      <c r="H462" s="15" t="s">
        <v>142</v>
      </c>
      <c r="I462" s="3" t="s">
        <v>3420</v>
      </c>
      <c r="J462" s="3" t="s">
        <v>3421</v>
      </c>
      <c r="K462" s="15" t="s">
        <v>133</v>
      </c>
      <c r="L462" s="16" t="s">
        <v>7</v>
      </c>
      <c r="M462" s="15" t="s">
        <v>66</v>
      </c>
      <c r="N462" s="15" t="s">
        <v>84</v>
      </c>
      <c r="O462" s="15" t="s">
        <v>3422</v>
      </c>
      <c r="P462" s="15" t="s">
        <v>135</v>
      </c>
      <c r="Q462" s="15" t="s">
        <v>129</v>
      </c>
      <c r="R462" s="15" t="s">
        <v>135</v>
      </c>
      <c r="S462" s="15"/>
      <c r="T462" s="15"/>
      <c r="U462" s="3" t="s">
        <v>3423</v>
      </c>
      <c r="V462" s="3" t="s">
        <v>3424</v>
      </c>
      <c r="W462" s="3" t="s">
        <v>3425</v>
      </c>
      <c r="X462" s="3" t="s">
        <v>3426</v>
      </c>
      <c r="Y462" s="15" t="n">
        <v>0</v>
      </c>
      <c r="Z462" s="15" t="n">
        <v>0</v>
      </c>
      <c r="AA462" s="15" t="n">
        <v>0</v>
      </c>
      <c r="AB462" s="15" t="n">
        <v>1</v>
      </c>
      <c r="AC462" s="15" t="n">
        <v>1</v>
      </c>
      <c r="AD462" s="15" t="n">
        <v>1</v>
      </c>
      <c r="AE462" s="15" t="n">
        <v>0</v>
      </c>
      <c r="AF462" s="15" t="n">
        <v>1</v>
      </c>
      <c r="AG462" s="15" t="n">
        <v>0</v>
      </c>
      <c r="AH462" s="15" t="n">
        <v>0</v>
      </c>
    </row>
    <row r="463" customFormat="false" ht="35.05" hidden="false" customHeight="false" outlineLevel="0" collapsed="false">
      <c r="A463" s="15" t="s">
        <v>3427</v>
      </c>
      <c r="B463" s="15" t="s">
        <v>37</v>
      </c>
      <c r="C463" s="15" t="s">
        <v>3392</v>
      </c>
      <c r="D463" s="15" t="n">
        <v>15</v>
      </c>
      <c r="E463" s="15" t="s">
        <v>3411</v>
      </c>
      <c r="F463" s="15" t="n">
        <v>2</v>
      </c>
      <c r="G463" s="15" t="s">
        <v>197</v>
      </c>
      <c r="H463" s="15" t="s">
        <v>142</v>
      </c>
      <c r="I463" s="3" t="s">
        <v>3428</v>
      </c>
      <c r="J463" s="3" t="s">
        <v>3429</v>
      </c>
      <c r="K463" s="15" t="s">
        <v>133</v>
      </c>
      <c r="L463" s="16" t="s">
        <v>7</v>
      </c>
      <c r="M463" s="15" t="s">
        <v>66</v>
      </c>
      <c r="N463" s="15" t="s">
        <v>88</v>
      </c>
      <c r="O463" s="15" t="s">
        <v>3430</v>
      </c>
      <c r="P463" s="15" t="s">
        <v>135</v>
      </c>
      <c r="Q463" s="15" t="s">
        <v>129</v>
      </c>
      <c r="R463" s="15" t="s">
        <v>135</v>
      </c>
      <c r="S463" s="15"/>
      <c r="T463" s="15"/>
      <c r="U463" s="3" t="s">
        <v>3431</v>
      </c>
      <c r="V463" s="3" t="s">
        <v>3432</v>
      </c>
      <c r="W463" s="3" t="s">
        <v>3433</v>
      </c>
      <c r="X463" s="3" t="s">
        <v>3434</v>
      </c>
      <c r="Y463" s="15" t="n">
        <v>0</v>
      </c>
      <c r="Z463" s="15" t="n">
        <v>0</v>
      </c>
      <c r="AA463" s="15" t="n">
        <v>0</v>
      </c>
      <c r="AB463" s="15" t="n">
        <v>0</v>
      </c>
      <c r="AC463" s="15" t="n">
        <v>1</v>
      </c>
      <c r="AD463" s="15" t="n">
        <v>1</v>
      </c>
      <c r="AE463" s="15" t="n">
        <v>0</v>
      </c>
      <c r="AF463" s="15" t="n">
        <v>1</v>
      </c>
      <c r="AG463" s="15" t="n">
        <v>0</v>
      </c>
      <c r="AH463" s="15" t="n">
        <v>1</v>
      </c>
    </row>
    <row r="464" customFormat="false" ht="46.25" hidden="false" customHeight="false" outlineLevel="0" collapsed="false">
      <c r="A464" s="15" t="s">
        <v>3435</v>
      </c>
      <c r="B464" s="15" t="s">
        <v>37</v>
      </c>
      <c r="C464" s="15" t="s">
        <v>3392</v>
      </c>
      <c r="D464" s="15" t="n">
        <v>18</v>
      </c>
      <c r="E464" s="15" t="s">
        <v>3436</v>
      </c>
      <c r="F464" s="15" t="n">
        <v>0</v>
      </c>
      <c r="G464" s="15" t="s">
        <v>129</v>
      </c>
      <c r="H464" s="15" t="s">
        <v>130</v>
      </c>
      <c r="I464" s="3" t="s">
        <v>3437</v>
      </c>
      <c r="J464" s="3" t="s">
        <v>3438</v>
      </c>
      <c r="K464" s="15" t="s">
        <v>133</v>
      </c>
      <c r="L464" s="16" t="s">
        <v>7</v>
      </c>
      <c r="M464" s="15" t="s">
        <v>68</v>
      </c>
      <c r="N464" s="15" t="s">
        <v>82</v>
      </c>
      <c r="O464" s="15" t="s">
        <v>192</v>
      </c>
      <c r="P464" s="15" t="s">
        <v>135</v>
      </c>
      <c r="Q464" s="15" t="s">
        <v>136</v>
      </c>
      <c r="R464" s="15" t="s">
        <v>135</v>
      </c>
      <c r="S464" s="15"/>
      <c r="T464" s="15"/>
      <c r="U464" s="3" t="s">
        <v>3439</v>
      </c>
      <c r="V464" s="3" t="s">
        <v>3440</v>
      </c>
      <c r="W464" s="3"/>
      <c r="X464" s="3" t="s">
        <v>3441</v>
      </c>
      <c r="Y464" s="15" t="n">
        <v>0</v>
      </c>
      <c r="Z464" s="15" t="n">
        <v>1</v>
      </c>
      <c r="AA464" s="15" t="n">
        <v>0</v>
      </c>
      <c r="AB464" s="15" t="n">
        <v>1</v>
      </c>
      <c r="AC464" s="15" t="n">
        <v>0</v>
      </c>
      <c r="AD464" s="15" t="n">
        <v>0</v>
      </c>
      <c r="AE464" s="15" t="n">
        <v>0</v>
      </c>
      <c r="AF464" s="15" t="n">
        <v>1</v>
      </c>
      <c r="AG464" s="15" t="n">
        <v>0</v>
      </c>
      <c r="AH464" s="15" t="n">
        <v>0</v>
      </c>
    </row>
    <row r="465" customFormat="false" ht="35.05" hidden="false" customHeight="false" outlineLevel="0" collapsed="false">
      <c r="A465" s="15" t="s">
        <v>3442</v>
      </c>
      <c r="B465" s="15" t="s">
        <v>37</v>
      </c>
      <c r="C465" s="15" t="s">
        <v>3392</v>
      </c>
      <c r="D465" s="15" t="n">
        <v>18</v>
      </c>
      <c r="E465" s="15" t="s">
        <v>3436</v>
      </c>
      <c r="F465" s="15" t="n">
        <v>1</v>
      </c>
      <c r="G465" s="15" t="s">
        <v>307</v>
      </c>
      <c r="H465" s="15" t="s">
        <v>308</v>
      </c>
      <c r="I465" s="3" t="s">
        <v>3443</v>
      </c>
      <c r="J465" s="3" t="s">
        <v>3444</v>
      </c>
      <c r="K465" s="15" t="s">
        <v>145</v>
      </c>
      <c r="L465" s="16" t="s">
        <v>7</v>
      </c>
      <c r="M465" s="15" t="s">
        <v>68</v>
      </c>
      <c r="N465" s="15" t="s">
        <v>84</v>
      </c>
      <c r="O465" s="15" t="s">
        <v>3165</v>
      </c>
      <c r="P465" s="15" t="s">
        <v>135</v>
      </c>
      <c r="Q465" s="15" t="s">
        <v>136</v>
      </c>
      <c r="R465" s="15" t="s">
        <v>135</v>
      </c>
      <c r="S465" s="15"/>
      <c r="T465" s="15"/>
      <c r="U465" s="3" t="s">
        <v>3445</v>
      </c>
      <c r="V465" s="3" t="s">
        <v>3446</v>
      </c>
      <c r="W465" s="3"/>
      <c r="X465" s="3" t="s">
        <v>3447</v>
      </c>
      <c r="Y465" s="15" t="n">
        <v>0</v>
      </c>
      <c r="Z465" s="15" t="n">
        <v>0</v>
      </c>
      <c r="AA465" s="15" t="n">
        <v>0</v>
      </c>
      <c r="AB465" s="15" t="n">
        <v>1</v>
      </c>
      <c r="AC465" s="15" t="n">
        <v>0</v>
      </c>
      <c r="AD465" s="15" t="n">
        <v>0</v>
      </c>
      <c r="AE465" s="15" t="n">
        <v>0</v>
      </c>
      <c r="AF465" s="15" t="n">
        <v>1</v>
      </c>
      <c r="AG465" s="15" t="n">
        <v>0</v>
      </c>
      <c r="AH465" s="15" t="n">
        <v>0</v>
      </c>
    </row>
    <row r="466" customFormat="false" ht="46.25" hidden="false" customHeight="false" outlineLevel="0" collapsed="false">
      <c r="A466" s="15" t="s">
        <v>3448</v>
      </c>
      <c r="B466" s="15" t="s">
        <v>37</v>
      </c>
      <c r="C466" s="15" t="s">
        <v>3392</v>
      </c>
      <c r="D466" s="15" t="n">
        <v>18</v>
      </c>
      <c r="E466" s="15" t="s">
        <v>3436</v>
      </c>
      <c r="F466" s="15" t="n">
        <v>2</v>
      </c>
      <c r="G466" s="15" t="s">
        <v>141</v>
      </c>
      <c r="H466" s="15" t="s">
        <v>142</v>
      </c>
      <c r="I466" s="3" t="s">
        <v>3449</v>
      </c>
      <c r="J466" s="3" t="s">
        <v>3450</v>
      </c>
      <c r="K466" s="15" t="s">
        <v>133</v>
      </c>
      <c r="L466" s="16" t="s">
        <v>7</v>
      </c>
      <c r="M466" s="15" t="s">
        <v>66</v>
      </c>
      <c r="N466" s="15" t="s">
        <v>85</v>
      </c>
      <c r="O466" s="15" t="s">
        <v>146</v>
      </c>
      <c r="P466" s="15" t="s">
        <v>135</v>
      </c>
      <c r="Q466" s="15" t="s">
        <v>129</v>
      </c>
      <c r="R466" s="15" t="s">
        <v>135</v>
      </c>
      <c r="S466" s="15"/>
      <c r="T466" s="15"/>
      <c r="U466" s="3" t="s">
        <v>3451</v>
      </c>
      <c r="V466" s="3" t="s">
        <v>3452</v>
      </c>
      <c r="W466" s="3" t="s">
        <v>3453</v>
      </c>
      <c r="X466" s="3" t="s">
        <v>3454</v>
      </c>
      <c r="Y466" s="15" t="n">
        <v>0</v>
      </c>
      <c r="Z466" s="15" t="n">
        <v>0</v>
      </c>
      <c r="AA466" s="15" t="n">
        <v>0</v>
      </c>
      <c r="AB466" s="15" t="n">
        <v>0</v>
      </c>
      <c r="AC466" s="15" t="n">
        <v>1</v>
      </c>
      <c r="AD466" s="15" t="n">
        <v>0</v>
      </c>
      <c r="AE466" s="15" t="n">
        <v>0</v>
      </c>
      <c r="AF466" s="15" t="n">
        <v>1</v>
      </c>
      <c r="AG466" s="15" t="n">
        <v>0</v>
      </c>
      <c r="AH466" s="15" t="n">
        <v>0</v>
      </c>
    </row>
    <row r="467" customFormat="false" ht="57.45" hidden="false" customHeight="false" outlineLevel="0" collapsed="false">
      <c r="A467" s="15" t="s">
        <v>3455</v>
      </c>
      <c r="B467" s="15" t="s">
        <v>37</v>
      </c>
      <c r="C467" s="15" t="s">
        <v>3456</v>
      </c>
      <c r="D467" s="15" t="n">
        <v>30</v>
      </c>
      <c r="E467" s="15" t="s">
        <v>3457</v>
      </c>
      <c r="F467" s="15" t="n">
        <v>0</v>
      </c>
      <c r="G467" s="15" t="s">
        <v>129</v>
      </c>
      <c r="H467" s="15" t="s">
        <v>130</v>
      </c>
      <c r="I467" s="3" t="s">
        <v>3458</v>
      </c>
      <c r="J467" s="3" t="s">
        <v>3459</v>
      </c>
      <c r="K467" s="15" t="s">
        <v>133</v>
      </c>
      <c r="L467" s="16" t="s">
        <v>7</v>
      </c>
      <c r="M467" s="15" t="s">
        <v>68</v>
      </c>
      <c r="N467" s="15" t="s">
        <v>82</v>
      </c>
      <c r="O467" s="15" t="s">
        <v>3460</v>
      </c>
      <c r="P467" s="15" t="s">
        <v>185</v>
      </c>
      <c r="Q467" s="15" t="s">
        <v>129</v>
      </c>
      <c r="R467" s="15" t="s">
        <v>135</v>
      </c>
      <c r="S467" s="15"/>
      <c r="T467" s="15"/>
      <c r="U467" s="3" t="s">
        <v>3461</v>
      </c>
      <c r="V467" s="3" t="s">
        <v>3462</v>
      </c>
      <c r="W467" s="3" t="s">
        <v>3463</v>
      </c>
      <c r="X467" s="3" t="s">
        <v>3464</v>
      </c>
      <c r="Y467" s="15" t="n">
        <v>0</v>
      </c>
      <c r="Z467" s="15" t="n">
        <v>1</v>
      </c>
      <c r="AA467" s="15" t="n">
        <v>0</v>
      </c>
      <c r="AB467" s="15" t="n">
        <v>0</v>
      </c>
      <c r="AC467" s="15" t="n">
        <v>0</v>
      </c>
      <c r="AD467" s="15" t="n">
        <v>0</v>
      </c>
      <c r="AE467" s="15" t="n">
        <v>1</v>
      </c>
      <c r="AF467" s="15" t="n">
        <v>0</v>
      </c>
      <c r="AG467" s="15" t="n">
        <v>0</v>
      </c>
      <c r="AH467" s="15" t="n">
        <v>1</v>
      </c>
    </row>
    <row r="468" customFormat="false" ht="46.25" hidden="false" customHeight="false" outlineLevel="0" collapsed="false">
      <c r="A468" s="15" t="s">
        <v>3465</v>
      </c>
      <c r="B468" s="15" t="s">
        <v>37</v>
      </c>
      <c r="C468" s="15" t="s">
        <v>3456</v>
      </c>
      <c r="D468" s="15" t="n">
        <v>30</v>
      </c>
      <c r="E468" s="15" t="s">
        <v>3457</v>
      </c>
      <c r="F468" s="15" t="n">
        <v>1</v>
      </c>
      <c r="G468" s="15" t="s">
        <v>141</v>
      </c>
      <c r="H468" s="15" t="s">
        <v>142</v>
      </c>
      <c r="I468" s="3" t="s">
        <v>3466</v>
      </c>
      <c r="J468" s="3" t="s">
        <v>3467</v>
      </c>
      <c r="K468" s="15" t="s">
        <v>145</v>
      </c>
      <c r="L468" s="16" t="s">
        <v>7</v>
      </c>
      <c r="M468" s="15" t="s">
        <v>68</v>
      </c>
      <c r="N468" s="15" t="s">
        <v>82</v>
      </c>
      <c r="O468" s="15" t="s">
        <v>192</v>
      </c>
      <c r="P468" s="15" t="s">
        <v>135</v>
      </c>
      <c r="Q468" s="15" t="s">
        <v>136</v>
      </c>
      <c r="R468" s="15" t="s">
        <v>135</v>
      </c>
      <c r="S468" s="15"/>
      <c r="T468" s="15"/>
      <c r="U468" s="3" t="s">
        <v>3468</v>
      </c>
      <c r="V468" s="3" t="s">
        <v>3469</v>
      </c>
      <c r="W468" s="3" t="s">
        <v>3470</v>
      </c>
      <c r="X468" s="3" t="s">
        <v>3471</v>
      </c>
      <c r="Y468" s="15" t="n">
        <v>0</v>
      </c>
      <c r="Z468" s="15" t="n">
        <v>1</v>
      </c>
      <c r="AA468" s="15" t="n">
        <v>0</v>
      </c>
      <c r="AB468" s="15" t="n">
        <v>1</v>
      </c>
      <c r="AC468" s="15" t="n">
        <v>0</v>
      </c>
      <c r="AD468" s="15" t="n">
        <v>0</v>
      </c>
      <c r="AE468" s="15" t="n">
        <v>0</v>
      </c>
      <c r="AF468" s="15" t="n">
        <v>1</v>
      </c>
      <c r="AG468" s="15" t="n">
        <v>0</v>
      </c>
      <c r="AH468" s="15" t="n">
        <v>0</v>
      </c>
    </row>
    <row r="469" customFormat="false" ht="35.05" hidden="false" customHeight="false" outlineLevel="0" collapsed="false">
      <c r="A469" s="15" t="s">
        <v>3472</v>
      </c>
      <c r="B469" s="15" t="s">
        <v>37</v>
      </c>
      <c r="C469" s="15" t="s">
        <v>3456</v>
      </c>
      <c r="D469" s="15" t="n">
        <v>30</v>
      </c>
      <c r="E469" s="15" t="s">
        <v>3457</v>
      </c>
      <c r="F469" s="15" t="n">
        <v>2</v>
      </c>
      <c r="G469" s="15" t="s">
        <v>197</v>
      </c>
      <c r="H469" s="15" t="s">
        <v>142</v>
      </c>
      <c r="I469" s="3" t="s">
        <v>3473</v>
      </c>
      <c r="J469" s="3" t="s">
        <v>3474</v>
      </c>
      <c r="K469" s="15" t="s">
        <v>133</v>
      </c>
      <c r="L469" s="17" t="s">
        <v>9</v>
      </c>
      <c r="M469" s="15" t="s">
        <v>70</v>
      </c>
      <c r="N469" s="15" t="s">
        <v>81</v>
      </c>
      <c r="O469" s="15" t="s">
        <v>340</v>
      </c>
      <c r="P469" s="15" t="s">
        <v>135</v>
      </c>
      <c r="Q469" s="15" t="s">
        <v>136</v>
      </c>
      <c r="R469" s="15" t="s">
        <v>135</v>
      </c>
      <c r="S469" s="15" t="s">
        <v>405</v>
      </c>
      <c r="T469" s="15" t="s">
        <v>327</v>
      </c>
      <c r="U469" s="3" t="s">
        <v>3475</v>
      </c>
      <c r="V469" s="3" t="s">
        <v>3476</v>
      </c>
      <c r="W469" s="3"/>
      <c r="X469" s="3"/>
      <c r="Y469" s="15" t="n">
        <v>1</v>
      </c>
      <c r="Z469" s="15" t="n">
        <v>0</v>
      </c>
      <c r="AA469" s="15" t="n">
        <v>0</v>
      </c>
      <c r="AB469" s="15" t="n">
        <v>0</v>
      </c>
      <c r="AC469" s="15" t="n">
        <v>0</v>
      </c>
      <c r="AD469" s="15" t="n">
        <v>0</v>
      </c>
      <c r="AE469" s="15" t="n">
        <v>0</v>
      </c>
      <c r="AF469" s="15" t="n">
        <v>0</v>
      </c>
      <c r="AG469" s="15" t="n">
        <v>0</v>
      </c>
      <c r="AH469" s="15" t="n">
        <v>1</v>
      </c>
    </row>
    <row r="470" customFormat="false" ht="68.65" hidden="false" customHeight="false" outlineLevel="0" collapsed="false">
      <c r="A470" s="15" t="s">
        <v>3477</v>
      </c>
      <c r="B470" s="15" t="s">
        <v>37</v>
      </c>
      <c r="C470" s="15" t="s">
        <v>3456</v>
      </c>
      <c r="D470" s="15" t="n">
        <v>48</v>
      </c>
      <c r="E470" s="15" t="s">
        <v>3478</v>
      </c>
      <c r="F470" s="15" t="n">
        <v>0</v>
      </c>
      <c r="G470" s="15" t="s">
        <v>197</v>
      </c>
      <c r="H470" s="15" t="s">
        <v>142</v>
      </c>
      <c r="I470" s="3" t="s">
        <v>3479</v>
      </c>
      <c r="J470" s="3" t="s">
        <v>3480</v>
      </c>
      <c r="K470" s="15" t="s">
        <v>133</v>
      </c>
      <c r="L470" s="16" t="s">
        <v>7</v>
      </c>
      <c r="M470" s="15" t="s">
        <v>66</v>
      </c>
      <c r="N470" s="15" t="s">
        <v>87</v>
      </c>
      <c r="O470" s="15" t="s">
        <v>87</v>
      </c>
      <c r="P470" s="15" t="s">
        <v>185</v>
      </c>
      <c r="Q470" s="15" t="s">
        <v>197</v>
      </c>
      <c r="R470" s="15" t="s">
        <v>135</v>
      </c>
      <c r="S470" s="15"/>
      <c r="T470" s="15"/>
      <c r="U470" s="3" t="s">
        <v>3481</v>
      </c>
      <c r="V470" s="3" t="s">
        <v>3482</v>
      </c>
      <c r="W470" s="3"/>
      <c r="X470" s="3" t="s">
        <v>3483</v>
      </c>
      <c r="Y470" s="15" t="n">
        <v>0</v>
      </c>
      <c r="Z470" s="15" t="n">
        <v>0</v>
      </c>
      <c r="AA470" s="15" t="n">
        <v>0</v>
      </c>
      <c r="AB470" s="15" t="n">
        <v>0</v>
      </c>
      <c r="AC470" s="15" t="n">
        <v>0</v>
      </c>
      <c r="AD470" s="15" t="n">
        <v>0</v>
      </c>
      <c r="AE470" s="15" t="n">
        <v>1</v>
      </c>
      <c r="AF470" s="15" t="n">
        <v>0</v>
      </c>
      <c r="AG470" s="15" t="n">
        <v>0</v>
      </c>
      <c r="AH470" s="15" t="n">
        <v>0</v>
      </c>
    </row>
    <row r="471" customFormat="false" ht="57.45" hidden="false" customHeight="false" outlineLevel="0" collapsed="false">
      <c r="A471" s="15" t="s">
        <v>3484</v>
      </c>
      <c r="B471" s="15" t="s">
        <v>37</v>
      </c>
      <c r="C471" s="15" t="s">
        <v>3456</v>
      </c>
      <c r="D471" s="15" t="n">
        <v>48</v>
      </c>
      <c r="E471" s="15" t="s">
        <v>3478</v>
      </c>
      <c r="F471" s="15" t="n">
        <v>1</v>
      </c>
      <c r="G471" s="15" t="s">
        <v>141</v>
      </c>
      <c r="H471" s="15" t="s">
        <v>142</v>
      </c>
      <c r="I471" s="3" t="s">
        <v>3485</v>
      </c>
      <c r="J471" s="3" t="s">
        <v>3486</v>
      </c>
      <c r="K471" s="15" t="s">
        <v>145</v>
      </c>
      <c r="L471" s="16" t="s">
        <v>7</v>
      </c>
      <c r="M471" s="15" t="s">
        <v>68</v>
      </c>
      <c r="N471" s="15" t="s">
        <v>84</v>
      </c>
      <c r="O471" s="15" t="s">
        <v>3165</v>
      </c>
      <c r="P471" s="15" t="s">
        <v>135</v>
      </c>
      <c r="Q471" s="15" t="s">
        <v>307</v>
      </c>
      <c r="R471" s="15" t="s">
        <v>135</v>
      </c>
      <c r="S471" s="15"/>
      <c r="T471" s="15"/>
      <c r="U471" s="3" t="s">
        <v>3487</v>
      </c>
      <c r="V471" s="3" t="s">
        <v>3488</v>
      </c>
      <c r="W471" s="3"/>
      <c r="X471" s="3" t="s">
        <v>3489</v>
      </c>
      <c r="Y471" s="15" t="n">
        <v>0</v>
      </c>
      <c r="Z471" s="15" t="n">
        <v>0</v>
      </c>
      <c r="AA471" s="15" t="n">
        <v>0</v>
      </c>
      <c r="AB471" s="15" t="n">
        <v>1</v>
      </c>
      <c r="AC471" s="15" t="n">
        <v>0</v>
      </c>
      <c r="AD471" s="15" t="n">
        <v>0</v>
      </c>
      <c r="AE471" s="15" t="n">
        <v>0</v>
      </c>
      <c r="AF471" s="15" t="n">
        <v>1</v>
      </c>
      <c r="AG471" s="15" t="n">
        <v>0</v>
      </c>
      <c r="AH471" s="15" t="n">
        <v>0</v>
      </c>
    </row>
    <row r="472" customFormat="false" ht="46.25" hidden="false" customHeight="false" outlineLevel="0" collapsed="false">
      <c r="A472" s="15" t="s">
        <v>3490</v>
      </c>
      <c r="B472" s="15" t="s">
        <v>37</v>
      </c>
      <c r="C472" s="15" t="s">
        <v>3456</v>
      </c>
      <c r="D472" s="15" t="n">
        <v>48</v>
      </c>
      <c r="E472" s="15" t="s">
        <v>3478</v>
      </c>
      <c r="F472" s="15" t="n">
        <v>2</v>
      </c>
      <c r="G472" s="15" t="s">
        <v>129</v>
      </c>
      <c r="H472" s="15" t="s">
        <v>130</v>
      </c>
      <c r="I472" s="3" t="s">
        <v>3491</v>
      </c>
      <c r="J472" s="3" t="s">
        <v>3492</v>
      </c>
      <c r="K472" s="15" t="s">
        <v>133</v>
      </c>
      <c r="L472" s="16" t="s">
        <v>7</v>
      </c>
      <c r="M472" s="15" t="s">
        <v>68</v>
      </c>
      <c r="N472" s="15" t="s">
        <v>82</v>
      </c>
      <c r="O472" s="15" t="s">
        <v>82</v>
      </c>
      <c r="P472" s="15" t="s">
        <v>185</v>
      </c>
      <c r="Q472" s="15" t="s">
        <v>129</v>
      </c>
      <c r="R472" s="15" t="s">
        <v>135</v>
      </c>
      <c r="S472" s="15"/>
      <c r="T472" s="15"/>
      <c r="U472" s="3" t="s">
        <v>3493</v>
      </c>
      <c r="V472" s="3" t="s">
        <v>3494</v>
      </c>
      <c r="W472" s="3"/>
      <c r="X472" s="3" t="s">
        <v>3495</v>
      </c>
      <c r="Y472" s="15" t="n">
        <v>0</v>
      </c>
      <c r="Z472" s="15" t="n">
        <v>1</v>
      </c>
      <c r="AA472" s="15" t="n">
        <v>0</v>
      </c>
      <c r="AB472" s="15" t="n">
        <v>0</v>
      </c>
      <c r="AC472" s="15" t="n">
        <v>0</v>
      </c>
      <c r="AD472" s="15" t="n">
        <v>0</v>
      </c>
      <c r="AE472" s="15" t="n">
        <v>0</v>
      </c>
      <c r="AF472" s="15" t="n">
        <v>0</v>
      </c>
      <c r="AG472" s="15" t="n">
        <v>0</v>
      </c>
      <c r="AH472" s="15" t="n">
        <v>0</v>
      </c>
    </row>
    <row r="473" customFormat="false" ht="23.85" hidden="false" customHeight="false" outlineLevel="0" collapsed="false">
      <c r="A473" s="15" t="s">
        <v>3496</v>
      </c>
      <c r="B473" s="15" t="s">
        <v>37</v>
      </c>
      <c r="C473" s="15" t="s">
        <v>3497</v>
      </c>
      <c r="D473" s="15" t="n">
        <v>1</v>
      </c>
      <c r="E473" s="15" t="s">
        <v>3498</v>
      </c>
      <c r="F473" s="15" t="n">
        <v>0</v>
      </c>
      <c r="G473" s="15" t="s">
        <v>197</v>
      </c>
      <c r="H473" s="15" t="s">
        <v>142</v>
      </c>
      <c r="I473" s="3" t="s">
        <v>3499</v>
      </c>
      <c r="J473" s="3" t="s">
        <v>3500</v>
      </c>
      <c r="K473" s="15" t="s">
        <v>133</v>
      </c>
      <c r="L473" s="16" t="s">
        <v>7</v>
      </c>
      <c r="M473" s="15" t="s">
        <v>68</v>
      </c>
      <c r="N473" s="15" t="s">
        <v>82</v>
      </c>
      <c r="O473" s="15" t="s">
        <v>750</v>
      </c>
      <c r="P473" s="15" t="s">
        <v>185</v>
      </c>
      <c r="Q473" s="15" t="s">
        <v>197</v>
      </c>
      <c r="R473" s="15" t="s">
        <v>135</v>
      </c>
      <c r="S473" s="15"/>
      <c r="T473" s="15"/>
      <c r="U473" s="3" t="s">
        <v>3501</v>
      </c>
      <c r="V473" s="3" t="s">
        <v>3502</v>
      </c>
      <c r="W473" s="3" t="s">
        <v>3503</v>
      </c>
      <c r="X473" s="3" t="s">
        <v>3504</v>
      </c>
      <c r="Y473" s="15" t="n">
        <v>0</v>
      </c>
      <c r="Z473" s="15" t="n">
        <v>1</v>
      </c>
      <c r="AA473" s="15" t="n">
        <v>0</v>
      </c>
      <c r="AB473" s="15" t="n">
        <v>0</v>
      </c>
      <c r="AC473" s="15" t="n">
        <v>0</v>
      </c>
      <c r="AD473" s="15" t="n">
        <v>0</v>
      </c>
      <c r="AE473" s="15" t="n">
        <v>0</v>
      </c>
      <c r="AF473" s="15" t="n">
        <v>0</v>
      </c>
      <c r="AG473" s="15" t="n">
        <v>1</v>
      </c>
      <c r="AH473" s="15" t="n">
        <v>0</v>
      </c>
    </row>
    <row r="474" customFormat="false" ht="35.05" hidden="false" customHeight="false" outlineLevel="0" collapsed="false">
      <c r="A474" s="15" t="s">
        <v>3505</v>
      </c>
      <c r="B474" s="15" t="s">
        <v>37</v>
      </c>
      <c r="C474" s="15" t="s">
        <v>3497</v>
      </c>
      <c r="D474" s="15" t="n">
        <v>1</v>
      </c>
      <c r="E474" s="15" t="s">
        <v>3498</v>
      </c>
      <c r="F474" s="15" t="n">
        <v>1</v>
      </c>
      <c r="G474" s="15" t="s">
        <v>141</v>
      </c>
      <c r="H474" s="15" t="s">
        <v>142</v>
      </c>
      <c r="I474" s="3" t="s">
        <v>3506</v>
      </c>
      <c r="J474" s="3" t="s">
        <v>3507</v>
      </c>
      <c r="K474" s="15" t="s">
        <v>145</v>
      </c>
      <c r="L474" s="17" t="s">
        <v>9</v>
      </c>
      <c r="M474" s="15" t="s">
        <v>70</v>
      </c>
      <c r="N474" s="15" t="s">
        <v>81</v>
      </c>
      <c r="O474" s="15" t="s">
        <v>340</v>
      </c>
      <c r="P474" s="15" t="s">
        <v>135</v>
      </c>
      <c r="Q474" s="15" t="s">
        <v>197</v>
      </c>
      <c r="R474" s="15" t="s">
        <v>135</v>
      </c>
      <c r="S474" s="15" t="s">
        <v>341</v>
      </c>
      <c r="T474" s="15" t="s">
        <v>327</v>
      </c>
      <c r="U474" s="3" t="s">
        <v>3508</v>
      </c>
      <c r="V474" s="3" t="s">
        <v>3509</v>
      </c>
      <c r="W474" s="3"/>
      <c r="X474" s="3"/>
      <c r="Y474" s="15" t="n">
        <v>1</v>
      </c>
      <c r="Z474" s="15" t="n">
        <v>0</v>
      </c>
      <c r="AA474" s="15" t="n">
        <v>0</v>
      </c>
      <c r="AB474" s="15" t="n">
        <v>0</v>
      </c>
      <c r="AC474" s="15" t="n">
        <v>0</v>
      </c>
      <c r="AD474" s="15" t="n">
        <v>0</v>
      </c>
      <c r="AE474" s="15" t="n">
        <v>0</v>
      </c>
      <c r="AF474" s="15" t="n">
        <v>0</v>
      </c>
      <c r="AG474" s="15" t="n">
        <v>0</v>
      </c>
      <c r="AH474" s="15" t="n">
        <v>1</v>
      </c>
    </row>
    <row r="475" customFormat="false" ht="23.85" hidden="false" customHeight="false" outlineLevel="0" collapsed="false">
      <c r="A475" s="15" t="s">
        <v>3510</v>
      </c>
      <c r="B475" s="15" t="s">
        <v>37</v>
      </c>
      <c r="C475" s="15" t="s">
        <v>3497</v>
      </c>
      <c r="D475" s="15" t="n">
        <v>1</v>
      </c>
      <c r="E475" s="15" t="s">
        <v>3498</v>
      </c>
      <c r="F475" s="15" t="n">
        <v>2</v>
      </c>
      <c r="G475" s="15" t="s">
        <v>129</v>
      </c>
      <c r="H475" s="15" t="s">
        <v>130</v>
      </c>
      <c r="I475" s="3" t="s">
        <v>3511</v>
      </c>
      <c r="J475" s="3" t="s">
        <v>3512</v>
      </c>
      <c r="K475" s="15" t="s">
        <v>133</v>
      </c>
      <c r="L475" s="17" t="s">
        <v>9</v>
      </c>
      <c r="M475" s="15" t="s">
        <v>70</v>
      </c>
      <c r="N475" s="15" t="s">
        <v>81</v>
      </c>
      <c r="O475" s="15" t="s">
        <v>340</v>
      </c>
      <c r="P475" s="15" t="s">
        <v>185</v>
      </c>
      <c r="Q475" s="15" t="s">
        <v>129</v>
      </c>
      <c r="R475" s="15" t="s">
        <v>135</v>
      </c>
      <c r="S475" s="15" t="s">
        <v>405</v>
      </c>
      <c r="T475" s="15" t="s">
        <v>327</v>
      </c>
      <c r="U475" s="3" t="s">
        <v>3513</v>
      </c>
      <c r="V475" s="3" t="s">
        <v>3514</v>
      </c>
      <c r="W475" s="3"/>
      <c r="X475" s="3"/>
      <c r="Y475" s="15" t="n">
        <v>1</v>
      </c>
      <c r="Z475" s="15" t="n">
        <v>0</v>
      </c>
      <c r="AA475" s="15" t="n">
        <v>0</v>
      </c>
      <c r="AB475" s="15" t="n">
        <v>0</v>
      </c>
      <c r="AC475" s="15" t="n">
        <v>0</v>
      </c>
      <c r="AD475" s="15" t="n">
        <v>0</v>
      </c>
      <c r="AE475" s="15" t="n">
        <v>0</v>
      </c>
      <c r="AF475" s="15" t="n">
        <v>0</v>
      </c>
      <c r="AG475" s="15" t="n">
        <v>0</v>
      </c>
      <c r="AH475" s="15" t="n">
        <v>1</v>
      </c>
    </row>
    <row r="476" customFormat="false" ht="57.45" hidden="false" customHeight="false" outlineLevel="0" collapsed="false">
      <c r="A476" s="15" t="s">
        <v>3515</v>
      </c>
      <c r="B476" s="15" t="s">
        <v>37</v>
      </c>
      <c r="C476" s="15" t="s">
        <v>3516</v>
      </c>
      <c r="D476" s="15" t="n">
        <v>4</v>
      </c>
      <c r="E476" s="15" t="s">
        <v>3517</v>
      </c>
      <c r="F476" s="15" t="n">
        <v>0</v>
      </c>
      <c r="G476" s="15" t="s">
        <v>197</v>
      </c>
      <c r="H476" s="15" t="s">
        <v>142</v>
      </c>
      <c r="I476" s="3" t="s">
        <v>3518</v>
      </c>
      <c r="J476" s="3" t="s">
        <v>3519</v>
      </c>
      <c r="K476" s="15" t="s">
        <v>133</v>
      </c>
      <c r="L476" s="16" t="s">
        <v>7</v>
      </c>
      <c r="M476" s="15" t="s">
        <v>66</v>
      </c>
      <c r="N476" s="15" t="s">
        <v>90</v>
      </c>
      <c r="O476" s="15" t="s">
        <v>2921</v>
      </c>
      <c r="P476" s="15" t="s">
        <v>135</v>
      </c>
      <c r="Q476" s="15" t="s">
        <v>129</v>
      </c>
      <c r="R476" s="15" t="s">
        <v>135</v>
      </c>
      <c r="S476" s="15"/>
      <c r="T476" s="15"/>
      <c r="U476" s="3" t="s">
        <v>3520</v>
      </c>
      <c r="V476" s="3" t="s">
        <v>3521</v>
      </c>
      <c r="W476" s="3" t="s">
        <v>3522</v>
      </c>
      <c r="X476" s="3" t="s">
        <v>3523</v>
      </c>
      <c r="Y476" s="15" t="n">
        <v>0</v>
      </c>
      <c r="Z476" s="15" t="n">
        <v>0</v>
      </c>
      <c r="AA476" s="15" t="n">
        <v>0</v>
      </c>
      <c r="AB476" s="15" t="n">
        <v>0</v>
      </c>
      <c r="AC476" s="15" t="n">
        <v>0</v>
      </c>
      <c r="AD476" s="15" t="n">
        <v>0</v>
      </c>
      <c r="AE476" s="15" t="n">
        <v>1</v>
      </c>
      <c r="AF476" s="15" t="n">
        <v>1</v>
      </c>
      <c r="AG476" s="15" t="n">
        <v>0</v>
      </c>
      <c r="AH476" s="15" t="n">
        <v>1</v>
      </c>
    </row>
    <row r="477" customFormat="false" ht="35.05" hidden="false" customHeight="false" outlineLevel="0" collapsed="false">
      <c r="A477" s="15" t="s">
        <v>3524</v>
      </c>
      <c r="B477" s="15" t="s">
        <v>37</v>
      </c>
      <c r="C477" s="15" t="s">
        <v>3516</v>
      </c>
      <c r="D477" s="15" t="n">
        <v>4</v>
      </c>
      <c r="E477" s="15" t="s">
        <v>3517</v>
      </c>
      <c r="F477" s="15" t="n">
        <v>1</v>
      </c>
      <c r="G477" s="15" t="s">
        <v>152</v>
      </c>
      <c r="H477" s="15" t="s">
        <v>142</v>
      </c>
      <c r="I477" s="3" t="s">
        <v>3525</v>
      </c>
      <c r="J477" s="3" t="s">
        <v>3526</v>
      </c>
      <c r="K477" s="15" t="s">
        <v>145</v>
      </c>
      <c r="L477" s="17" t="s">
        <v>9</v>
      </c>
      <c r="M477" s="15" t="s">
        <v>70</v>
      </c>
      <c r="N477" s="15" t="s">
        <v>81</v>
      </c>
      <c r="O477" s="15" t="s">
        <v>389</v>
      </c>
      <c r="P477" s="15" t="s">
        <v>135</v>
      </c>
      <c r="Q477" s="15" t="s">
        <v>152</v>
      </c>
      <c r="R477" s="15" t="s">
        <v>135</v>
      </c>
      <c r="S477" s="15" t="s">
        <v>326</v>
      </c>
      <c r="T477" s="15" t="s">
        <v>390</v>
      </c>
      <c r="U477" s="3" t="s">
        <v>3527</v>
      </c>
      <c r="V477" s="3" t="s">
        <v>3528</v>
      </c>
      <c r="W477" s="3"/>
      <c r="X477" s="3"/>
      <c r="Y477" s="15" t="n">
        <v>1</v>
      </c>
      <c r="Z477" s="15" t="n">
        <v>0</v>
      </c>
      <c r="AA477" s="15" t="n">
        <v>0</v>
      </c>
      <c r="AB477" s="15" t="n">
        <v>0</v>
      </c>
      <c r="AC477" s="15" t="n">
        <v>1</v>
      </c>
      <c r="AD477" s="15" t="n">
        <v>0</v>
      </c>
      <c r="AE477" s="15" t="n">
        <v>0</v>
      </c>
      <c r="AF477" s="15" t="n">
        <v>0</v>
      </c>
      <c r="AG477" s="15" t="n">
        <v>0</v>
      </c>
      <c r="AH477" s="15" t="n">
        <v>0</v>
      </c>
    </row>
    <row r="478" customFormat="false" ht="35.05" hidden="false" customHeight="false" outlineLevel="0" collapsed="false">
      <c r="A478" s="15" t="s">
        <v>3529</v>
      </c>
      <c r="B478" s="15" t="s">
        <v>37</v>
      </c>
      <c r="C478" s="15" t="s">
        <v>3516</v>
      </c>
      <c r="D478" s="15" t="n">
        <v>4</v>
      </c>
      <c r="E478" s="15" t="s">
        <v>3517</v>
      </c>
      <c r="F478" s="15" t="n">
        <v>2</v>
      </c>
      <c r="G478" s="15" t="s">
        <v>141</v>
      </c>
      <c r="H478" s="15" t="s">
        <v>142</v>
      </c>
      <c r="I478" s="3" t="s">
        <v>3530</v>
      </c>
      <c r="J478" s="3" t="s">
        <v>3531</v>
      </c>
      <c r="K478" s="15" t="s">
        <v>133</v>
      </c>
      <c r="L478" s="16" t="s">
        <v>7</v>
      </c>
      <c r="M478" s="15" t="s">
        <v>66</v>
      </c>
      <c r="N478" s="15" t="s">
        <v>90</v>
      </c>
      <c r="O478" s="15" t="s">
        <v>513</v>
      </c>
      <c r="P478" s="15" t="s">
        <v>135</v>
      </c>
      <c r="Q478" s="15" t="s">
        <v>129</v>
      </c>
      <c r="R478" s="15" t="s">
        <v>185</v>
      </c>
      <c r="S478" s="15"/>
      <c r="T478" s="15"/>
      <c r="U478" s="3" t="s">
        <v>3532</v>
      </c>
      <c r="V478" s="3" t="s">
        <v>3533</v>
      </c>
      <c r="W478" s="3" t="s">
        <v>3534</v>
      </c>
      <c r="X478" s="3" t="s">
        <v>3535</v>
      </c>
      <c r="Y478" s="15" t="n">
        <v>0</v>
      </c>
      <c r="Z478" s="15" t="n">
        <v>0</v>
      </c>
      <c r="AA478" s="15" t="n">
        <v>0</v>
      </c>
      <c r="AB478" s="15" t="n">
        <v>0</v>
      </c>
      <c r="AC478" s="15" t="n">
        <v>0</v>
      </c>
      <c r="AD478" s="15" t="n">
        <v>0</v>
      </c>
      <c r="AE478" s="15" t="n">
        <v>0</v>
      </c>
      <c r="AF478" s="15" t="n">
        <v>1</v>
      </c>
      <c r="AG478" s="15" t="n">
        <v>0</v>
      </c>
      <c r="AH478" s="15" t="n">
        <v>1</v>
      </c>
    </row>
    <row r="479" customFormat="false" ht="46.25" hidden="false" customHeight="false" outlineLevel="0" collapsed="false">
      <c r="A479" s="15" t="s">
        <v>3536</v>
      </c>
      <c r="B479" s="15" t="s">
        <v>37</v>
      </c>
      <c r="C479" s="15" t="s">
        <v>3537</v>
      </c>
      <c r="D479" s="15" t="n">
        <v>3</v>
      </c>
      <c r="E479" s="15" t="s">
        <v>3538</v>
      </c>
      <c r="F479" s="15" t="n">
        <v>0</v>
      </c>
      <c r="G479" s="15" t="s">
        <v>129</v>
      </c>
      <c r="H479" s="15" t="s">
        <v>130</v>
      </c>
      <c r="I479" s="3" t="s">
        <v>3539</v>
      </c>
      <c r="J479" s="3" t="s">
        <v>3540</v>
      </c>
      <c r="K479" s="15" t="s">
        <v>133</v>
      </c>
      <c r="L479" s="16" t="s">
        <v>7</v>
      </c>
      <c r="M479" s="15" t="s">
        <v>66</v>
      </c>
      <c r="N479" s="15" t="s">
        <v>90</v>
      </c>
      <c r="O479" s="15" t="s">
        <v>90</v>
      </c>
      <c r="P479" s="15" t="s">
        <v>185</v>
      </c>
      <c r="Q479" s="15" t="s">
        <v>129</v>
      </c>
      <c r="R479" s="15" t="s">
        <v>185</v>
      </c>
      <c r="S479" s="15"/>
      <c r="T479" s="15"/>
      <c r="U479" s="3" t="s">
        <v>3541</v>
      </c>
      <c r="V479" s="3" t="s">
        <v>3542</v>
      </c>
      <c r="W479" s="3" t="s">
        <v>3543</v>
      </c>
      <c r="X479" s="3" t="s">
        <v>3544</v>
      </c>
      <c r="Y479" s="15" t="n">
        <v>0</v>
      </c>
      <c r="Z479" s="15" t="n">
        <v>0</v>
      </c>
      <c r="AA479" s="15" t="n">
        <v>0</v>
      </c>
      <c r="AB479" s="15" t="n">
        <v>0</v>
      </c>
      <c r="AC479" s="15" t="n">
        <v>0</v>
      </c>
      <c r="AD479" s="15" t="n">
        <v>0</v>
      </c>
      <c r="AE479" s="15" t="n">
        <v>0</v>
      </c>
      <c r="AF479" s="15" t="n">
        <v>0</v>
      </c>
      <c r="AG479" s="15" t="n">
        <v>0</v>
      </c>
      <c r="AH479" s="15" t="n">
        <v>1</v>
      </c>
    </row>
    <row r="480" customFormat="false" ht="35.05" hidden="false" customHeight="false" outlineLevel="0" collapsed="false">
      <c r="A480" s="15" t="s">
        <v>3545</v>
      </c>
      <c r="B480" s="15" t="s">
        <v>37</v>
      </c>
      <c r="C480" s="15" t="s">
        <v>3537</v>
      </c>
      <c r="D480" s="15" t="n">
        <v>3</v>
      </c>
      <c r="E480" s="15" t="s">
        <v>3538</v>
      </c>
      <c r="F480" s="15" t="n">
        <v>1</v>
      </c>
      <c r="G480" s="15" t="s">
        <v>197</v>
      </c>
      <c r="H480" s="15" t="s">
        <v>142</v>
      </c>
      <c r="I480" s="3" t="s">
        <v>3546</v>
      </c>
      <c r="J480" s="3" t="s">
        <v>3547</v>
      </c>
      <c r="K480" s="15" t="s">
        <v>145</v>
      </c>
      <c r="L480" s="16" t="s">
        <v>7</v>
      </c>
      <c r="M480" s="15" t="s">
        <v>68</v>
      </c>
      <c r="N480" s="15" t="s">
        <v>84</v>
      </c>
      <c r="O480" s="15" t="s">
        <v>1152</v>
      </c>
      <c r="P480" s="15" t="s">
        <v>185</v>
      </c>
      <c r="Q480" s="15" t="s">
        <v>197</v>
      </c>
      <c r="R480" s="15" t="s">
        <v>135</v>
      </c>
      <c r="S480" s="15"/>
      <c r="T480" s="15"/>
      <c r="U480" s="3" t="s">
        <v>3548</v>
      </c>
      <c r="V480" s="3" t="s">
        <v>3549</v>
      </c>
      <c r="W480" s="3"/>
      <c r="X480" s="3" t="s">
        <v>3550</v>
      </c>
      <c r="Y480" s="15" t="n">
        <v>0</v>
      </c>
      <c r="Z480" s="15" t="n">
        <v>1</v>
      </c>
      <c r="AA480" s="15" t="n">
        <v>0</v>
      </c>
      <c r="AB480" s="15" t="n">
        <v>1</v>
      </c>
      <c r="AC480" s="15" t="n">
        <v>0</v>
      </c>
      <c r="AD480" s="15" t="n">
        <v>0</v>
      </c>
      <c r="AE480" s="15" t="n">
        <v>0</v>
      </c>
      <c r="AF480" s="15" t="n">
        <v>0</v>
      </c>
      <c r="AG480" s="15" t="n">
        <v>0</v>
      </c>
      <c r="AH480" s="15" t="n">
        <v>0</v>
      </c>
    </row>
    <row r="481" customFormat="false" ht="46.25" hidden="false" customHeight="false" outlineLevel="0" collapsed="false">
      <c r="A481" s="15" t="s">
        <v>3551</v>
      </c>
      <c r="B481" s="15" t="s">
        <v>37</v>
      </c>
      <c r="C481" s="15" t="s">
        <v>3537</v>
      </c>
      <c r="D481" s="15" t="n">
        <v>3</v>
      </c>
      <c r="E481" s="15" t="s">
        <v>3538</v>
      </c>
      <c r="F481" s="15" t="n">
        <v>2</v>
      </c>
      <c r="G481" s="15" t="s">
        <v>141</v>
      </c>
      <c r="H481" s="15" t="s">
        <v>142</v>
      </c>
      <c r="I481" s="3" t="s">
        <v>3552</v>
      </c>
      <c r="J481" s="3" t="s">
        <v>3553</v>
      </c>
      <c r="K481" s="15" t="s">
        <v>133</v>
      </c>
      <c r="L481" s="16" t="s">
        <v>7</v>
      </c>
      <c r="M481" s="15" t="s">
        <v>68</v>
      </c>
      <c r="N481" s="15" t="s">
        <v>84</v>
      </c>
      <c r="O481" s="15" t="s">
        <v>3554</v>
      </c>
      <c r="P481" s="15" t="s">
        <v>185</v>
      </c>
      <c r="Q481" s="15" t="s">
        <v>141</v>
      </c>
      <c r="R481" s="15" t="s">
        <v>135</v>
      </c>
      <c r="S481" s="15"/>
      <c r="T481" s="15"/>
      <c r="U481" s="3" t="s">
        <v>3555</v>
      </c>
      <c r="V481" s="3" t="s">
        <v>3556</v>
      </c>
      <c r="W481" s="3"/>
      <c r="X481" s="3" t="s">
        <v>3557</v>
      </c>
      <c r="Y481" s="15" t="n">
        <v>0</v>
      </c>
      <c r="Z481" s="15" t="n">
        <v>1</v>
      </c>
      <c r="AA481" s="15" t="n">
        <v>1</v>
      </c>
      <c r="AB481" s="15" t="n">
        <v>1</v>
      </c>
      <c r="AC481" s="15" t="n">
        <v>0</v>
      </c>
      <c r="AD481" s="15" t="n">
        <v>0</v>
      </c>
      <c r="AE481" s="15" t="n">
        <v>0</v>
      </c>
      <c r="AF481" s="15" t="n">
        <v>0</v>
      </c>
      <c r="AG481" s="15" t="n">
        <v>0</v>
      </c>
      <c r="AH481" s="15" t="n">
        <v>0</v>
      </c>
    </row>
    <row r="482" customFormat="false" ht="57.45" hidden="false" customHeight="false" outlineLevel="0" collapsed="false">
      <c r="A482" s="15" t="s">
        <v>3558</v>
      </c>
      <c r="B482" s="15" t="s">
        <v>37</v>
      </c>
      <c r="C482" s="15" t="s">
        <v>3537</v>
      </c>
      <c r="D482" s="15" t="n">
        <v>5</v>
      </c>
      <c r="E482" s="15" t="s">
        <v>3559</v>
      </c>
      <c r="F482" s="15" t="n">
        <v>0</v>
      </c>
      <c r="G482" s="15" t="s">
        <v>197</v>
      </c>
      <c r="H482" s="15" t="s">
        <v>142</v>
      </c>
      <c r="I482" s="3" t="s">
        <v>3560</v>
      </c>
      <c r="J482" s="3" t="s">
        <v>3561</v>
      </c>
      <c r="K482" s="15" t="s">
        <v>133</v>
      </c>
      <c r="L482" s="16" t="s">
        <v>7</v>
      </c>
      <c r="M482" s="15" t="s">
        <v>68</v>
      </c>
      <c r="N482" s="15" t="s">
        <v>84</v>
      </c>
      <c r="O482" s="15" t="s">
        <v>3186</v>
      </c>
      <c r="P482" s="15" t="s">
        <v>135</v>
      </c>
      <c r="Q482" s="15" t="s">
        <v>152</v>
      </c>
      <c r="R482" s="15" t="s">
        <v>135</v>
      </c>
      <c r="S482" s="15"/>
      <c r="T482" s="15"/>
      <c r="U482" s="3" t="s">
        <v>3562</v>
      </c>
      <c r="V482" s="3" t="s">
        <v>3563</v>
      </c>
      <c r="W482" s="3"/>
      <c r="X482" s="3" t="s">
        <v>3564</v>
      </c>
      <c r="Y482" s="15" t="n">
        <v>0</v>
      </c>
      <c r="Z482" s="15" t="n">
        <v>0</v>
      </c>
      <c r="AA482" s="15" t="n">
        <v>0</v>
      </c>
      <c r="AB482" s="15" t="n">
        <v>1</v>
      </c>
      <c r="AC482" s="15" t="n">
        <v>0</v>
      </c>
      <c r="AD482" s="15" t="n">
        <v>0</v>
      </c>
      <c r="AE482" s="15" t="n">
        <v>1</v>
      </c>
      <c r="AF482" s="15" t="n">
        <v>0</v>
      </c>
      <c r="AG482" s="15" t="n">
        <v>0</v>
      </c>
      <c r="AH482" s="15" t="n">
        <v>0</v>
      </c>
    </row>
    <row r="483" customFormat="false" ht="46.25" hidden="false" customHeight="false" outlineLevel="0" collapsed="false">
      <c r="A483" s="15" t="s">
        <v>3565</v>
      </c>
      <c r="B483" s="15" t="s">
        <v>37</v>
      </c>
      <c r="C483" s="15" t="s">
        <v>3537</v>
      </c>
      <c r="D483" s="15" t="n">
        <v>5</v>
      </c>
      <c r="E483" s="15" t="s">
        <v>3559</v>
      </c>
      <c r="F483" s="15" t="n">
        <v>1</v>
      </c>
      <c r="G483" s="15" t="s">
        <v>141</v>
      </c>
      <c r="H483" s="15" t="s">
        <v>142</v>
      </c>
      <c r="I483" s="3" t="s">
        <v>3566</v>
      </c>
      <c r="J483" s="3" t="s">
        <v>3567</v>
      </c>
      <c r="K483" s="15" t="s">
        <v>145</v>
      </c>
      <c r="L483" s="16" t="s">
        <v>7</v>
      </c>
      <c r="M483" s="15" t="s">
        <v>66</v>
      </c>
      <c r="N483" s="15" t="s">
        <v>86</v>
      </c>
      <c r="O483" s="15" t="s">
        <v>3568</v>
      </c>
      <c r="P483" s="15" t="s">
        <v>135</v>
      </c>
      <c r="Q483" s="15" t="s">
        <v>129</v>
      </c>
      <c r="R483" s="15" t="s">
        <v>135</v>
      </c>
      <c r="S483" s="15"/>
      <c r="T483" s="15"/>
      <c r="U483" s="3" t="s">
        <v>3569</v>
      </c>
      <c r="V483" s="3" t="s">
        <v>3570</v>
      </c>
      <c r="W483" s="3" t="s">
        <v>3571</v>
      </c>
      <c r="X483" s="3" t="s">
        <v>3572</v>
      </c>
      <c r="Y483" s="15" t="n">
        <v>0</v>
      </c>
      <c r="Z483" s="15" t="n">
        <v>0</v>
      </c>
      <c r="AA483" s="15" t="n">
        <v>1</v>
      </c>
      <c r="AB483" s="15" t="n">
        <v>0</v>
      </c>
      <c r="AC483" s="15" t="n">
        <v>0</v>
      </c>
      <c r="AD483" s="15" t="n">
        <v>1</v>
      </c>
      <c r="AE483" s="15" t="n">
        <v>0</v>
      </c>
      <c r="AF483" s="15" t="n">
        <v>0</v>
      </c>
      <c r="AG483" s="15" t="n">
        <v>0</v>
      </c>
      <c r="AH483" s="15" t="n">
        <v>1</v>
      </c>
    </row>
    <row r="484" customFormat="false" ht="46.25" hidden="false" customHeight="false" outlineLevel="0" collapsed="false">
      <c r="A484" s="15" t="s">
        <v>3573</v>
      </c>
      <c r="B484" s="15" t="s">
        <v>37</v>
      </c>
      <c r="C484" s="15" t="s">
        <v>3537</v>
      </c>
      <c r="D484" s="15" t="n">
        <v>5</v>
      </c>
      <c r="E484" s="15" t="s">
        <v>3559</v>
      </c>
      <c r="F484" s="15" t="n">
        <v>2</v>
      </c>
      <c r="G484" s="15" t="s">
        <v>129</v>
      </c>
      <c r="H484" s="15" t="s">
        <v>130</v>
      </c>
      <c r="I484" s="3" t="s">
        <v>3574</v>
      </c>
      <c r="J484" s="3" t="s">
        <v>3575</v>
      </c>
      <c r="K484" s="15" t="s">
        <v>133</v>
      </c>
      <c r="L484" s="16" t="s">
        <v>7</v>
      </c>
      <c r="M484" s="15" t="s">
        <v>68</v>
      </c>
      <c r="N484" s="15" t="s">
        <v>82</v>
      </c>
      <c r="O484" s="15" t="s">
        <v>549</v>
      </c>
      <c r="P484" s="15" t="s">
        <v>185</v>
      </c>
      <c r="Q484" s="15" t="s">
        <v>129</v>
      </c>
      <c r="R484" s="15" t="s">
        <v>135</v>
      </c>
      <c r="S484" s="15"/>
      <c r="T484" s="15"/>
      <c r="U484" s="3" t="s">
        <v>3576</v>
      </c>
      <c r="V484" s="3" t="s">
        <v>3577</v>
      </c>
      <c r="W484" s="3" t="s">
        <v>3578</v>
      </c>
      <c r="X484" s="3" t="s">
        <v>3579</v>
      </c>
      <c r="Y484" s="15" t="n">
        <v>0</v>
      </c>
      <c r="Z484" s="15" t="n">
        <v>1</v>
      </c>
      <c r="AA484" s="15" t="n">
        <v>0</v>
      </c>
      <c r="AB484" s="15" t="n">
        <v>0</v>
      </c>
      <c r="AC484" s="15" t="n">
        <v>0</v>
      </c>
      <c r="AD484" s="15" t="n">
        <v>0</v>
      </c>
      <c r="AE484" s="15" t="n">
        <v>0</v>
      </c>
      <c r="AF484" s="15" t="n">
        <v>0</v>
      </c>
      <c r="AG484" s="15" t="n">
        <v>0</v>
      </c>
      <c r="AH484" s="15" t="n">
        <v>1</v>
      </c>
    </row>
    <row r="485" customFormat="false" ht="46.25" hidden="false" customHeight="false" outlineLevel="0" collapsed="false">
      <c r="A485" s="15" t="s">
        <v>3580</v>
      </c>
      <c r="B485" s="15" t="s">
        <v>37</v>
      </c>
      <c r="C485" s="15" t="s">
        <v>3581</v>
      </c>
      <c r="D485" s="15" t="n">
        <v>3</v>
      </c>
      <c r="E485" s="15" t="s">
        <v>3582</v>
      </c>
      <c r="F485" s="15" t="n">
        <v>0</v>
      </c>
      <c r="G485" s="15" t="s">
        <v>129</v>
      </c>
      <c r="H485" s="15" t="s">
        <v>130</v>
      </c>
      <c r="I485" s="3" t="s">
        <v>3583</v>
      </c>
      <c r="J485" s="3" t="s">
        <v>3584</v>
      </c>
      <c r="K485" s="15" t="s">
        <v>133</v>
      </c>
      <c r="L485" s="16" t="s">
        <v>7</v>
      </c>
      <c r="M485" s="15" t="s">
        <v>66</v>
      </c>
      <c r="N485" s="15" t="s">
        <v>90</v>
      </c>
      <c r="O485" s="15" t="s">
        <v>2644</v>
      </c>
      <c r="P485" s="15" t="s">
        <v>185</v>
      </c>
      <c r="Q485" s="15" t="s">
        <v>129</v>
      </c>
      <c r="R485" s="15" t="s">
        <v>135</v>
      </c>
      <c r="S485" s="15"/>
      <c r="T485" s="15"/>
      <c r="U485" s="3" t="s">
        <v>3585</v>
      </c>
      <c r="V485" s="3" t="s">
        <v>3586</v>
      </c>
      <c r="W485" s="3" t="s">
        <v>3587</v>
      </c>
      <c r="X485" s="3" t="s">
        <v>3588</v>
      </c>
      <c r="Y485" s="15" t="n">
        <v>0</v>
      </c>
      <c r="Z485" s="15" t="n">
        <v>0</v>
      </c>
      <c r="AA485" s="15" t="n">
        <v>0</v>
      </c>
      <c r="AB485" s="15" t="n">
        <v>0</v>
      </c>
      <c r="AC485" s="15" t="n">
        <v>1</v>
      </c>
      <c r="AD485" s="15" t="n">
        <v>0</v>
      </c>
      <c r="AE485" s="15" t="n">
        <v>0</v>
      </c>
      <c r="AF485" s="15" t="n">
        <v>0</v>
      </c>
      <c r="AG485" s="15" t="n">
        <v>0</v>
      </c>
      <c r="AH485" s="15" t="n">
        <v>1</v>
      </c>
    </row>
    <row r="486" customFormat="false" ht="35.05" hidden="false" customHeight="false" outlineLevel="0" collapsed="false">
      <c r="A486" s="15" t="s">
        <v>3589</v>
      </c>
      <c r="B486" s="15" t="s">
        <v>37</v>
      </c>
      <c r="C486" s="15" t="s">
        <v>3581</v>
      </c>
      <c r="D486" s="15" t="n">
        <v>3</v>
      </c>
      <c r="E486" s="15" t="s">
        <v>3582</v>
      </c>
      <c r="F486" s="15" t="n">
        <v>1</v>
      </c>
      <c r="G486" s="15" t="s">
        <v>197</v>
      </c>
      <c r="H486" s="15" t="s">
        <v>142</v>
      </c>
      <c r="I486" s="3" t="s">
        <v>3590</v>
      </c>
      <c r="J486" s="3" t="s">
        <v>3591</v>
      </c>
      <c r="K486" s="15" t="s">
        <v>145</v>
      </c>
      <c r="L486" s="16" t="s">
        <v>7</v>
      </c>
      <c r="M486" s="15" t="s">
        <v>68</v>
      </c>
      <c r="N486" s="15" t="s">
        <v>82</v>
      </c>
      <c r="O486" s="15" t="s">
        <v>606</v>
      </c>
      <c r="P486" s="15" t="s">
        <v>185</v>
      </c>
      <c r="Q486" s="15" t="s">
        <v>197</v>
      </c>
      <c r="R486" s="15" t="s">
        <v>135</v>
      </c>
      <c r="S486" s="15"/>
      <c r="T486" s="15"/>
      <c r="U486" s="3" t="s">
        <v>3592</v>
      </c>
      <c r="V486" s="3" t="s">
        <v>3593</v>
      </c>
      <c r="W486" s="3" t="s">
        <v>3594</v>
      </c>
      <c r="X486" s="3" t="s">
        <v>3595</v>
      </c>
      <c r="Y486" s="15" t="n">
        <v>0</v>
      </c>
      <c r="Z486" s="15" t="n">
        <v>1</v>
      </c>
      <c r="AA486" s="15" t="n">
        <v>0</v>
      </c>
      <c r="AB486" s="15" t="n">
        <v>0</v>
      </c>
      <c r="AC486" s="15" t="n">
        <v>1</v>
      </c>
      <c r="AD486" s="15" t="n">
        <v>0</v>
      </c>
      <c r="AE486" s="15" t="n">
        <v>0</v>
      </c>
      <c r="AF486" s="15" t="n">
        <v>0</v>
      </c>
      <c r="AG486" s="15" t="n">
        <v>0</v>
      </c>
      <c r="AH486" s="15" t="n">
        <v>0</v>
      </c>
    </row>
    <row r="487" customFormat="false" ht="35.05" hidden="false" customHeight="false" outlineLevel="0" collapsed="false">
      <c r="A487" s="15" t="s">
        <v>3596</v>
      </c>
      <c r="B487" s="15" t="s">
        <v>37</v>
      </c>
      <c r="C487" s="15" t="s">
        <v>3581</v>
      </c>
      <c r="D487" s="15" t="n">
        <v>3</v>
      </c>
      <c r="E487" s="15" t="s">
        <v>3582</v>
      </c>
      <c r="F487" s="15" t="n">
        <v>2</v>
      </c>
      <c r="G487" s="15" t="s">
        <v>141</v>
      </c>
      <c r="H487" s="15" t="s">
        <v>142</v>
      </c>
      <c r="I487" s="3" t="s">
        <v>3583</v>
      </c>
      <c r="J487" s="3" t="s">
        <v>3584</v>
      </c>
      <c r="K487" s="15" t="s">
        <v>133</v>
      </c>
      <c r="L487" s="16" t="s">
        <v>7</v>
      </c>
      <c r="M487" s="15" t="s">
        <v>66</v>
      </c>
      <c r="N487" s="15" t="s">
        <v>88</v>
      </c>
      <c r="O487" s="15" t="s">
        <v>231</v>
      </c>
      <c r="P487" s="15" t="s">
        <v>135</v>
      </c>
      <c r="Q487" s="15" t="s">
        <v>197</v>
      </c>
      <c r="R487" s="15" t="s">
        <v>185</v>
      </c>
      <c r="S487" s="15"/>
      <c r="T487" s="15"/>
      <c r="U487" s="3" t="s">
        <v>3597</v>
      </c>
      <c r="V487" s="3" t="s">
        <v>3598</v>
      </c>
      <c r="W487" s="3" t="s">
        <v>3599</v>
      </c>
      <c r="X487" s="3" t="s">
        <v>3600</v>
      </c>
      <c r="Y487" s="15" t="n">
        <v>0</v>
      </c>
      <c r="Z487" s="15" t="n">
        <v>0</v>
      </c>
      <c r="AA487" s="15" t="n">
        <v>0</v>
      </c>
      <c r="AB487" s="15" t="n">
        <v>0</v>
      </c>
      <c r="AC487" s="15" t="n">
        <v>0</v>
      </c>
      <c r="AD487" s="15" t="n">
        <v>0</v>
      </c>
      <c r="AE487" s="15" t="n">
        <v>0</v>
      </c>
      <c r="AF487" s="15" t="n">
        <v>1</v>
      </c>
      <c r="AG487" s="15" t="n">
        <v>0</v>
      </c>
      <c r="AH487" s="15" t="n">
        <v>1</v>
      </c>
    </row>
    <row r="488" customFormat="false" ht="35.05" hidden="false" customHeight="false" outlineLevel="0" collapsed="false">
      <c r="A488" s="15" t="s">
        <v>3601</v>
      </c>
      <c r="B488" s="15" t="s">
        <v>37</v>
      </c>
      <c r="C488" s="15" t="s">
        <v>3602</v>
      </c>
      <c r="D488" s="15" t="n">
        <v>1</v>
      </c>
      <c r="E488" s="15" t="s">
        <v>3603</v>
      </c>
      <c r="F488" s="15" t="n">
        <v>0</v>
      </c>
      <c r="G488" s="15" t="s">
        <v>129</v>
      </c>
      <c r="H488" s="15" t="s">
        <v>130</v>
      </c>
      <c r="I488" s="3" t="s">
        <v>3604</v>
      </c>
      <c r="J488" s="3" t="s">
        <v>3605</v>
      </c>
      <c r="K488" s="15" t="s">
        <v>133</v>
      </c>
      <c r="L488" s="16" t="s">
        <v>7</v>
      </c>
      <c r="M488" s="15" t="s">
        <v>66</v>
      </c>
      <c r="N488" s="15" t="s">
        <v>90</v>
      </c>
      <c r="O488" s="15" t="s">
        <v>829</v>
      </c>
      <c r="P488" s="15" t="s">
        <v>185</v>
      </c>
      <c r="Q488" s="15" t="s">
        <v>129</v>
      </c>
      <c r="R488" s="15" t="s">
        <v>185</v>
      </c>
      <c r="S488" s="15"/>
      <c r="T488" s="15"/>
      <c r="U488" s="3" t="s">
        <v>3606</v>
      </c>
      <c r="V488" s="3" t="s">
        <v>3607</v>
      </c>
      <c r="W488" s="3" t="s">
        <v>3608</v>
      </c>
      <c r="X488" s="3" t="s">
        <v>3609</v>
      </c>
      <c r="Y488" s="15" t="n">
        <v>0</v>
      </c>
      <c r="Z488" s="15" t="n">
        <v>0</v>
      </c>
      <c r="AA488" s="15" t="n">
        <v>0</v>
      </c>
      <c r="AB488" s="15" t="n">
        <v>0</v>
      </c>
      <c r="AC488" s="15" t="n">
        <v>0</v>
      </c>
      <c r="AD488" s="15" t="n">
        <v>0</v>
      </c>
      <c r="AE488" s="15" t="n">
        <v>0</v>
      </c>
      <c r="AF488" s="15" t="n">
        <v>0</v>
      </c>
      <c r="AG488" s="15" t="n">
        <v>1</v>
      </c>
      <c r="AH488" s="15" t="n">
        <v>1</v>
      </c>
    </row>
    <row r="489" customFormat="false" ht="35.05" hidden="false" customHeight="false" outlineLevel="0" collapsed="false">
      <c r="A489" s="15" t="s">
        <v>3610</v>
      </c>
      <c r="B489" s="15" t="s">
        <v>37</v>
      </c>
      <c r="C489" s="15" t="s">
        <v>3602</v>
      </c>
      <c r="D489" s="15" t="n">
        <v>1</v>
      </c>
      <c r="E489" s="15" t="s">
        <v>3603</v>
      </c>
      <c r="F489" s="15" t="n">
        <v>1</v>
      </c>
      <c r="G489" s="15" t="s">
        <v>141</v>
      </c>
      <c r="H489" s="15" t="s">
        <v>142</v>
      </c>
      <c r="I489" s="3" t="s">
        <v>3611</v>
      </c>
      <c r="J489" s="3" t="s">
        <v>3612</v>
      </c>
      <c r="K489" s="15" t="s">
        <v>133</v>
      </c>
      <c r="L489" s="16" t="s">
        <v>7</v>
      </c>
      <c r="M489" s="15" t="s">
        <v>66</v>
      </c>
      <c r="N489" s="15" t="s">
        <v>88</v>
      </c>
      <c r="O489" s="15" t="s">
        <v>231</v>
      </c>
      <c r="P489" s="15" t="s">
        <v>135</v>
      </c>
      <c r="Q489" s="15" t="s">
        <v>129</v>
      </c>
      <c r="R489" s="15" t="s">
        <v>185</v>
      </c>
      <c r="S489" s="15"/>
      <c r="T489" s="15"/>
      <c r="U489" s="3" t="s">
        <v>3613</v>
      </c>
      <c r="V489" s="3" t="s">
        <v>3614</v>
      </c>
      <c r="W489" s="3" t="s">
        <v>3615</v>
      </c>
      <c r="X489" s="3" t="s">
        <v>3616</v>
      </c>
      <c r="Y489" s="15" t="n">
        <v>0</v>
      </c>
      <c r="Z489" s="15" t="n">
        <v>0</v>
      </c>
      <c r="AA489" s="15" t="n">
        <v>0</v>
      </c>
      <c r="AB489" s="15" t="n">
        <v>0</v>
      </c>
      <c r="AC489" s="15" t="n">
        <v>0</v>
      </c>
      <c r="AD489" s="15" t="n">
        <v>0</v>
      </c>
      <c r="AE489" s="15" t="n">
        <v>0</v>
      </c>
      <c r="AF489" s="15" t="n">
        <v>1</v>
      </c>
      <c r="AG489" s="15" t="n">
        <v>0</v>
      </c>
      <c r="AH489" s="15" t="n">
        <v>1</v>
      </c>
    </row>
    <row r="490" customFormat="false" ht="46.25" hidden="false" customHeight="false" outlineLevel="0" collapsed="false">
      <c r="A490" s="15" t="s">
        <v>3617</v>
      </c>
      <c r="B490" s="15" t="s">
        <v>37</v>
      </c>
      <c r="C490" s="15" t="s">
        <v>3602</v>
      </c>
      <c r="D490" s="15" t="n">
        <v>1</v>
      </c>
      <c r="E490" s="15" t="s">
        <v>3603</v>
      </c>
      <c r="F490" s="15" t="n">
        <v>2</v>
      </c>
      <c r="G490" s="15" t="s">
        <v>197</v>
      </c>
      <c r="H490" s="15" t="s">
        <v>142</v>
      </c>
      <c r="I490" s="3" t="s">
        <v>3618</v>
      </c>
      <c r="J490" s="3" t="s">
        <v>3619</v>
      </c>
      <c r="K490" s="15" t="s">
        <v>133</v>
      </c>
      <c r="L490" s="16" t="s">
        <v>7</v>
      </c>
      <c r="M490" s="15" t="s">
        <v>66</v>
      </c>
      <c r="N490" s="15" t="s">
        <v>86</v>
      </c>
      <c r="O490" s="15" t="s">
        <v>3620</v>
      </c>
      <c r="P490" s="15" t="s">
        <v>135</v>
      </c>
      <c r="Q490" s="15" t="s">
        <v>129</v>
      </c>
      <c r="R490" s="15" t="s">
        <v>135</v>
      </c>
      <c r="S490" s="15"/>
      <c r="T490" s="15"/>
      <c r="U490" s="3" t="s">
        <v>3621</v>
      </c>
      <c r="V490" s="3" t="s">
        <v>3622</v>
      </c>
      <c r="W490" s="3" t="s">
        <v>3623</v>
      </c>
      <c r="X490" s="3" t="s">
        <v>3624</v>
      </c>
      <c r="Y490" s="15" t="n">
        <v>0</v>
      </c>
      <c r="Z490" s="15" t="n">
        <v>0</v>
      </c>
      <c r="AA490" s="15" t="n">
        <v>0</v>
      </c>
      <c r="AB490" s="15" t="n">
        <v>0</v>
      </c>
      <c r="AC490" s="15" t="n">
        <v>0</v>
      </c>
      <c r="AD490" s="15" t="n">
        <v>1</v>
      </c>
      <c r="AE490" s="15" t="n">
        <v>0</v>
      </c>
      <c r="AF490" s="15" t="n">
        <v>1</v>
      </c>
      <c r="AG490" s="15" t="n">
        <v>0</v>
      </c>
      <c r="AH490" s="15" t="n">
        <v>1</v>
      </c>
    </row>
    <row r="491" customFormat="false" ht="46.25" hidden="false" customHeight="false" outlineLevel="0" collapsed="false">
      <c r="A491" s="15" t="s">
        <v>3625</v>
      </c>
      <c r="B491" s="15" t="s">
        <v>37</v>
      </c>
      <c r="C491" s="15" t="s">
        <v>3602</v>
      </c>
      <c r="D491" s="15" t="n">
        <v>3</v>
      </c>
      <c r="E491" s="15" t="s">
        <v>3626</v>
      </c>
      <c r="F491" s="15" t="n">
        <v>0</v>
      </c>
      <c r="G491" s="15" t="s">
        <v>129</v>
      </c>
      <c r="H491" s="15" t="s">
        <v>130</v>
      </c>
      <c r="I491" s="3" t="s">
        <v>3627</v>
      </c>
      <c r="J491" s="3" t="s">
        <v>3628</v>
      </c>
      <c r="K491" s="15" t="s">
        <v>133</v>
      </c>
      <c r="L491" s="16" t="s">
        <v>7</v>
      </c>
      <c r="M491" s="15" t="s">
        <v>68</v>
      </c>
      <c r="N491" s="15" t="s">
        <v>84</v>
      </c>
      <c r="O491" s="15" t="s">
        <v>1840</v>
      </c>
      <c r="P491" s="15" t="s">
        <v>185</v>
      </c>
      <c r="Q491" s="15" t="s">
        <v>129</v>
      </c>
      <c r="R491" s="15" t="s">
        <v>135</v>
      </c>
      <c r="S491" s="15"/>
      <c r="T491" s="15"/>
      <c r="U491" s="3" t="s">
        <v>3629</v>
      </c>
      <c r="V491" s="3" t="s">
        <v>3630</v>
      </c>
      <c r="W491" s="3"/>
      <c r="X491" s="3" t="s">
        <v>3631</v>
      </c>
      <c r="Y491" s="15" t="n">
        <v>0</v>
      </c>
      <c r="Z491" s="15" t="n">
        <v>1</v>
      </c>
      <c r="AA491" s="15" t="n">
        <v>0</v>
      </c>
      <c r="AB491" s="15" t="n">
        <v>1</v>
      </c>
      <c r="AC491" s="15" t="n">
        <v>0</v>
      </c>
      <c r="AD491" s="15" t="n">
        <v>0</v>
      </c>
      <c r="AE491" s="15" t="n">
        <v>0</v>
      </c>
      <c r="AF491" s="15" t="n">
        <v>0</v>
      </c>
      <c r="AG491" s="15" t="n">
        <v>0</v>
      </c>
      <c r="AH491" s="15" t="n">
        <v>1</v>
      </c>
    </row>
    <row r="492" customFormat="false" ht="46.25" hidden="false" customHeight="false" outlineLevel="0" collapsed="false">
      <c r="A492" s="15" t="s">
        <v>3632</v>
      </c>
      <c r="B492" s="15" t="s">
        <v>37</v>
      </c>
      <c r="C492" s="15" t="s">
        <v>3602</v>
      </c>
      <c r="D492" s="15" t="n">
        <v>3</v>
      </c>
      <c r="E492" s="15" t="s">
        <v>3626</v>
      </c>
      <c r="F492" s="15" t="n">
        <v>1</v>
      </c>
      <c r="G492" s="15" t="s">
        <v>197</v>
      </c>
      <c r="H492" s="15" t="s">
        <v>142</v>
      </c>
      <c r="I492" s="3" t="s">
        <v>3633</v>
      </c>
      <c r="J492" s="3" t="s">
        <v>3634</v>
      </c>
      <c r="K492" s="15" t="s">
        <v>145</v>
      </c>
      <c r="L492" s="16" t="s">
        <v>7</v>
      </c>
      <c r="M492" s="15" t="s">
        <v>68</v>
      </c>
      <c r="N492" s="15" t="s">
        <v>84</v>
      </c>
      <c r="O492" s="15" t="s">
        <v>3165</v>
      </c>
      <c r="P492" s="15" t="s">
        <v>135</v>
      </c>
      <c r="Q492" s="15" t="s">
        <v>129</v>
      </c>
      <c r="R492" s="15" t="s">
        <v>135</v>
      </c>
      <c r="S492" s="15"/>
      <c r="T492" s="15"/>
      <c r="U492" s="3" t="s">
        <v>3635</v>
      </c>
      <c r="V492" s="3" t="s">
        <v>3636</v>
      </c>
      <c r="W492" s="3"/>
      <c r="X492" s="3" t="s">
        <v>3637</v>
      </c>
      <c r="Y492" s="15" t="n">
        <v>0</v>
      </c>
      <c r="Z492" s="15" t="n">
        <v>0</v>
      </c>
      <c r="AA492" s="15" t="n">
        <v>0</v>
      </c>
      <c r="AB492" s="15" t="n">
        <v>1</v>
      </c>
      <c r="AC492" s="15" t="n">
        <v>0</v>
      </c>
      <c r="AD492" s="15" t="n">
        <v>0</v>
      </c>
      <c r="AE492" s="15" t="n">
        <v>0</v>
      </c>
      <c r="AF492" s="15" t="n">
        <v>1</v>
      </c>
      <c r="AG492" s="15" t="n">
        <v>0</v>
      </c>
      <c r="AH492" s="15" t="n">
        <v>0</v>
      </c>
    </row>
    <row r="493" customFormat="false" ht="46.25" hidden="false" customHeight="false" outlineLevel="0" collapsed="false">
      <c r="A493" s="15" t="s">
        <v>3638</v>
      </c>
      <c r="B493" s="15" t="s">
        <v>37</v>
      </c>
      <c r="C493" s="15" t="s">
        <v>3602</v>
      </c>
      <c r="D493" s="15" t="n">
        <v>3</v>
      </c>
      <c r="E493" s="15" t="s">
        <v>3626</v>
      </c>
      <c r="F493" s="15" t="n">
        <v>2</v>
      </c>
      <c r="G493" s="15" t="s">
        <v>141</v>
      </c>
      <c r="H493" s="15" t="s">
        <v>142</v>
      </c>
      <c r="I493" s="3" t="s">
        <v>3639</v>
      </c>
      <c r="J493" s="3" t="s">
        <v>3640</v>
      </c>
      <c r="K493" s="15" t="s">
        <v>133</v>
      </c>
      <c r="L493" s="16" t="s">
        <v>7</v>
      </c>
      <c r="M493" s="15" t="s">
        <v>68</v>
      </c>
      <c r="N493" s="15" t="s">
        <v>82</v>
      </c>
      <c r="O493" s="15" t="s">
        <v>3641</v>
      </c>
      <c r="P493" s="15" t="s">
        <v>135</v>
      </c>
      <c r="Q493" s="15" t="s">
        <v>197</v>
      </c>
      <c r="R493" s="15" t="s">
        <v>135</v>
      </c>
      <c r="S493" s="15"/>
      <c r="T493" s="15"/>
      <c r="U493" s="3" t="s">
        <v>3642</v>
      </c>
      <c r="V493" s="3" t="s">
        <v>3643</v>
      </c>
      <c r="W493" s="3" t="s">
        <v>3644</v>
      </c>
      <c r="X493" s="3" t="s">
        <v>3645</v>
      </c>
      <c r="Y493" s="15" t="n">
        <v>0</v>
      </c>
      <c r="Z493" s="15" t="n">
        <v>1</v>
      </c>
      <c r="AA493" s="15" t="n">
        <v>0</v>
      </c>
      <c r="AB493" s="15" t="n">
        <v>0</v>
      </c>
      <c r="AC493" s="15" t="n">
        <v>0</v>
      </c>
      <c r="AD493" s="15" t="n">
        <v>0</v>
      </c>
      <c r="AE493" s="15" t="n">
        <v>1</v>
      </c>
      <c r="AF493" s="15" t="n">
        <v>1</v>
      </c>
      <c r="AG493" s="15" t="n">
        <v>0</v>
      </c>
      <c r="AH493" s="15" t="n">
        <v>0</v>
      </c>
    </row>
    <row r="494" customFormat="false" ht="91" hidden="false" customHeight="false" outlineLevel="0" collapsed="false">
      <c r="A494" s="15" t="s">
        <v>3646</v>
      </c>
      <c r="B494" s="15" t="s">
        <v>37</v>
      </c>
      <c r="C494" s="15" t="s">
        <v>3647</v>
      </c>
      <c r="D494" s="15" t="n">
        <v>14</v>
      </c>
      <c r="E494" s="15" t="s">
        <v>3648</v>
      </c>
      <c r="F494" s="15" t="n">
        <v>0</v>
      </c>
      <c r="G494" s="15" t="s">
        <v>129</v>
      </c>
      <c r="H494" s="15" t="s">
        <v>130</v>
      </c>
      <c r="I494" s="3" t="s">
        <v>3649</v>
      </c>
      <c r="J494" s="3" t="s">
        <v>3650</v>
      </c>
      <c r="K494" s="15" t="s">
        <v>145</v>
      </c>
      <c r="L494" s="16" t="s">
        <v>7</v>
      </c>
      <c r="M494" s="15" t="s">
        <v>68</v>
      </c>
      <c r="N494" s="15" t="s">
        <v>82</v>
      </c>
      <c r="O494" s="15" t="s">
        <v>3651</v>
      </c>
      <c r="P494" s="15" t="s">
        <v>185</v>
      </c>
      <c r="Q494" s="15" t="s">
        <v>129</v>
      </c>
      <c r="R494" s="15" t="s">
        <v>135</v>
      </c>
      <c r="S494" s="15"/>
      <c r="T494" s="15"/>
      <c r="U494" s="3" t="s">
        <v>3652</v>
      </c>
      <c r="V494" s="3" t="s">
        <v>3653</v>
      </c>
      <c r="W494" s="3" t="s">
        <v>3654</v>
      </c>
      <c r="X494" s="3" t="s">
        <v>3655</v>
      </c>
      <c r="Y494" s="15" t="n">
        <v>0</v>
      </c>
      <c r="Z494" s="15" t="n">
        <v>1</v>
      </c>
      <c r="AA494" s="15" t="n">
        <v>0</v>
      </c>
      <c r="AB494" s="15" t="n">
        <v>1</v>
      </c>
      <c r="AC494" s="15" t="n">
        <v>0</v>
      </c>
      <c r="AD494" s="15" t="n">
        <v>0</v>
      </c>
      <c r="AE494" s="15" t="n">
        <v>0</v>
      </c>
      <c r="AF494" s="15" t="n">
        <v>0</v>
      </c>
      <c r="AG494" s="15" t="n">
        <v>0</v>
      </c>
      <c r="AH494" s="15" t="n">
        <v>1</v>
      </c>
    </row>
    <row r="495" customFormat="false" ht="46.25" hidden="false" customHeight="false" outlineLevel="0" collapsed="false">
      <c r="A495" s="15" t="s">
        <v>3656</v>
      </c>
      <c r="B495" s="15" t="s">
        <v>37</v>
      </c>
      <c r="C495" s="15" t="s">
        <v>3647</v>
      </c>
      <c r="D495" s="15" t="n">
        <v>14</v>
      </c>
      <c r="E495" s="15" t="s">
        <v>3648</v>
      </c>
      <c r="F495" s="15" t="n">
        <v>1</v>
      </c>
      <c r="G495" s="15" t="s">
        <v>197</v>
      </c>
      <c r="H495" s="15" t="s">
        <v>142</v>
      </c>
      <c r="I495" s="3" t="s">
        <v>3657</v>
      </c>
      <c r="J495" s="3" t="s">
        <v>3658</v>
      </c>
      <c r="K495" s="15" t="s">
        <v>145</v>
      </c>
      <c r="L495" s="16" t="s">
        <v>7</v>
      </c>
      <c r="M495" s="15" t="s">
        <v>68</v>
      </c>
      <c r="N495" s="15" t="s">
        <v>82</v>
      </c>
      <c r="O495" s="15" t="s">
        <v>1247</v>
      </c>
      <c r="P495" s="15" t="s">
        <v>135</v>
      </c>
      <c r="Q495" s="15" t="s">
        <v>129</v>
      </c>
      <c r="R495" s="15" t="s">
        <v>135</v>
      </c>
      <c r="S495" s="15"/>
      <c r="T495" s="15"/>
      <c r="U495" s="3" t="s">
        <v>3659</v>
      </c>
      <c r="V495" s="3" t="s">
        <v>3660</v>
      </c>
      <c r="W495" s="3" t="s">
        <v>3661</v>
      </c>
      <c r="X495" s="3" t="s">
        <v>3662</v>
      </c>
      <c r="Y495" s="15" t="n">
        <v>0</v>
      </c>
      <c r="Z495" s="15" t="n">
        <v>1</v>
      </c>
      <c r="AA495" s="15" t="n">
        <v>0</v>
      </c>
      <c r="AB495" s="15" t="n">
        <v>0</v>
      </c>
      <c r="AC495" s="15" t="n">
        <v>1</v>
      </c>
      <c r="AD495" s="15" t="n">
        <v>0</v>
      </c>
      <c r="AE495" s="15" t="n">
        <v>0</v>
      </c>
      <c r="AF495" s="15" t="n">
        <v>1</v>
      </c>
      <c r="AG495" s="15" t="n">
        <v>0</v>
      </c>
      <c r="AH495" s="15" t="n">
        <v>1</v>
      </c>
    </row>
    <row r="496" customFormat="false" ht="57.45" hidden="false" customHeight="false" outlineLevel="0" collapsed="false">
      <c r="A496" s="15" t="s">
        <v>3663</v>
      </c>
      <c r="B496" s="15" t="s">
        <v>37</v>
      </c>
      <c r="C496" s="15" t="s">
        <v>3647</v>
      </c>
      <c r="D496" s="15" t="n">
        <v>14</v>
      </c>
      <c r="E496" s="15" t="s">
        <v>3648</v>
      </c>
      <c r="F496" s="15" t="n">
        <v>2</v>
      </c>
      <c r="G496" s="15" t="s">
        <v>141</v>
      </c>
      <c r="H496" s="15" t="s">
        <v>142</v>
      </c>
      <c r="I496" s="3" t="s">
        <v>3664</v>
      </c>
      <c r="J496" s="3" t="s">
        <v>3665</v>
      </c>
      <c r="K496" s="15" t="s">
        <v>133</v>
      </c>
      <c r="L496" s="16" t="s">
        <v>7</v>
      </c>
      <c r="M496" s="15" t="s">
        <v>68</v>
      </c>
      <c r="N496" s="15" t="s">
        <v>87</v>
      </c>
      <c r="O496" s="15" t="s">
        <v>3666</v>
      </c>
      <c r="P496" s="15" t="s">
        <v>135</v>
      </c>
      <c r="Q496" s="15" t="s">
        <v>129</v>
      </c>
      <c r="R496" s="15" t="s">
        <v>135</v>
      </c>
      <c r="S496" s="15"/>
      <c r="T496" s="15"/>
      <c r="U496" s="3" t="s">
        <v>3667</v>
      </c>
      <c r="V496" s="3" t="s">
        <v>3668</v>
      </c>
      <c r="W496" s="3" t="s">
        <v>3669</v>
      </c>
      <c r="X496" s="3" t="s">
        <v>3670</v>
      </c>
      <c r="Y496" s="15" t="n">
        <v>0</v>
      </c>
      <c r="Z496" s="15" t="n">
        <v>1</v>
      </c>
      <c r="AA496" s="15" t="n">
        <v>0</v>
      </c>
      <c r="AB496" s="15" t="n">
        <v>0</v>
      </c>
      <c r="AC496" s="15" t="n">
        <v>0</v>
      </c>
      <c r="AD496" s="15" t="n">
        <v>0</v>
      </c>
      <c r="AE496" s="15" t="n">
        <v>1</v>
      </c>
      <c r="AF496" s="15" t="n">
        <v>1</v>
      </c>
      <c r="AG496" s="15" t="n">
        <v>0</v>
      </c>
      <c r="AH496" s="15" t="n">
        <v>1</v>
      </c>
    </row>
    <row r="497" customFormat="false" ht="35.05" hidden="false" customHeight="false" outlineLevel="0" collapsed="false">
      <c r="A497" s="15" t="s">
        <v>3671</v>
      </c>
      <c r="B497" s="15" t="s">
        <v>38</v>
      </c>
      <c r="C497" s="15" t="s">
        <v>127</v>
      </c>
      <c r="D497" s="15" t="n">
        <v>13</v>
      </c>
      <c r="E497" s="15" t="s">
        <v>128</v>
      </c>
      <c r="F497" s="15" t="n">
        <v>0</v>
      </c>
      <c r="G497" s="15" t="s">
        <v>129</v>
      </c>
      <c r="H497" s="15" t="s">
        <v>130</v>
      </c>
      <c r="I497" s="3" t="s">
        <v>3672</v>
      </c>
      <c r="J497" s="3" t="s">
        <v>3673</v>
      </c>
      <c r="K497" s="15" t="s">
        <v>133</v>
      </c>
      <c r="L497" s="18" t="s">
        <v>5</v>
      </c>
      <c r="M497" s="15" t="s">
        <v>426</v>
      </c>
      <c r="N497" s="15" t="s">
        <v>426</v>
      </c>
      <c r="O497" s="15"/>
      <c r="P497" s="15" t="s">
        <v>185</v>
      </c>
      <c r="Q497" s="15" t="s">
        <v>129</v>
      </c>
      <c r="R497" s="15" t="s">
        <v>185</v>
      </c>
      <c r="S497" s="15"/>
      <c r="T497" s="15"/>
      <c r="U497" s="3" t="s">
        <v>3674</v>
      </c>
      <c r="V497" s="3" t="s">
        <v>3675</v>
      </c>
      <c r="W497" s="3"/>
      <c r="X497" s="3"/>
      <c r="Y497" s="15" t="n">
        <v>0</v>
      </c>
      <c r="Z497" s="15" t="n">
        <v>0</v>
      </c>
      <c r="AA497" s="15" t="n">
        <v>0</v>
      </c>
      <c r="AB497" s="15" t="n">
        <v>0</v>
      </c>
      <c r="AC497" s="15" t="n">
        <v>0</v>
      </c>
      <c r="AD497" s="15" t="n">
        <v>0</v>
      </c>
      <c r="AE497" s="15" t="n">
        <v>0</v>
      </c>
      <c r="AF497" s="15" t="n">
        <v>0</v>
      </c>
      <c r="AG497" s="15" t="n">
        <v>0</v>
      </c>
      <c r="AH497" s="15" t="n">
        <v>0</v>
      </c>
    </row>
    <row r="498" customFormat="false" ht="35.05" hidden="false" customHeight="false" outlineLevel="0" collapsed="false">
      <c r="A498" s="15" t="s">
        <v>3676</v>
      </c>
      <c r="B498" s="15" t="s">
        <v>38</v>
      </c>
      <c r="C498" s="15" t="s">
        <v>127</v>
      </c>
      <c r="D498" s="15" t="n">
        <v>13</v>
      </c>
      <c r="E498" s="15" t="s">
        <v>128</v>
      </c>
      <c r="F498" s="15" t="n">
        <v>1</v>
      </c>
      <c r="G498" s="15" t="s">
        <v>307</v>
      </c>
      <c r="H498" s="15" t="s">
        <v>308</v>
      </c>
      <c r="I498" s="3" t="s">
        <v>3677</v>
      </c>
      <c r="J498" s="3" t="s">
        <v>3678</v>
      </c>
      <c r="K498" s="15" t="s">
        <v>145</v>
      </c>
      <c r="L498" s="16" t="s">
        <v>7</v>
      </c>
      <c r="M498" s="15" t="s">
        <v>66</v>
      </c>
      <c r="N498" s="15" t="s">
        <v>88</v>
      </c>
      <c r="O498" s="15" t="s">
        <v>3679</v>
      </c>
      <c r="P498" s="15" t="s">
        <v>135</v>
      </c>
      <c r="Q498" s="15" t="s">
        <v>136</v>
      </c>
      <c r="R498" s="15" t="s">
        <v>135</v>
      </c>
      <c r="S498" s="15"/>
      <c r="T498" s="15"/>
      <c r="U498" s="3" t="s">
        <v>3680</v>
      </c>
      <c r="V498" s="3" t="s">
        <v>3681</v>
      </c>
      <c r="W498" s="3" t="s">
        <v>3682</v>
      </c>
      <c r="X498" s="3" t="s">
        <v>3683</v>
      </c>
      <c r="Y498" s="15" t="n">
        <v>0</v>
      </c>
      <c r="Z498" s="15" t="n">
        <v>0</v>
      </c>
      <c r="AA498" s="15" t="n">
        <v>0</v>
      </c>
      <c r="AB498" s="15" t="n">
        <v>0</v>
      </c>
      <c r="AC498" s="15" t="n">
        <v>0</v>
      </c>
      <c r="AD498" s="15" t="n">
        <v>1</v>
      </c>
      <c r="AE498" s="15" t="n">
        <v>0</v>
      </c>
      <c r="AF498" s="15" t="n">
        <v>1</v>
      </c>
      <c r="AG498" s="15" t="n">
        <v>1</v>
      </c>
      <c r="AH498" s="15" t="n">
        <v>0</v>
      </c>
    </row>
    <row r="499" customFormat="false" ht="35.05" hidden="false" customHeight="false" outlineLevel="0" collapsed="false">
      <c r="A499" s="15" t="s">
        <v>3684</v>
      </c>
      <c r="B499" s="15" t="s">
        <v>38</v>
      </c>
      <c r="C499" s="15" t="s">
        <v>127</v>
      </c>
      <c r="D499" s="15" t="n">
        <v>13</v>
      </c>
      <c r="E499" s="15" t="s">
        <v>128</v>
      </c>
      <c r="F499" s="15" t="n">
        <v>2</v>
      </c>
      <c r="G499" s="15" t="s">
        <v>197</v>
      </c>
      <c r="H499" s="15" t="s">
        <v>142</v>
      </c>
      <c r="I499" s="3" t="s">
        <v>3685</v>
      </c>
      <c r="J499" s="3" t="s">
        <v>3686</v>
      </c>
      <c r="K499" s="15" t="s">
        <v>133</v>
      </c>
      <c r="L499" s="16" t="s">
        <v>7</v>
      </c>
      <c r="M499" s="15" t="s">
        <v>66</v>
      </c>
      <c r="N499" s="15" t="s">
        <v>88</v>
      </c>
      <c r="O499" s="15" t="s">
        <v>3679</v>
      </c>
      <c r="P499" s="15" t="s">
        <v>135</v>
      </c>
      <c r="Q499" s="15" t="s">
        <v>307</v>
      </c>
      <c r="R499" s="15" t="s">
        <v>135</v>
      </c>
      <c r="S499" s="15"/>
      <c r="T499" s="15"/>
      <c r="U499" s="3" t="s">
        <v>3687</v>
      </c>
      <c r="V499" s="3" t="s">
        <v>3688</v>
      </c>
      <c r="W499" s="3" t="s">
        <v>3689</v>
      </c>
      <c r="X499" s="3" t="s">
        <v>3690</v>
      </c>
      <c r="Y499" s="15" t="n">
        <v>0</v>
      </c>
      <c r="Z499" s="15" t="n">
        <v>0</v>
      </c>
      <c r="AA499" s="15" t="n">
        <v>0</v>
      </c>
      <c r="AB499" s="15" t="n">
        <v>0</v>
      </c>
      <c r="AC499" s="15" t="n">
        <v>0</v>
      </c>
      <c r="AD499" s="15" t="n">
        <v>1</v>
      </c>
      <c r="AE499" s="15" t="n">
        <v>0</v>
      </c>
      <c r="AF499" s="15" t="n">
        <v>1</v>
      </c>
      <c r="AG499" s="15" t="n">
        <v>1</v>
      </c>
      <c r="AH499" s="15" t="n">
        <v>0</v>
      </c>
    </row>
    <row r="500" customFormat="false" ht="35.05" hidden="false" customHeight="false" outlineLevel="0" collapsed="false">
      <c r="A500" s="15" t="s">
        <v>3691</v>
      </c>
      <c r="B500" s="15" t="s">
        <v>38</v>
      </c>
      <c r="C500" s="15" t="s">
        <v>127</v>
      </c>
      <c r="D500" s="15" t="n">
        <v>16</v>
      </c>
      <c r="E500" s="15" t="s">
        <v>159</v>
      </c>
      <c r="F500" s="15" t="n">
        <v>0</v>
      </c>
      <c r="G500" s="15" t="s">
        <v>197</v>
      </c>
      <c r="H500" s="15" t="s">
        <v>142</v>
      </c>
      <c r="I500" s="3" t="s">
        <v>3692</v>
      </c>
      <c r="J500" s="3" t="s">
        <v>3693</v>
      </c>
      <c r="K500" s="15" t="s">
        <v>133</v>
      </c>
      <c r="L500" s="16" t="s">
        <v>7</v>
      </c>
      <c r="M500" s="15" t="s">
        <v>66</v>
      </c>
      <c r="N500" s="15" t="s">
        <v>88</v>
      </c>
      <c r="O500" s="15" t="s">
        <v>88</v>
      </c>
      <c r="P500" s="15" t="s">
        <v>135</v>
      </c>
      <c r="Q500" s="15" t="s">
        <v>129</v>
      </c>
      <c r="R500" s="15" t="s">
        <v>185</v>
      </c>
      <c r="S500" s="15"/>
      <c r="T500" s="15"/>
      <c r="U500" s="3" t="s">
        <v>3694</v>
      </c>
      <c r="V500" s="3" t="s">
        <v>3695</v>
      </c>
      <c r="W500" s="3"/>
      <c r="X500" s="3" t="s">
        <v>3696</v>
      </c>
      <c r="Y500" s="15" t="n">
        <v>0</v>
      </c>
      <c r="Z500" s="15" t="n">
        <v>0</v>
      </c>
      <c r="AA500" s="15" t="n">
        <v>0</v>
      </c>
      <c r="AB500" s="15" t="n">
        <v>0</v>
      </c>
      <c r="AC500" s="15" t="n">
        <v>0</v>
      </c>
      <c r="AD500" s="15" t="n">
        <v>0</v>
      </c>
      <c r="AE500" s="15" t="n">
        <v>0</v>
      </c>
      <c r="AF500" s="15" t="n">
        <v>1</v>
      </c>
      <c r="AG500" s="15" t="n">
        <v>0</v>
      </c>
      <c r="AH500" s="15" t="n">
        <v>0</v>
      </c>
    </row>
    <row r="501" customFormat="false" ht="35.05" hidden="false" customHeight="false" outlineLevel="0" collapsed="false">
      <c r="A501" s="15" t="s">
        <v>3697</v>
      </c>
      <c r="B501" s="15" t="s">
        <v>38</v>
      </c>
      <c r="C501" s="15" t="s">
        <v>127</v>
      </c>
      <c r="D501" s="15" t="n">
        <v>16</v>
      </c>
      <c r="E501" s="15" t="s">
        <v>159</v>
      </c>
      <c r="F501" s="15" t="n">
        <v>1</v>
      </c>
      <c r="G501" s="15" t="s">
        <v>307</v>
      </c>
      <c r="H501" s="15" t="s">
        <v>308</v>
      </c>
      <c r="I501" s="3" t="s">
        <v>3698</v>
      </c>
      <c r="J501" s="3" t="s">
        <v>3699</v>
      </c>
      <c r="K501" s="15" t="s">
        <v>145</v>
      </c>
      <c r="L501" s="16" t="s">
        <v>7</v>
      </c>
      <c r="M501" s="15" t="s">
        <v>66</v>
      </c>
      <c r="N501" s="15" t="s">
        <v>88</v>
      </c>
      <c r="O501" s="15" t="s">
        <v>231</v>
      </c>
      <c r="P501" s="15" t="s">
        <v>135</v>
      </c>
      <c r="Q501" s="15" t="s">
        <v>129</v>
      </c>
      <c r="R501" s="15" t="s">
        <v>185</v>
      </c>
      <c r="S501" s="15"/>
      <c r="T501" s="15"/>
      <c r="U501" s="3" t="s">
        <v>3700</v>
      </c>
      <c r="V501" s="3" t="s">
        <v>3701</v>
      </c>
      <c r="W501" s="3" t="s">
        <v>3702</v>
      </c>
      <c r="X501" s="3" t="s">
        <v>3703</v>
      </c>
      <c r="Y501" s="15" t="n">
        <v>0</v>
      </c>
      <c r="Z501" s="15" t="n">
        <v>0</v>
      </c>
      <c r="AA501" s="15" t="n">
        <v>0</v>
      </c>
      <c r="AB501" s="15" t="n">
        <v>0</v>
      </c>
      <c r="AC501" s="15" t="n">
        <v>0</v>
      </c>
      <c r="AD501" s="15" t="n">
        <v>0</v>
      </c>
      <c r="AE501" s="15" t="n">
        <v>0</v>
      </c>
      <c r="AF501" s="15" t="n">
        <v>1</v>
      </c>
      <c r="AG501" s="15" t="n">
        <v>0</v>
      </c>
      <c r="AH501" s="15" t="n">
        <v>1</v>
      </c>
    </row>
    <row r="502" customFormat="false" ht="35.05" hidden="false" customHeight="false" outlineLevel="0" collapsed="false">
      <c r="A502" s="15" t="s">
        <v>3704</v>
      </c>
      <c r="B502" s="15" t="s">
        <v>38</v>
      </c>
      <c r="C502" s="15" t="s">
        <v>127</v>
      </c>
      <c r="D502" s="15" t="n">
        <v>16</v>
      </c>
      <c r="E502" s="15" t="s">
        <v>159</v>
      </c>
      <c r="F502" s="15" t="n">
        <v>2</v>
      </c>
      <c r="G502" s="15" t="s">
        <v>129</v>
      </c>
      <c r="H502" s="15" t="s">
        <v>130</v>
      </c>
      <c r="I502" s="3" t="s">
        <v>3705</v>
      </c>
      <c r="J502" s="3" t="s">
        <v>3706</v>
      </c>
      <c r="K502" s="15" t="s">
        <v>133</v>
      </c>
      <c r="L502" s="18" t="s">
        <v>5</v>
      </c>
      <c r="M502" s="15" t="s">
        <v>426</v>
      </c>
      <c r="N502" s="15" t="s">
        <v>426</v>
      </c>
      <c r="O502" s="15"/>
      <c r="P502" s="15" t="s">
        <v>185</v>
      </c>
      <c r="Q502" s="15" t="s">
        <v>129</v>
      </c>
      <c r="R502" s="15" t="s">
        <v>185</v>
      </c>
      <c r="S502" s="15"/>
      <c r="T502" s="15"/>
      <c r="U502" s="3" t="s">
        <v>3707</v>
      </c>
      <c r="V502" s="3" t="s">
        <v>3708</v>
      </c>
      <c r="W502" s="3"/>
      <c r="X502" s="3"/>
      <c r="Y502" s="15" t="n">
        <v>0</v>
      </c>
      <c r="Z502" s="15" t="n">
        <v>0</v>
      </c>
      <c r="AA502" s="15" t="n">
        <v>0</v>
      </c>
      <c r="AB502" s="15" t="n">
        <v>0</v>
      </c>
      <c r="AC502" s="15" t="n">
        <v>0</v>
      </c>
      <c r="AD502" s="15" t="n">
        <v>0</v>
      </c>
      <c r="AE502" s="15" t="n">
        <v>0</v>
      </c>
      <c r="AF502" s="15" t="n">
        <v>0</v>
      </c>
      <c r="AG502" s="15" t="n">
        <v>0</v>
      </c>
      <c r="AH502" s="15" t="n">
        <v>0</v>
      </c>
    </row>
    <row r="503" customFormat="false" ht="35.05" hidden="false" customHeight="false" outlineLevel="0" collapsed="false">
      <c r="A503" s="15" t="s">
        <v>3709</v>
      </c>
      <c r="B503" s="15" t="s">
        <v>38</v>
      </c>
      <c r="C503" s="15" t="s">
        <v>127</v>
      </c>
      <c r="D503" s="15" t="n">
        <v>17</v>
      </c>
      <c r="E503" s="15" t="s">
        <v>182</v>
      </c>
      <c r="F503" s="15" t="n">
        <v>0</v>
      </c>
      <c r="G503" s="15" t="s">
        <v>197</v>
      </c>
      <c r="H503" s="15" t="s">
        <v>142</v>
      </c>
      <c r="I503" s="3" t="s">
        <v>3710</v>
      </c>
      <c r="J503" s="3" t="s">
        <v>3711</v>
      </c>
      <c r="K503" s="15" t="s">
        <v>133</v>
      </c>
      <c r="L503" s="16" t="s">
        <v>7</v>
      </c>
      <c r="M503" s="15" t="s">
        <v>68</v>
      </c>
      <c r="N503" s="15" t="s">
        <v>82</v>
      </c>
      <c r="O503" s="15" t="s">
        <v>549</v>
      </c>
      <c r="P503" s="15" t="s">
        <v>185</v>
      </c>
      <c r="Q503" s="15" t="s">
        <v>197</v>
      </c>
      <c r="R503" s="15" t="s">
        <v>135</v>
      </c>
      <c r="S503" s="15"/>
      <c r="T503" s="15"/>
      <c r="U503" s="3" t="s">
        <v>3712</v>
      </c>
      <c r="V503" s="3" t="s">
        <v>3713</v>
      </c>
      <c r="W503" s="3" t="s">
        <v>3714</v>
      </c>
      <c r="X503" s="3" t="s">
        <v>3715</v>
      </c>
      <c r="Y503" s="15" t="n">
        <v>0</v>
      </c>
      <c r="Z503" s="15" t="n">
        <v>1</v>
      </c>
      <c r="AA503" s="15" t="n">
        <v>0</v>
      </c>
      <c r="AB503" s="15" t="n">
        <v>0</v>
      </c>
      <c r="AC503" s="15" t="n">
        <v>0</v>
      </c>
      <c r="AD503" s="15" t="n">
        <v>0</v>
      </c>
      <c r="AE503" s="15" t="n">
        <v>0</v>
      </c>
      <c r="AF503" s="15" t="n">
        <v>0</v>
      </c>
      <c r="AG503" s="15" t="n">
        <v>0</v>
      </c>
      <c r="AH503" s="15" t="n">
        <v>1</v>
      </c>
    </row>
    <row r="504" customFormat="false" ht="23.85" hidden="false" customHeight="false" outlineLevel="0" collapsed="false">
      <c r="A504" s="15" t="s">
        <v>3716</v>
      </c>
      <c r="B504" s="15" t="s">
        <v>38</v>
      </c>
      <c r="C504" s="15" t="s">
        <v>127</v>
      </c>
      <c r="D504" s="15" t="n">
        <v>17</v>
      </c>
      <c r="E504" s="15" t="s">
        <v>182</v>
      </c>
      <c r="F504" s="15" t="n">
        <v>1</v>
      </c>
      <c r="G504" s="15" t="s">
        <v>129</v>
      </c>
      <c r="H504" s="15" t="s">
        <v>130</v>
      </c>
      <c r="I504" s="3" t="s">
        <v>3717</v>
      </c>
      <c r="J504" s="3" t="s">
        <v>3718</v>
      </c>
      <c r="K504" s="15" t="s">
        <v>145</v>
      </c>
      <c r="L504" s="16" t="s">
        <v>7</v>
      </c>
      <c r="M504" s="15" t="s">
        <v>68</v>
      </c>
      <c r="N504" s="15" t="s">
        <v>82</v>
      </c>
      <c r="O504" s="15" t="s">
        <v>215</v>
      </c>
      <c r="P504" s="15" t="s">
        <v>135</v>
      </c>
      <c r="Q504" s="15" t="s">
        <v>197</v>
      </c>
      <c r="R504" s="15" t="s">
        <v>135</v>
      </c>
      <c r="S504" s="15"/>
      <c r="T504" s="15"/>
      <c r="U504" s="3" t="s">
        <v>3719</v>
      </c>
      <c r="V504" s="3" t="s">
        <v>3720</v>
      </c>
      <c r="W504" s="3"/>
      <c r="X504" s="3" t="s">
        <v>3721</v>
      </c>
      <c r="Y504" s="15" t="n">
        <v>0</v>
      </c>
      <c r="Z504" s="15" t="n">
        <v>1</v>
      </c>
      <c r="AA504" s="15" t="n">
        <v>0</v>
      </c>
      <c r="AB504" s="15" t="n">
        <v>0</v>
      </c>
      <c r="AC504" s="15" t="n">
        <v>0</v>
      </c>
      <c r="AD504" s="15" t="n">
        <v>0</v>
      </c>
      <c r="AE504" s="15" t="n">
        <v>0</v>
      </c>
      <c r="AF504" s="15" t="n">
        <v>1</v>
      </c>
      <c r="AG504" s="15" t="n">
        <v>0</v>
      </c>
      <c r="AH504" s="15" t="n">
        <v>0</v>
      </c>
    </row>
    <row r="505" customFormat="false" ht="35.05" hidden="false" customHeight="false" outlineLevel="0" collapsed="false">
      <c r="A505" s="15" t="s">
        <v>3722</v>
      </c>
      <c r="B505" s="15" t="s">
        <v>38</v>
      </c>
      <c r="C505" s="15" t="s">
        <v>127</v>
      </c>
      <c r="D505" s="15" t="n">
        <v>17</v>
      </c>
      <c r="E505" s="15" t="s">
        <v>182</v>
      </c>
      <c r="F505" s="15" t="n">
        <v>2</v>
      </c>
      <c r="G505" s="15" t="s">
        <v>141</v>
      </c>
      <c r="H505" s="15" t="s">
        <v>142</v>
      </c>
      <c r="I505" s="3" t="s">
        <v>3723</v>
      </c>
      <c r="J505" s="3" t="s">
        <v>3724</v>
      </c>
      <c r="K505" s="15" t="s">
        <v>133</v>
      </c>
      <c r="L505" s="16" t="s">
        <v>7</v>
      </c>
      <c r="M505" s="15" t="s">
        <v>66</v>
      </c>
      <c r="N505" s="15" t="s">
        <v>88</v>
      </c>
      <c r="O505" s="15" t="s">
        <v>88</v>
      </c>
      <c r="P505" s="15" t="s">
        <v>135</v>
      </c>
      <c r="Q505" s="15" t="s">
        <v>129</v>
      </c>
      <c r="R505" s="15" t="s">
        <v>185</v>
      </c>
      <c r="S505" s="15"/>
      <c r="T505" s="15"/>
      <c r="U505" s="3" t="s">
        <v>3725</v>
      </c>
      <c r="V505" s="3" t="s">
        <v>3726</v>
      </c>
      <c r="W505" s="3"/>
      <c r="X505" s="3" t="s">
        <v>3727</v>
      </c>
      <c r="Y505" s="15" t="n">
        <v>0</v>
      </c>
      <c r="Z505" s="15" t="n">
        <v>0</v>
      </c>
      <c r="AA505" s="15" t="n">
        <v>0</v>
      </c>
      <c r="AB505" s="15" t="n">
        <v>0</v>
      </c>
      <c r="AC505" s="15" t="n">
        <v>0</v>
      </c>
      <c r="AD505" s="15" t="n">
        <v>0</v>
      </c>
      <c r="AE505" s="15" t="n">
        <v>0</v>
      </c>
      <c r="AF505" s="15" t="n">
        <v>1</v>
      </c>
      <c r="AG505" s="15" t="n">
        <v>0</v>
      </c>
      <c r="AH505" s="15" t="n">
        <v>0</v>
      </c>
    </row>
    <row r="506" customFormat="false" ht="46.25" hidden="false" customHeight="false" outlineLevel="0" collapsed="false">
      <c r="A506" s="15" t="s">
        <v>3728</v>
      </c>
      <c r="B506" s="15" t="s">
        <v>38</v>
      </c>
      <c r="C506" s="15" t="s">
        <v>127</v>
      </c>
      <c r="D506" s="15" t="n">
        <v>19</v>
      </c>
      <c r="E506" s="15" t="s">
        <v>204</v>
      </c>
      <c r="F506" s="15" t="n">
        <v>0</v>
      </c>
      <c r="G506" s="15" t="s">
        <v>129</v>
      </c>
      <c r="H506" s="15" t="s">
        <v>130</v>
      </c>
      <c r="I506" s="3" t="s">
        <v>3729</v>
      </c>
      <c r="J506" s="3" t="s">
        <v>3730</v>
      </c>
      <c r="K506" s="15" t="s">
        <v>133</v>
      </c>
      <c r="L506" s="16" t="s">
        <v>7</v>
      </c>
      <c r="M506" s="15" t="s">
        <v>68</v>
      </c>
      <c r="N506" s="15" t="s">
        <v>84</v>
      </c>
      <c r="O506" s="15" t="s">
        <v>3165</v>
      </c>
      <c r="P506" s="15" t="s">
        <v>135</v>
      </c>
      <c r="Q506" s="15" t="s">
        <v>152</v>
      </c>
      <c r="R506" s="15" t="s">
        <v>135</v>
      </c>
      <c r="S506" s="15"/>
      <c r="T506" s="15"/>
      <c r="U506" s="3" t="s">
        <v>3731</v>
      </c>
      <c r="V506" s="3" t="s">
        <v>3732</v>
      </c>
      <c r="W506" s="3"/>
      <c r="X506" s="3" t="s">
        <v>3733</v>
      </c>
      <c r="Y506" s="15" t="n">
        <v>0</v>
      </c>
      <c r="Z506" s="15" t="n">
        <v>0</v>
      </c>
      <c r="AA506" s="15" t="n">
        <v>0</v>
      </c>
      <c r="AB506" s="15" t="n">
        <v>1</v>
      </c>
      <c r="AC506" s="15" t="n">
        <v>0</v>
      </c>
      <c r="AD506" s="15" t="n">
        <v>0</v>
      </c>
      <c r="AE506" s="15" t="n">
        <v>0</v>
      </c>
      <c r="AF506" s="15" t="n">
        <v>1</v>
      </c>
      <c r="AG506" s="15" t="n">
        <v>0</v>
      </c>
      <c r="AH506" s="15" t="n">
        <v>0</v>
      </c>
    </row>
    <row r="507" customFormat="false" ht="46.25" hidden="false" customHeight="false" outlineLevel="0" collapsed="false">
      <c r="A507" s="15" t="s">
        <v>3734</v>
      </c>
      <c r="B507" s="15" t="s">
        <v>38</v>
      </c>
      <c r="C507" s="15" t="s">
        <v>127</v>
      </c>
      <c r="D507" s="15" t="n">
        <v>19</v>
      </c>
      <c r="E507" s="15" t="s">
        <v>204</v>
      </c>
      <c r="F507" s="15" t="n">
        <v>1</v>
      </c>
      <c r="G507" s="15" t="s">
        <v>197</v>
      </c>
      <c r="H507" s="15" t="s">
        <v>142</v>
      </c>
      <c r="I507" s="3" t="s">
        <v>3735</v>
      </c>
      <c r="J507" s="3" t="s">
        <v>3736</v>
      </c>
      <c r="K507" s="15" t="s">
        <v>145</v>
      </c>
      <c r="L507" s="16" t="s">
        <v>7</v>
      </c>
      <c r="M507" s="15" t="s">
        <v>66</v>
      </c>
      <c r="N507" s="15" t="s">
        <v>87</v>
      </c>
      <c r="O507" s="15" t="s">
        <v>3737</v>
      </c>
      <c r="P507" s="15" t="s">
        <v>135</v>
      </c>
      <c r="Q507" s="15" t="s">
        <v>152</v>
      </c>
      <c r="R507" s="15" t="s">
        <v>135</v>
      </c>
      <c r="S507" s="15"/>
      <c r="T507" s="15"/>
      <c r="U507" s="3" t="s">
        <v>3738</v>
      </c>
      <c r="V507" s="3" t="s">
        <v>3739</v>
      </c>
      <c r="W507" s="3"/>
      <c r="X507" s="3" t="s">
        <v>3740</v>
      </c>
      <c r="Y507" s="15" t="n">
        <v>0</v>
      </c>
      <c r="Z507" s="15" t="n">
        <v>0</v>
      </c>
      <c r="AA507" s="15" t="n">
        <v>0</v>
      </c>
      <c r="AB507" s="15" t="n">
        <v>0</v>
      </c>
      <c r="AC507" s="15" t="n">
        <v>0</v>
      </c>
      <c r="AD507" s="15" t="n">
        <v>0</v>
      </c>
      <c r="AE507" s="15" t="n">
        <v>1</v>
      </c>
      <c r="AF507" s="15" t="n">
        <v>1</v>
      </c>
      <c r="AG507" s="15" t="n">
        <v>0</v>
      </c>
      <c r="AH507" s="15" t="n">
        <v>0</v>
      </c>
    </row>
    <row r="508" customFormat="false" ht="46.25" hidden="false" customHeight="false" outlineLevel="0" collapsed="false">
      <c r="A508" s="15" t="s">
        <v>3741</v>
      </c>
      <c r="B508" s="15" t="s">
        <v>38</v>
      </c>
      <c r="C508" s="15" t="s">
        <v>127</v>
      </c>
      <c r="D508" s="15" t="n">
        <v>19</v>
      </c>
      <c r="E508" s="15" t="s">
        <v>204</v>
      </c>
      <c r="F508" s="15" t="n">
        <v>2</v>
      </c>
      <c r="G508" s="15" t="s">
        <v>141</v>
      </c>
      <c r="H508" s="15" t="s">
        <v>142</v>
      </c>
      <c r="I508" s="3" t="s">
        <v>3742</v>
      </c>
      <c r="J508" s="3" t="s">
        <v>3743</v>
      </c>
      <c r="K508" s="15" t="s">
        <v>133</v>
      </c>
      <c r="L508" s="16" t="s">
        <v>7</v>
      </c>
      <c r="M508" s="15" t="s">
        <v>68</v>
      </c>
      <c r="N508" s="15" t="s">
        <v>84</v>
      </c>
      <c r="O508" s="15" t="s">
        <v>3165</v>
      </c>
      <c r="P508" s="15" t="s">
        <v>135</v>
      </c>
      <c r="Q508" s="15" t="s">
        <v>129</v>
      </c>
      <c r="R508" s="15" t="s">
        <v>135</v>
      </c>
      <c r="S508" s="15"/>
      <c r="T508" s="15"/>
      <c r="U508" s="3" t="s">
        <v>3744</v>
      </c>
      <c r="V508" s="3" t="s">
        <v>3745</v>
      </c>
      <c r="W508" s="3"/>
      <c r="X508" s="3" t="s">
        <v>3746</v>
      </c>
      <c r="Y508" s="15" t="n">
        <v>0</v>
      </c>
      <c r="Z508" s="15" t="n">
        <v>0</v>
      </c>
      <c r="AA508" s="15" t="n">
        <v>0</v>
      </c>
      <c r="AB508" s="15" t="n">
        <v>1</v>
      </c>
      <c r="AC508" s="15" t="n">
        <v>0</v>
      </c>
      <c r="AD508" s="15" t="n">
        <v>0</v>
      </c>
      <c r="AE508" s="15" t="n">
        <v>0</v>
      </c>
      <c r="AF508" s="15" t="n">
        <v>1</v>
      </c>
      <c r="AG508" s="15" t="n">
        <v>0</v>
      </c>
      <c r="AH508" s="15" t="n">
        <v>0</v>
      </c>
    </row>
    <row r="509" customFormat="false" ht="35.05" hidden="false" customHeight="false" outlineLevel="0" collapsed="false">
      <c r="A509" s="15" t="s">
        <v>3747</v>
      </c>
      <c r="B509" s="15" t="s">
        <v>38</v>
      </c>
      <c r="C509" s="15" t="s">
        <v>127</v>
      </c>
      <c r="D509" s="15" t="n">
        <v>21</v>
      </c>
      <c r="E509" s="15" t="s">
        <v>228</v>
      </c>
      <c r="F509" s="15" t="n">
        <v>0</v>
      </c>
      <c r="G509" s="15" t="s">
        <v>129</v>
      </c>
      <c r="H509" s="15" t="s">
        <v>130</v>
      </c>
      <c r="I509" s="3" t="s">
        <v>3748</v>
      </c>
      <c r="J509" s="3" t="s">
        <v>3749</v>
      </c>
      <c r="K509" s="15" t="s">
        <v>133</v>
      </c>
      <c r="L509" s="18" t="s">
        <v>5</v>
      </c>
      <c r="M509" s="15" t="s">
        <v>426</v>
      </c>
      <c r="N509" s="15" t="s">
        <v>426</v>
      </c>
      <c r="O509" s="15"/>
      <c r="P509" s="15" t="s">
        <v>185</v>
      </c>
      <c r="Q509" s="15" t="s">
        <v>129</v>
      </c>
      <c r="R509" s="15" t="s">
        <v>185</v>
      </c>
      <c r="S509" s="15"/>
      <c r="T509" s="15"/>
      <c r="U509" s="3" t="s">
        <v>3750</v>
      </c>
      <c r="V509" s="3" t="s">
        <v>3751</v>
      </c>
      <c r="W509" s="3"/>
      <c r="X509" s="3"/>
      <c r="Y509" s="15" t="n">
        <v>0</v>
      </c>
      <c r="Z509" s="15" t="n">
        <v>0</v>
      </c>
      <c r="AA509" s="15" t="n">
        <v>0</v>
      </c>
      <c r="AB509" s="15" t="n">
        <v>0</v>
      </c>
      <c r="AC509" s="15" t="n">
        <v>0</v>
      </c>
      <c r="AD509" s="15" t="n">
        <v>0</v>
      </c>
      <c r="AE509" s="15" t="n">
        <v>0</v>
      </c>
      <c r="AF509" s="15" t="n">
        <v>0</v>
      </c>
      <c r="AG509" s="15" t="n">
        <v>0</v>
      </c>
      <c r="AH509" s="15" t="n">
        <v>0</v>
      </c>
    </row>
    <row r="510" customFormat="false" ht="46.25" hidden="false" customHeight="false" outlineLevel="0" collapsed="false">
      <c r="A510" s="15" t="s">
        <v>3752</v>
      </c>
      <c r="B510" s="15" t="s">
        <v>38</v>
      </c>
      <c r="C510" s="15" t="s">
        <v>127</v>
      </c>
      <c r="D510" s="15" t="n">
        <v>21</v>
      </c>
      <c r="E510" s="15" t="s">
        <v>228</v>
      </c>
      <c r="F510" s="15" t="n">
        <v>1</v>
      </c>
      <c r="G510" s="15" t="s">
        <v>197</v>
      </c>
      <c r="H510" s="15" t="s">
        <v>142</v>
      </c>
      <c r="I510" s="3" t="s">
        <v>3753</v>
      </c>
      <c r="J510" s="3" t="s">
        <v>3754</v>
      </c>
      <c r="K510" s="15" t="s">
        <v>145</v>
      </c>
      <c r="L510" s="16" t="s">
        <v>7</v>
      </c>
      <c r="M510" s="15" t="s">
        <v>68</v>
      </c>
      <c r="N510" s="15" t="s">
        <v>82</v>
      </c>
      <c r="O510" s="15" t="s">
        <v>215</v>
      </c>
      <c r="P510" s="15" t="s">
        <v>135</v>
      </c>
      <c r="Q510" s="15" t="s">
        <v>129</v>
      </c>
      <c r="R510" s="15" t="s">
        <v>135</v>
      </c>
      <c r="S510" s="15"/>
      <c r="T510" s="15"/>
      <c r="U510" s="3" t="s">
        <v>3755</v>
      </c>
      <c r="V510" s="3" t="s">
        <v>3756</v>
      </c>
      <c r="W510" s="3" t="s">
        <v>3757</v>
      </c>
      <c r="X510" s="3" t="s">
        <v>3758</v>
      </c>
      <c r="Y510" s="15" t="n">
        <v>0</v>
      </c>
      <c r="Z510" s="15" t="n">
        <v>1</v>
      </c>
      <c r="AA510" s="15" t="n">
        <v>0</v>
      </c>
      <c r="AB510" s="15" t="n">
        <v>0</v>
      </c>
      <c r="AC510" s="15" t="n">
        <v>0</v>
      </c>
      <c r="AD510" s="15" t="n">
        <v>0</v>
      </c>
      <c r="AE510" s="15" t="n">
        <v>0</v>
      </c>
      <c r="AF510" s="15" t="n">
        <v>1</v>
      </c>
      <c r="AG510" s="15" t="n">
        <v>0</v>
      </c>
      <c r="AH510" s="15" t="n">
        <v>0</v>
      </c>
    </row>
    <row r="511" customFormat="false" ht="46.25" hidden="false" customHeight="false" outlineLevel="0" collapsed="false">
      <c r="A511" s="15" t="s">
        <v>3759</v>
      </c>
      <c r="B511" s="15" t="s">
        <v>38</v>
      </c>
      <c r="C511" s="15" t="s">
        <v>127</v>
      </c>
      <c r="D511" s="15" t="n">
        <v>21</v>
      </c>
      <c r="E511" s="15" t="s">
        <v>228</v>
      </c>
      <c r="F511" s="15" t="n">
        <v>2</v>
      </c>
      <c r="G511" s="15" t="s">
        <v>141</v>
      </c>
      <c r="H511" s="15" t="s">
        <v>142</v>
      </c>
      <c r="I511" s="3" t="s">
        <v>3760</v>
      </c>
      <c r="J511" s="3" t="s">
        <v>3761</v>
      </c>
      <c r="K511" s="15" t="s">
        <v>133</v>
      </c>
      <c r="L511" s="16" t="s">
        <v>7</v>
      </c>
      <c r="M511" s="15" t="s">
        <v>68</v>
      </c>
      <c r="N511" s="15" t="s">
        <v>82</v>
      </c>
      <c r="O511" s="15" t="s">
        <v>176</v>
      </c>
      <c r="P511" s="15" t="s">
        <v>135</v>
      </c>
      <c r="Q511" s="15" t="s">
        <v>136</v>
      </c>
      <c r="R511" s="15" t="s">
        <v>135</v>
      </c>
      <c r="S511" s="15"/>
      <c r="T511" s="15"/>
      <c r="U511" s="3" t="s">
        <v>3762</v>
      </c>
      <c r="V511" s="3" t="s">
        <v>3763</v>
      </c>
      <c r="W511" s="3" t="s">
        <v>3764</v>
      </c>
      <c r="X511" s="3" t="s">
        <v>3765</v>
      </c>
      <c r="Y511" s="15" t="n">
        <v>0</v>
      </c>
      <c r="Z511" s="15" t="n">
        <v>1</v>
      </c>
      <c r="AA511" s="15" t="n">
        <v>0</v>
      </c>
      <c r="AB511" s="15" t="n">
        <v>0</v>
      </c>
      <c r="AC511" s="15" t="n">
        <v>1</v>
      </c>
      <c r="AD511" s="15" t="n">
        <v>0</v>
      </c>
      <c r="AE511" s="15" t="n">
        <v>0</v>
      </c>
      <c r="AF511" s="15" t="n">
        <v>1</v>
      </c>
      <c r="AG511" s="15" t="n">
        <v>0</v>
      </c>
      <c r="AH511" s="15" t="n">
        <v>0</v>
      </c>
    </row>
    <row r="512" customFormat="false" ht="35.05" hidden="false" customHeight="false" outlineLevel="0" collapsed="false">
      <c r="A512" s="15" t="s">
        <v>3766</v>
      </c>
      <c r="B512" s="15" t="s">
        <v>38</v>
      </c>
      <c r="C512" s="15" t="s">
        <v>127</v>
      </c>
      <c r="D512" s="15" t="n">
        <v>38</v>
      </c>
      <c r="E512" s="15" t="s">
        <v>253</v>
      </c>
      <c r="F512" s="15" t="n">
        <v>0</v>
      </c>
      <c r="G512" s="15" t="s">
        <v>129</v>
      </c>
      <c r="H512" s="15" t="s">
        <v>130</v>
      </c>
      <c r="I512" s="3" t="s">
        <v>3767</v>
      </c>
      <c r="J512" s="3" t="s">
        <v>3768</v>
      </c>
      <c r="K512" s="15" t="s">
        <v>133</v>
      </c>
      <c r="L512" s="18" t="s">
        <v>5</v>
      </c>
      <c r="M512" s="15" t="s">
        <v>426</v>
      </c>
      <c r="N512" s="15" t="s">
        <v>426</v>
      </c>
      <c r="O512" s="15"/>
      <c r="P512" s="15" t="s">
        <v>185</v>
      </c>
      <c r="Q512" s="15" t="s">
        <v>129</v>
      </c>
      <c r="R512" s="15" t="s">
        <v>185</v>
      </c>
      <c r="S512" s="15"/>
      <c r="T512" s="15"/>
      <c r="U512" s="3" t="s">
        <v>3769</v>
      </c>
      <c r="V512" s="3" t="s">
        <v>3770</v>
      </c>
      <c r="W512" s="3"/>
      <c r="X512" s="3"/>
      <c r="Y512" s="15" t="n">
        <v>0</v>
      </c>
      <c r="Z512" s="15" t="n">
        <v>0</v>
      </c>
      <c r="AA512" s="15" t="n">
        <v>0</v>
      </c>
      <c r="AB512" s="15" t="n">
        <v>0</v>
      </c>
      <c r="AC512" s="15" t="n">
        <v>0</v>
      </c>
      <c r="AD512" s="15" t="n">
        <v>0</v>
      </c>
      <c r="AE512" s="15" t="n">
        <v>0</v>
      </c>
      <c r="AF512" s="15" t="n">
        <v>0</v>
      </c>
      <c r="AG512" s="15" t="n">
        <v>0</v>
      </c>
      <c r="AH512" s="15" t="n">
        <v>0</v>
      </c>
    </row>
    <row r="513" customFormat="false" ht="23.85" hidden="false" customHeight="false" outlineLevel="0" collapsed="false">
      <c r="A513" s="15" t="s">
        <v>3771</v>
      </c>
      <c r="B513" s="15" t="s">
        <v>38</v>
      </c>
      <c r="C513" s="15" t="s">
        <v>127</v>
      </c>
      <c r="D513" s="15" t="n">
        <v>38</v>
      </c>
      <c r="E513" s="15" t="s">
        <v>253</v>
      </c>
      <c r="F513" s="15" t="n">
        <v>1</v>
      </c>
      <c r="G513" s="15" t="s">
        <v>197</v>
      </c>
      <c r="H513" s="15" t="s">
        <v>142</v>
      </c>
      <c r="I513" s="3" t="s">
        <v>3772</v>
      </c>
      <c r="J513" s="3" t="s">
        <v>3773</v>
      </c>
      <c r="K513" s="15" t="s">
        <v>145</v>
      </c>
      <c r="L513" s="16" t="s">
        <v>7</v>
      </c>
      <c r="M513" s="15" t="s">
        <v>66</v>
      </c>
      <c r="N513" s="15" t="s">
        <v>88</v>
      </c>
      <c r="O513" s="15" t="s">
        <v>88</v>
      </c>
      <c r="P513" s="15" t="s">
        <v>135</v>
      </c>
      <c r="Q513" s="15" t="s">
        <v>129</v>
      </c>
      <c r="R513" s="15" t="s">
        <v>185</v>
      </c>
      <c r="S513" s="15"/>
      <c r="T513" s="15"/>
      <c r="U513" s="3" t="s">
        <v>3774</v>
      </c>
      <c r="V513" s="3" t="s">
        <v>3775</v>
      </c>
      <c r="W513" s="3"/>
      <c r="X513" s="3" t="s">
        <v>3776</v>
      </c>
      <c r="Y513" s="15" t="n">
        <v>0</v>
      </c>
      <c r="Z513" s="15" t="n">
        <v>0</v>
      </c>
      <c r="AA513" s="15" t="n">
        <v>0</v>
      </c>
      <c r="AB513" s="15" t="n">
        <v>0</v>
      </c>
      <c r="AC513" s="15" t="n">
        <v>0</v>
      </c>
      <c r="AD513" s="15" t="n">
        <v>0</v>
      </c>
      <c r="AE513" s="15" t="n">
        <v>0</v>
      </c>
      <c r="AF513" s="15" t="n">
        <v>1</v>
      </c>
      <c r="AG513" s="15" t="n">
        <v>0</v>
      </c>
      <c r="AH513" s="15" t="n">
        <v>0</v>
      </c>
    </row>
    <row r="514" customFormat="false" ht="23.85" hidden="false" customHeight="false" outlineLevel="0" collapsed="false">
      <c r="A514" s="15" t="s">
        <v>3777</v>
      </c>
      <c r="B514" s="15" t="s">
        <v>38</v>
      </c>
      <c r="C514" s="15" t="s">
        <v>127</v>
      </c>
      <c r="D514" s="15" t="n">
        <v>38</v>
      </c>
      <c r="E514" s="15" t="s">
        <v>253</v>
      </c>
      <c r="F514" s="15" t="n">
        <v>2</v>
      </c>
      <c r="G514" s="15" t="s">
        <v>141</v>
      </c>
      <c r="H514" s="15" t="s">
        <v>142</v>
      </c>
      <c r="I514" s="3" t="s">
        <v>3778</v>
      </c>
      <c r="J514" s="3" t="s">
        <v>3779</v>
      </c>
      <c r="K514" s="15" t="s">
        <v>133</v>
      </c>
      <c r="L514" s="16" t="s">
        <v>7</v>
      </c>
      <c r="M514" s="15" t="s">
        <v>66</v>
      </c>
      <c r="N514" s="15" t="s">
        <v>88</v>
      </c>
      <c r="O514" s="15" t="s">
        <v>88</v>
      </c>
      <c r="P514" s="15" t="s">
        <v>135</v>
      </c>
      <c r="Q514" s="15" t="s">
        <v>129</v>
      </c>
      <c r="R514" s="15" t="s">
        <v>185</v>
      </c>
      <c r="S514" s="15"/>
      <c r="T514" s="15"/>
      <c r="U514" s="3" t="s">
        <v>3780</v>
      </c>
      <c r="V514" s="3" t="s">
        <v>3781</v>
      </c>
      <c r="W514" s="3"/>
      <c r="X514" s="3" t="s">
        <v>3782</v>
      </c>
      <c r="Y514" s="15" t="n">
        <v>0</v>
      </c>
      <c r="Z514" s="15" t="n">
        <v>0</v>
      </c>
      <c r="AA514" s="15" t="n">
        <v>0</v>
      </c>
      <c r="AB514" s="15" t="n">
        <v>0</v>
      </c>
      <c r="AC514" s="15" t="n">
        <v>0</v>
      </c>
      <c r="AD514" s="15" t="n">
        <v>0</v>
      </c>
      <c r="AE514" s="15" t="n">
        <v>0</v>
      </c>
      <c r="AF514" s="15" t="n">
        <v>1</v>
      </c>
      <c r="AG514" s="15" t="n">
        <v>0</v>
      </c>
      <c r="AH514" s="15" t="n">
        <v>0</v>
      </c>
    </row>
    <row r="515" customFormat="false" ht="46.25" hidden="false" customHeight="false" outlineLevel="0" collapsed="false">
      <c r="A515" s="15" t="s">
        <v>3783</v>
      </c>
      <c r="B515" s="15" t="s">
        <v>38</v>
      </c>
      <c r="C515" s="15" t="s">
        <v>127</v>
      </c>
      <c r="D515" s="15" t="n">
        <v>40</v>
      </c>
      <c r="E515" s="15" t="s">
        <v>277</v>
      </c>
      <c r="F515" s="15" t="n">
        <v>0</v>
      </c>
      <c r="G515" s="15" t="s">
        <v>129</v>
      </c>
      <c r="H515" s="15" t="s">
        <v>130</v>
      </c>
      <c r="I515" s="3" t="s">
        <v>3784</v>
      </c>
      <c r="J515" s="3" t="s">
        <v>3785</v>
      </c>
      <c r="K515" s="15" t="s">
        <v>133</v>
      </c>
      <c r="L515" s="18" t="s">
        <v>5</v>
      </c>
      <c r="M515" s="15" t="s">
        <v>426</v>
      </c>
      <c r="N515" s="15" t="s">
        <v>426</v>
      </c>
      <c r="O515" s="15"/>
      <c r="P515" s="15" t="s">
        <v>185</v>
      </c>
      <c r="Q515" s="15" t="s">
        <v>129</v>
      </c>
      <c r="R515" s="15" t="s">
        <v>185</v>
      </c>
      <c r="S515" s="15"/>
      <c r="T515" s="15"/>
      <c r="U515" s="3" t="s">
        <v>3786</v>
      </c>
      <c r="V515" s="3" t="s">
        <v>3787</v>
      </c>
      <c r="W515" s="3"/>
      <c r="X515" s="3"/>
      <c r="Y515" s="15" t="n">
        <v>0</v>
      </c>
      <c r="Z515" s="15" t="n">
        <v>0</v>
      </c>
      <c r="AA515" s="15" t="n">
        <v>0</v>
      </c>
      <c r="AB515" s="15" t="n">
        <v>0</v>
      </c>
      <c r="AC515" s="15" t="n">
        <v>0</v>
      </c>
      <c r="AD515" s="15" t="n">
        <v>0</v>
      </c>
      <c r="AE515" s="15" t="n">
        <v>0</v>
      </c>
      <c r="AF515" s="15" t="n">
        <v>0</v>
      </c>
      <c r="AG515" s="15" t="n">
        <v>0</v>
      </c>
      <c r="AH515" s="15" t="n">
        <v>0</v>
      </c>
    </row>
    <row r="516" customFormat="false" ht="35.05" hidden="false" customHeight="false" outlineLevel="0" collapsed="false">
      <c r="A516" s="15" t="s">
        <v>3788</v>
      </c>
      <c r="B516" s="15" t="s">
        <v>38</v>
      </c>
      <c r="C516" s="15" t="s">
        <v>127</v>
      </c>
      <c r="D516" s="15" t="n">
        <v>40</v>
      </c>
      <c r="E516" s="15" t="s">
        <v>277</v>
      </c>
      <c r="F516" s="15" t="n">
        <v>1</v>
      </c>
      <c r="G516" s="15" t="s">
        <v>197</v>
      </c>
      <c r="H516" s="15" t="s">
        <v>142</v>
      </c>
      <c r="I516" s="3" t="s">
        <v>3789</v>
      </c>
      <c r="J516" s="3" t="s">
        <v>3790</v>
      </c>
      <c r="K516" s="15" t="s">
        <v>145</v>
      </c>
      <c r="L516" s="17" t="s">
        <v>9</v>
      </c>
      <c r="M516" s="15" t="s">
        <v>70</v>
      </c>
      <c r="N516" s="15" t="s">
        <v>81</v>
      </c>
      <c r="O516" s="15" t="s">
        <v>81</v>
      </c>
      <c r="P516" s="15" t="s">
        <v>135</v>
      </c>
      <c r="Q516" s="15" t="s">
        <v>152</v>
      </c>
      <c r="R516" s="15" t="s">
        <v>135</v>
      </c>
      <c r="S516" s="15" t="s">
        <v>405</v>
      </c>
      <c r="T516" s="15" t="s">
        <v>342</v>
      </c>
      <c r="U516" s="3" t="s">
        <v>3791</v>
      </c>
      <c r="V516" s="3" t="s">
        <v>3792</v>
      </c>
      <c r="W516" s="3"/>
      <c r="X516" s="3"/>
      <c r="Y516" s="15" t="n">
        <v>1</v>
      </c>
      <c r="Z516" s="15" t="n">
        <v>0</v>
      </c>
      <c r="AA516" s="15" t="n">
        <v>0</v>
      </c>
      <c r="AB516" s="15" t="n">
        <v>0</v>
      </c>
      <c r="AC516" s="15" t="n">
        <v>0</v>
      </c>
      <c r="AD516" s="15" t="n">
        <v>0</v>
      </c>
      <c r="AE516" s="15" t="n">
        <v>0</v>
      </c>
      <c r="AF516" s="15" t="n">
        <v>0</v>
      </c>
      <c r="AG516" s="15" t="n">
        <v>0</v>
      </c>
      <c r="AH516" s="15" t="n">
        <v>0</v>
      </c>
    </row>
    <row r="517" customFormat="false" ht="35.05" hidden="false" customHeight="false" outlineLevel="0" collapsed="false">
      <c r="A517" s="15" t="s">
        <v>3793</v>
      </c>
      <c r="B517" s="15" t="s">
        <v>38</v>
      </c>
      <c r="C517" s="15" t="s">
        <v>127</v>
      </c>
      <c r="D517" s="15" t="n">
        <v>40</v>
      </c>
      <c r="E517" s="15" t="s">
        <v>277</v>
      </c>
      <c r="F517" s="15" t="n">
        <v>2</v>
      </c>
      <c r="G517" s="15" t="s">
        <v>141</v>
      </c>
      <c r="H517" s="15" t="s">
        <v>142</v>
      </c>
      <c r="I517" s="3" t="s">
        <v>3794</v>
      </c>
      <c r="J517" s="3" t="s">
        <v>3795</v>
      </c>
      <c r="K517" s="15" t="s">
        <v>133</v>
      </c>
      <c r="L517" s="16" t="s">
        <v>7</v>
      </c>
      <c r="M517" s="15" t="s">
        <v>66</v>
      </c>
      <c r="N517" s="15" t="s">
        <v>88</v>
      </c>
      <c r="O517" s="15" t="s">
        <v>3679</v>
      </c>
      <c r="P517" s="15" t="s">
        <v>135</v>
      </c>
      <c r="Q517" s="15" t="s">
        <v>307</v>
      </c>
      <c r="R517" s="15" t="s">
        <v>135</v>
      </c>
      <c r="S517" s="15"/>
      <c r="T517" s="15"/>
      <c r="U517" s="3" t="s">
        <v>3796</v>
      </c>
      <c r="V517" s="3" t="s">
        <v>3797</v>
      </c>
      <c r="W517" s="3" t="s">
        <v>3798</v>
      </c>
      <c r="X517" s="3" t="s">
        <v>3799</v>
      </c>
      <c r="Y517" s="15" t="n">
        <v>0</v>
      </c>
      <c r="Z517" s="15" t="n">
        <v>0</v>
      </c>
      <c r="AA517" s="15" t="n">
        <v>0</v>
      </c>
      <c r="AB517" s="15" t="n">
        <v>0</v>
      </c>
      <c r="AC517" s="15" t="n">
        <v>0</v>
      </c>
      <c r="AD517" s="15" t="n">
        <v>1</v>
      </c>
      <c r="AE517" s="15" t="n">
        <v>0</v>
      </c>
      <c r="AF517" s="15" t="n">
        <v>1</v>
      </c>
      <c r="AG517" s="15" t="n">
        <v>1</v>
      </c>
      <c r="AH517" s="15" t="n">
        <v>0</v>
      </c>
    </row>
    <row r="518" customFormat="false" ht="35.05" hidden="false" customHeight="false" outlineLevel="0" collapsed="false">
      <c r="A518" s="15" t="s">
        <v>3800</v>
      </c>
      <c r="B518" s="15" t="s">
        <v>38</v>
      </c>
      <c r="C518" s="15" t="s">
        <v>127</v>
      </c>
      <c r="D518" s="15" t="n">
        <v>42</v>
      </c>
      <c r="E518" s="15" t="s">
        <v>299</v>
      </c>
      <c r="F518" s="15" t="n">
        <v>0</v>
      </c>
      <c r="G518" s="15" t="s">
        <v>129</v>
      </c>
      <c r="H518" s="15" t="s">
        <v>130</v>
      </c>
      <c r="I518" s="3" t="s">
        <v>3801</v>
      </c>
      <c r="J518" s="3" t="s">
        <v>301</v>
      </c>
      <c r="K518" s="15" t="s">
        <v>133</v>
      </c>
      <c r="L518" s="16" t="s">
        <v>7</v>
      </c>
      <c r="M518" s="15" t="s">
        <v>66</v>
      </c>
      <c r="N518" s="15" t="s">
        <v>90</v>
      </c>
      <c r="O518" s="15" t="s">
        <v>90</v>
      </c>
      <c r="P518" s="15" t="s">
        <v>185</v>
      </c>
      <c r="Q518" s="15" t="s">
        <v>129</v>
      </c>
      <c r="R518" s="15" t="s">
        <v>185</v>
      </c>
      <c r="S518" s="15"/>
      <c r="T518" s="15"/>
      <c r="U518" s="3" t="s">
        <v>3802</v>
      </c>
      <c r="V518" s="3" t="s">
        <v>3803</v>
      </c>
      <c r="W518" s="3" t="s">
        <v>304</v>
      </c>
      <c r="X518" s="3" t="s">
        <v>305</v>
      </c>
      <c r="Y518" s="15" t="n">
        <v>0</v>
      </c>
      <c r="Z518" s="15" t="n">
        <v>0</v>
      </c>
      <c r="AA518" s="15" t="n">
        <v>0</v>
      </c>
      <c r="AB518" s="15" t="n">
        <v>0</v>
      </c>
      <c r="AC518" s="15" t="n">
        <v>0</v>
      </c>
      <c r="AD518" s="15" t="n">
        <v>0</v>
      </c>
      <c r="AE518" s="15" t="n">
        <v>0</v>
      </c>
      <c r="AF518" s="15" t="n">
        <v>0</v>
      </c>
      <c r="AG518" s="15" t="n">
        <v>0</v>
      </c>
      <c r="AH518" s="15" t="n">
        <v>1</v>
      </c>
    </row>
    <row r="519" customFormat="false" ht="35.05" hidden="false" customHeight="false" outlineLevel="0" collapsed="false">
      <c r="A519" s="15" t="s">
        <v>3804</v>
      </c>
      <c r="B519" s="15" t="s">
        <v>38</v>
      </c>
      <c r="C519" s="15" t="s">
        <v>127</v>
      </c>
      <c r="D519" s="15" t="n">
        <v>42</v>
      </c>
      <c r="E519" s="15" t="s">
        <v>299</v>
      </c>
      <c r="F519" s="15" t="n">
        <v>1</v>
      </c>
      <c r="G519" s="15" t="s">
        <v>197</v>
      </c>
      <c r="H519" s="15" t="s">
        <v>142</v>
      </c>
      <c r="I519" s="3" t="s">
        <v>3805</v>
      </c>
      <c r="J519" s="3" t="s">
        <v>3806</v>
      </c>
      <c r="K519" s="15" t="s">
        <v>145</v>
      </c>
      <c r="L519" s="16" t="s">
        <v>7</v>
      </c>
      <c r="M519" s="15" t="s">
        <v>68</v>
      </c>
      <c r="N519" s="15" t="s">
        <v>86</v>
      </c>
      <c r="O519" s="15" t="s">
        <v>3807</v>
      </c>
      <c r="P519" s="15" t="s">
        <v>135</v>
      </c>
      <c r="Q519" s="15" t="s">
        <v>129</v>
      </c>
      <c r="R519" s="15" t="s">
        <v>135</v>
      </c>
      <c r="S519" s="15"/>
      <c r="T519" s="15"/>
      <c r="U519" s="3" t="s">
        <v>3808</v>
      </c>
      <c r="V519" s="3" t="s">
        <v>3809</v>
      </c>
      <c r="W519" s="3" t="s">
        <v>3810</v>
      </c>
      <c r="X519" s="3" t="s">
        <v>3811</v>
      </c>
      <c r="Y519" s="15" t="n">
        <v>0</v>
      </c>
      <c r="Z519" s="15" t="n">
        <v>1</v>
      </c>
      <c r="AA519" s="15" t="n">
        <v>0</v>
      </c>
      <c r="AB519" s="15" t="n">
        <v>0</v>
      </c>
      <c r="AC519" s="15" t="n">
        <v>0</v>
      </c>
      <c r="AD519" s="15" t="n">
        <v>1</v>
      </c>
      <c r="AE519" s="15" t="n">
        <v>0</v>
      </c>
      <c r="AF519" s="15" t="n">
        <v>1</v>
      </c>
      <c r="AG519" s="15" t="n">
        <v>0</v>
      </c>
      <c r="AH519" s="15" t="n">
        <v>1</v>
      </c>
    </row>
    <row r="520" customFormat="false" ht="35.05" hidden="false" customHeight="false" outlineLevel="0" collapsed="false">
      <c r="A520" s="15" t="s">
        <v>3812</v>
      </c>
      <c r="B520" s="15" t="s">
        <v>38</v>
      </c>
      <c r="C520" s="15" t="s">
        <v>127</v>
      </c>
      <c r="D520" s="15" t="n">
        <v>42</v>
      </c>
      <c r="E520" s="15" t="s">
        <v>299</v>
      </c>
      <c r="F520" s="15" t="n">
        <v>2</v>
      </c>
      <c r="G520" s="15" t="s">
        <v>141</v>
      </c>
      <c r="H520" s="15" t="s">
        <v>142</v>
      </c>
      <c r="I520" s="3" t="s">
        <v>3813</v>
      </c>
      <c r="J520" s="3" t="s">
        <v>3814</v>
      </c>
      <c r="K520" s="15" t="s">
        <v>133</v>
      </c>
      <c r="L520" s="16" t="s">
        <v>7</v>
      </c>
      <c r="M520" s="15" t="s">
        <v>68</v>
      </c>
      <c r="N520" s="15" t="s">
        <v>82</v>
      </c>
      <c r="O520" s="15" t="s">
        <v>3815</v>
      </c>
      <c r="P520" s="15" t="s">
        <v>135</v>
      </c>
      <c r="Q520" s="15" t="s">
        <v>307</v>
      </c>
      <c r="R520" s="15" t="s">
        <v>135</v>
      </c>
      <c r="S520" s="15"/>
      <c r="T520" s="15"/>
      <c r="U520" s="3" t="s">
        <v>3816</v>
      </c>
      <c r="V520" s="3" t="s">
        <v>3817</v>
      </c>
      <c r="W520" s="3" t="s">
        <v>3818</v>
      </c>
      <c r="X520" s="3" t="s">
        <v>3819</v>
      </c>
      <c r="Y520" s="15" t="n">
        <v>0</v>
      </c>
      <c r="Z520" s="15" t="n">
        <v>1</v>
      </c>
      <c r="AA520" s="15" t="n">
        <v>0</v>
      </c>
      <c r="AB520" s="15" t="n">
        <v>0</v>
      </c>
      <c r="AC520" s="15" t="n">
        <v>0</v>
      </c>
      <c r="AD520" s="15" t="n">
        <v>1</v>
      </c>
      <c r="AE520" s="15" t="n">
        <v>0</v>
      </c>
      <c r="AF520" s="15" t="n">
        <v>1</v>
      </c>
      <c r="AG520" s="15" t="n">
        <v>0</v>
      </c>
      <c r="AH520" s="15" t="n">
        <v>1</v>
      </c>
    </row>
    <row r="521" customFormat="false" ht="35.05" hidden="false" customHeight="false" outlineLevel="0" collapsed="false">
      <c r="A521" s="15" t="s">
        <v>3820</v>
      </c>
      <c r="B521" s="15" t="s">
        <v>38</v>
      </c>
      <c r="C521" s="15" t="s">
        <v>127</v>
      </c>
      <c r="D521" s="15" t="n">
        <v>44</v>
      </c>
      <c r="E521" s="15" t="s">
        <v>323</v>
      </c>
      <c r="F521" s="15" t="n">
        <v>0</v>
      </c>
      <c r="G521" s="15" t="s">
        <v>129</v>
      </c>
      <c r="H521" s="15" t="s">
        <v>130</v>
      </c>
      <c r="I521" s="3" t="s">
        <v>3821</v>
      </c>
      <c r="J521" s="3" t="s">
        <v>3822</v>
      </c>
      <c r="K521" s="15" t="s">
        <v>133</v>
      </c>
      <c r="L521" s="18" t="s">
        <v>5</v>
      </c>
      <c r="M521" s="15" t="s">
        <v>426</v>
      </c>
      <c r="N521" s="15" t="s">
        <v>426</v>
      </c>
      <c r="O521" s="15"/>
      <c r="P521" s="15" t="s">
        <v>185</v>
      </c>
      <c r="Q521" s="15" t="s">
        <v>129</v>
      </c>
      <c r="R521" s="15" t="s">
        <v>185</v>
      </c>
      <c r="S521" s="15"/>
      <c r="T521" s="15"/>
      <c r="U521" s="3" t="s">
        <v>3823</v>
      </c>
      <c r="V521" s="3" t="s">
        <v>3824</v>
      </c>
      <c r="W521" s="3"/>
      <c r="X521" s="3"/>
      <c r="Y521" s="15" t="n">
        <v>0</v>
      </c>
      <c r="Z521" s="15" t="n">
        <v>0</v>
      </c>
      <c r="AA521" s="15" t="n">
        <v>0</v>
      </c>
      <c r="AB521" s="15" t="n">
        <v>0</v>
      </c>
      <c r="AC521" s="15" t="n">
        <v>0</v>
      </c>
      <c r="AD521" s="15" t="n">
        <v>0</v>
      </c>
      <c r="AE521" s="15" t="n">
        <v>0</v>
      </c>
      <c r="AF521" s="15" t="n">
        <v>0</v>
      </c>
      <c r="AG521" s="15" t="n">
        <v>0</v>
      </c>
      <c r="AH521" s="15" t="n">
        <v>0</v>
      </c>
    </row>
    <row r="522" customFormat="false" ht="35.05" hidden="false" customHeight="false" outlineLevel="0" collapsed="false">
      <c r="A522" s="15" t="s">
        <v>3825</v>
      </c>
      <c r="B522" s="15" t="s">
        <v>38</v>
      </c>
      <c r="C522" s="15" t="s">
        <v>127</v>
      </c>
      <c r="D522" s="15" t="n">
        <v>44</v>
      </c>
      <c r="E522" s="15" t="s">
        <v>323</v>
      </c>
      <c r="F522" s="15" t="n">
        <v>1</v>
      </c>
      <c r="G522" s="15" t="s">
        <v>141</v>
      </c>
      <c r="H522" s="15" t="s">
        <v>142</v>
      </c>
      <c r="I522" s="3" t="s">
        <v>3826</v>
      </c>
      <c r="J522" s="3" t="s">
        <v>3827</v>
      </c>
      <c r="K522" s="15" t="s">
        <v>145</v>
      </c>
      <c r="L522" s="16" t="s">
        <v>7</v>
      </c>
      <c r="M522" s="15" t="s">
        <v>66</v>
      </c>
      <c r="N522" s="15" t="s">
        <v>88</v>
      </c>
      <c r="O522" s="15" t="s">
        <v>88</v>
      </c>
      <c r="P522" s="15" t="s">
        <v>135</v>
      </c>
      <c r="Q522" s="15" t="s">
        <v>129</v>
      </c>
      <c r="R522" s="15" t="s">
        <v>185</v>
      </c>
      <c r="S522" s="15"/>
      <c r="T522" s="15"/>
      <c r="U522" s="3" t="s">
        <v>3828</v>
      </c>
      <c r="V522" s="3" t="s">
        <v>3829</v>
      </c>
      <c r="W522" s="3"/>
      <c r="X522" s="3" t="s">
        <v>3827</v>
      </c>
      <c r="Y522" s="15" t="n">
        <v>0</v>
      </c>
      <c r="Z522" s="15" t="n">
        <v>0</v>
      </c>
      <c r="AA522" s="15" t="n">
        <v>0</v>
      </c>
      <c r="AB522" s="15" t="n">
        <v>0</v>
      </c>
      <c r="AC522" s="15" t="n">
        <v>0</v>
      </c>
      <c r="AD522" s="15" t="n">
        <v>0</v>
      </c>
      <c r="AE522" s="15" t="n">
        <v>0</v>
      </c>
      <c r="AF522" s="15" t="n">
        <v>1</v>
      </c>
      <c r="AG522" s="15" t="n">
        <v>0</v>
      </c>
      <c r="AH522" s="15" t="n">
        <v>0</v>
      </c>
    </row>
    <row r="523" customFormat="false" ht="46.25" hidden="false" customHeight="false" outlineLevel="0" collapsed="false">
      <c r="A523" s="15" t="s">
        <v>3830</v>
      </c>
      <c r="B523" s="15" t="s">
        <v>38</v>
      </c>
      <c r="C523" s="15" t="s">
        <v>127</v>
      </c>
      <c r="D523" s="15" t="n">
        <v>44</v>
      </c>
      <c r="E523" s="15" t="s">
        <v>323</v>
      </c>
      <c r="F523" s="15" t="n">
        <v>2</v>
      </c>
      <c r="G523" s="15" t="s">
        <v>197</v>
      </c>
      <c r="H523" s="15" t="s">
        <v>142</v>
      </c>
      <c r="I523" s="3" t="s">
        <v>3831</v>
      </c>
      <c r="J523" s="3" t="s">
        <v>3832</v>
      </c>
      <c r="K523" s="15" t="s">
        <v>133</v>
      </c>
      <c r="L523" s="16" t="s">
        <v>7</v>
      </c>
      <c r="M523" s="15" t="s">
        <v>66</v>
      </c>
      <c r="N523" s="15" t="s">
        <v>88</v>
      </c>
      <c r="O523" s="15" t="s">
        <v>88</v>
      </c>
      <c r="P523" s="15" t="s">
        <v>135</v>
      </c>
      <c r="Q523" s="15" t="s">
        <v>129</v>
      </c>
      <c r="R523" s="15" t="s">
        <v>185</v>
      </c>
      <c r="S523" s="15"/>
      <c r="T523" s="15"/>
      <c r="U523" s="3" t="s">
        <v>3833</v>
      </c>
      <c r="V523" s="3" t="s">
        <v>3834</v>
      </c>
      <c r="W523" s="3"/>
      <c r="X523" s="3" t="s">
        <v>3835</v>
      </c>
      <c r="Y523" s="15" t="n">
        <v>0</v>
      </c>
      <c r="Z523" s="15" t="n">
        <v>0</v>
      </c>
      <c r="AA523" s="15" t="n">
        <v>0</v>
      </c>
      <c r="AB523" s="15" t="n">
        <v>0</v>
      </c>
      <c r="AC523" s="15" t="n">
        <v>0</v>
      </c>
      <c r="AD523" s="15" t="n">
        <v>0</v>
      </c>
      <c r="AE523" s="15" t="n">
        <v>0</v>
      </c>
      <c r="AF523" s="15" t="n">
        <v>1</v>
      </c>
      <c r="AG523" s="15" t="n">
        <v>0</v>
      </c>
      <c r="AH523" s="15" t="n">
        <v>0</v>
      </c>
    </row>
    <row r="524" customFormat="false" ht="23.85" hidden="false" customHeight="false" outlineLevel="0" collapsed="false">
      <c r="A524" s="15" t="s">
        <v>3836</v>
      </c>
      <c r="B524" s="15" t="s">
        <v>38</v>
      </c>
      <c r="C524" s="15" t="s">
        <v>127</v>
      </c>
      <c r="D524" s="15" t="n">
        <v>47</v>
      </c>
      <c r="E524" s="15" t="s">
        <v>346</v>
      </c>
      <c r="F524" s="15" t="n">
        <v>0</v>
      </c>
      <c r="G524" s="15" t="s">
        <v>129</v>
      </c>
      <c r="H524" s="15" t="s">
        <v>130</v>
      </c>
      <c r="I524" s="3" t="s">
        <v>3837</v>
      </c>
      <c r="J524" s="3" t="s">
        <v>3838</v>
      </c>
      <c r="K524" s="15" t="s">
        <v>133</v>
      </c>
      <c r="L524" s="18" t="s">
        <v>5</v>
      </c>
      <c r="M524" s="15" t="s">
        <v>426</v>
      </c>
      <c r="N524" s="15" t="s">
        <v>426</v>
      </c>
      <c r="O524" s="15"/>
      <c r="P524" s="15" t="s">
        <v>185</v>
      </c>
      <c r="Q524" s="15" t="s">
        <v>129</v>
      </c>
      <c r="R524" s="15" t="s">
        <v>185</v>
      </c>
      <c r="S524" s="15"/>
      <c r="T524" s="15"/>
      <c r="U524" s="3" t="s">
        <v>3839</v>
      </c>
      <c r="V524" s="3" t="s">
        <v>3840</v>
      </c>
      <c r="W524" s="3"/>
      <c r="X524" s="3"/>
      <c r="Y524" s="15" t="n">
        <v>0</v>
      </c>
      <c r="Z524" s="15" t="n">
        <v>0</v>
      </c>
      <c r="AA524" s="15" t="n">
        <v>0</v>
      </c>
      <c r="AB524" s="15" t="n">
        <v>0</v>
      </c>
      <c r="AC524" s="15" t="n">
        <v>0</v>
      </c>
      <c r="AD524" s="15" t="n">
        <v>0</v>
      </c>
      <c r="AE524" s="15" t="n">
        <v>0</v>
      </c>
      <c r="AF524" s="15" t="n">
        <v>0</v>
      </c>
      <c r="AG524" s="15" t="n">
        <v>0</v>
      </c>
      <c r="AH524" s="15" t="n">
        <v>0</v>
      </c>
    </row>
    <row r="525" customFormat="false" ht="23.85" hidden="false" customHeight="false" outlineLevel="0" collapsed="false">
      <c r="A525" s="15" t="s">
        <v>3841</v>
      </c>
      <c r="B525" s="15" t="s">
        <v>38</v>
      </c>
      <c r="C525" s="15" t="s">
        <v>127</v>
      </c>
      <c r="D525" s="15" t="n">
        <v>47</v>
      </c>
      <c r="E525" s="15" t="s">
        <v>346</v>
      </c>
      <c r="F525" s="15" t="n">
        <v>1</v>
      </c>
      <c r="G525" s="15" t="s">
        <v>197</v>
      </c>
      <c r="H525" s="15" t="s">
        <v>142</v>
      </c>
      <c r="I525" s="3" t="s">
        <v>3842</v>
      </c>
      <c r="J525" s="3" t="s">
        <v>3843</v>
      </c>
      <c r="K525" s="15" t="s">
        <v>145</v>
      </c>
      <c r="L525" s="16" t="s">
        <v>7</v>
      </c>
      <c r="M525" s="15" t="s">
        <v>66</v>
      </c>
      <c r="N525" s="15" t="s">
        <v>88</v>
      </c>
      <c r="O525" s="15" t="s">
        <v>88</v>
      </c>
      <c r="P525" s="15" t="s">
        <v>135</v>
      </c>
      <c r="Q525" s="15" t="s">
        <v>129</v>
      </c>
      <c r="R525" s="15" t="s">
        <v>185</v>
      </c>
      <c r="S525" s="15"/>
      <c r="T525" s="15"/>
      <c r="U525" s="3" t="s">
        <v>3844</v>
      </c>
      <c r="V525" s="3" t="s">
        <v>3845</v>
      </c>
      <c r="W525" s="3"/>
      <c r="X525" s="3" t="s">
        <v>3846</v>
      </c>
      <c r="Y525" s="15" t="n">
        <v>0</v>
      </c>
      <c r="Z525" s="15" t="n">
        <v>0</v>
      </c>
      <c r="AA525" s="15" t="n">
        <v>0</v>
      </c>
      <c r="AB525" s="15" t="n">
        <v>0</v>
      </c>
      <c r="AC525" s="15" t="n">
        <v>0</v>
      </c>
      <c r="AD525" s="15" t="n">
        <v>0</v>
      </c>
      <c r="AE525" s="15" t="n">
        <v>0</v>
      </c>
      <c r="AF525" s="15" t="n">
        <v>1</v>
      </c>
      <c r="AG525" s="15" t="n">
        <v>0</v>
      </c>
      <c r="AH525" s="15" t="n">
        <v>0</v>
      </c>
    </row>
    <row r="526" customFormat="false" ht="35.05" hidden="false" customHeight="false" outlineLevel="0" collapsed="false">
      <c r="A526" s="15" t="s">
        <v>3847</v>
      </c>
      <c r="B526" s="15" t="s">
        <v>38</v>
      </c>
      <c r="C526" s="15" t="s">
        <v>127</v>
      </c>
      <c r="D526" s="15" t="n">
        <v>47</v>
      </c>
      <c r="E526" s="15" t="s">
        <v>346</v>
      </c>
      <c r="F526" s="15" t="n">
        <v>2</v>
      </c>
      <c r="G526" s="15" t="s">
        <v>141</v>
      </c>
      <c r="H526" s="15" t="s">
        <v>142</v>
      </c>
      <c r="I526" s="3" t="s">
        <v>3848</v>
      </c>
      <c r="J526" s="3" t="s">
        <v>3838</v>
      </c>
      <c r="K526" s="15" t="s">
        <v>133</v>
      </c>
      <c r="L526" s="16" t="s">
        <v>7</v>
      </c>
      <c r="M526" s="15" t="s">
        <v>66</v>
      </c>
      <c r="N526" s="15" t="s">
        <v>88</v>
      </c>
      <c r="O526" s="15" t="s">
        <v>88</v>
      </c>
      <c r="P526" s="15" t="s">
        <v>135</v>
      </c>
      <c r="Q526" s="15" t="s">
        <v>129</v>
      </c>
      <c r="R526" s="15" t="s">
        <v>185</v>
      </c>
      <c r="S526" s="15"/>
      <c r="T526" s="15"/>
      <c r="U526" s="3" t="s">
        <v>3849</v>
      </c>
      <c r="V526" s="3" t="s">
        <v>3850</v>
      </c>
      <c r="W526" s="3"/>
      <c r="X526" s="3" t="s">
        <v>3851</v>
      </c>
      <c r="Y526" s="15" t="n">
        <v>0</v>
      </c>
      <c r="Z526" s="15" t="n">
        <v>0</v>
      </c>
      <c r="AA526" s="15" t="n">
        <v>0</v>
      </c>
      <c r="AB526" s="15" t="n">
        <v>0</v>
      </c>
      <c r="AC526" s="15" t="n">
        <v>0</v>
      </c>
      <c r="AD526" s="15" t="n">
        <v>0</v>
      </c>
      <c r="AE526" s="15" t="n">
        <v>0</v>
      </c>
      <c r="AF526" s="15" t="n">
        <v>1</v>
      </c>
      <c r="AG526" s="15" t="n">
        <v>0</v>
      </c>
      <c r="AH526" s="15" t="n">
        <v>0</v>
      </c>
    </row>
    <row r="527" customFormat="false" ht="35.05" hidden="false" customHeight="false" outlineLevel="0" collapsed="false">
      <c r="A527" s="15" t="s">
        <v>3852</v>
      </c>
      <c r="B527" s="15" t="s">
        <v>38</v>
      </c>
      <c r="C527" s="15" t="s">
        <v>127</v>
      </c>
      <c r="D527" s="15" t="n">
        <v>53</v>
      </c>
      <c r="E527" s="15" t="s">
        <v>370</v>
      </c>
      <c r="F527" s="15" t="n">
        <v>0</v>
      </c>
      <c r="G527" s="15" t="s">
        <v>129</v>
      </c>
      <c r="H527" s="15" t="s">
        <v>130</v>
      </c>
      <c r="I527" s="3" t="s">
        <v>3853</v>
      </c>
      <c r="J527" s="3" t="s">
        <v>3854</v>
      </c>
      <c r="K527" s="15" t="s">
        <v>133</v>
      </c>
      <c r="L527" s="18" t="s">
        <v>5</v>
      </c>
      <c r="M527" s="15" t="s">
        <v>426</v>
      </c>
      <c r="N527" s="15" t="s">
        <v>426</v>
      </c>
      <c r="O527" s="15"/>
      <c r="P527" s="15" t="s">
        <v>185</v>
      </c>
      <c r="Q527" s="15" t="s">
        <v>129</v>
      </c>
      <c r="R527" s="15" t="s">
        <v>185</v>
      </c>
      <c r="S527" s="15"/>
      <c r="T527" s="15"/>
      <c r="U527" s="3" t="s">
        <v>3855</v>
      </c>
      <c r="V527" s="3" t="s">
        <v>3856</v>
      </c>
      <c r="W527" s="3"/>
      <c r="X527" s="3"/>
      <c r="Y527" s="15" t="n">
        <v>0</v>
      </c>
      <c r="Z527" s="15" t="n">
        <v>0</v>
      </c>
      <c r="AA527" s="15" t="n">
        <v>0</v>
      </c>
      <c r="AB527" s="15" t="n">
        <v>0</v>
      </c>
      <c r="AC527" s="15" t="n">
        <v>0</v>
      </c>
      <c r="AD527" s="15" t="n">
        <v>0</v>
      </c>
      <c r="AE527" s="15" t="n">
        <v>0</v>
      </c>
      <c r="AF527" s="15" t="n">
        <v>0</v>
      </c>
      <c r="AG527" s="15" t="n">
        <v>0</v>
      </c>
      <c r="AH527" s="15" t="n">
        <v>0</v>
      </c>
    </row>
    <row r="528" customFormat="false" ht="23.85" hidden="false" customHeight="false" outlineLevel="0" collapsed="false">
      <c r="A528" s="15" t="s">
        <v>3857</v>
      </c>
      <c r="B528" s="15" t="s">
        <v>38</v>
      </c>
      <c r="C528" s="15" t="s">
        <v>127</v>
      </c>
      <c r="D528" s="15" t="n">
        <v>53</v>
      </c>
      <c r="E528" s="15" t="s">
        <v>370</v>
      </c>
      <c r="F528" s="15" t="n">
        <v>1</v>
      </c>
      <c r="G528" s="15" t="s">
        <v>197</v>
      </c>
      <c r="H528" s="15" t="s">
        <v>142</v>
      </c>
      <c r="I528" s="3" t="s">
        <v>3858</v>
      </c>
      <c r="J528" s="3" t="s">
        <v>3859</v>
      </c>
      <c r="K528" s="15" t="s">
        <v>145</v>
      </c>
      <c r="L528" s="16" t="s">
        <v>7</v>
      </c>
      <c r="M528" s="15" t="s">
        <v>66</v>
      </c>
      <c r="N528" s="15" t="s">
        <v>88</v>
      </c>
      <c r="O528" s="15" t="s">
        <v>88</v>
      </c>
      <c r="P528" s="15" t="s">
        <v>135</v>
      </c>
      <c r="Q528" s="15" t="s">
        <v>129</v>
      </c>
      <c r="R528" s="15" t="s">
        <v>185</v>
      </c>
      <c r="S528" s="15"/>
      <c r="T528" s="15"/>
      <c r="U528" s="3" t="s">
        <v>3860</v>
      </c>
      <c r="V528" s="3" t="s">
        <v>3861</v>
      </c>
      <c r="W528" s="3"/>
      <c r="X528" s="3" t="s">
        <v>3862</v>
      </c>
      <c r="Y528" s="15" t="n">
        <v>0</v>
      </c>
      <c r="Z528" s="15" t="n">
        <v>0</v>
      </c>
      <c r="AA528" s="15" t="n">
        <v>0</v>
      </c>
      <c r="AB528" s="15" t="n">
        <v>0</v>
      </c>
      <c r="AC528" s="15" t="n">
        <v>0</v>
      </c>
      <c r="AD528" s="15" t="n">
        <v>0</v>
      </c>
      <c r="AE528" s="15" t="n">
        <v>0</v>
      </c>
      <c r="AF528" s="15" t="n">
        <v>1</v>
      </c>
      <c r="AG528" s="15" t="n">
        <v>0</v>
      </c>
      <c r="AH528" s="15" t="n">
        <v>0</v>
      </c>
    </row>
    <row r="529" customFormat="false" ht="46.25" hidden="false" customHeight="false" outlineLevel="0" collapsed="false">
      <c r="A529" s="15" t="s">
        <v>3863</v>
      </c>
      <c r="B529" s="15" t="s">
        <v>38</v>
      </c>
      <c r="C529" s="15" t="s">
        <v>127</v>
      </c>
      <c r="D529" s="15" t="n">
        <v>53</v>
      </c>
      <c r="E529" s="15" t="s">
        <v>370</v>
      </c>
      <c r="F529" s="15" t="n">
        <v>2</v>
      </c>
      <c r="G529" s="15" t="s">
        <v>152</v>
      </c>
      <c r="H529" s="15" t="s">
        <v>142</v>
      </c>
      <c r="I529" s="3" t="s">
        <v>3864</v>
      </c>
      <c r="J529" s="3" t="s">
        <v>3865</v>
      </c>
      <c r="K529" s="15" t="s">
        <v>133</v>
      </c>
      <c r="L529" s="16" t="s">
        <v>7</v>
      </c>
      <c r="M529" s="15" t="s">
        <v>66</v>
      </c>
      <c r="N529" s="15" t="s">
        <v>88</v>
      </c>
      <c r="O529" s="15" t="s">
        <v>88</v>
      </c>
      <c r="P529" s="15" t="s">
        <v>135</v>
      </c>
      <c r="Q529" s="15" t="s">
        <v>129</v>
      </c>
      <c r="R529" s="15" t="s">
        <v>185</v>
      </c>
      <c r="S529" s="15"/>
      <c r="T529" s="15"/>
      <c r="U529" s="3" t="s">
        <v>3866</v>
      </c>
      <c r="V529" s="3" t="s">
        <v>3867</v>
      </c>
      <c r="W529" s="3"/>
      <c r="X529" s="3" t="s">
        <v>3868</v>
      </c>
      <c r="Y529" s="15" t="n">
        <v>0</v>
      </c>
      <c r="Z529" s="15" t="n">
        <v>0</v>
      </c>
      <c r="AA529" s="15" t="n">
        <v>0</v>
      </c>
      <c r="AB529" s="15" t="n">
        <v>0</v>
      </c>
      <c r="AC529" s="15" t="n">
        <v>0</v>
      </c>
      <c r="AD529" s="15" t="n">
        <v>0</v>
      </c>
      <c r="AE529" s="15" t="n">
        <v>0</v>
      </c>
      <c r="AF529" s="15" t="n">
        <v>1</v>
      </c>
      <c r="AG529" s="15" t="n">
        <v>0</v>
      </c>
      <c r="AH529" s="15" t="n">
        <v>0</v>
      </c>
    </row>
    <row r="530" customFormat="false" ht="79.85" hidden="false" customHeight="false" outlineLevel="0" collapsed="false">
      <c r="A530" s="15" t="s">
        <v>3869</v>
      </c>
      <c r="B530" s="15" t="s">
        <v>38</v>
      </c>
      <c r="C530" s="15" t="s">
        <v>394</v>
      </c>
      <c r="D530" s="15" t="n">
        <v>9</v>
      </c>
      <c r="E530" s="15" t="s">
        <v>395</v>
      </c>
      <c r="F530" s="15" t="n">
        <v>0</v>
      </c>
      <c r="G530" s="15" t="s">
        <v>129</v>
      </c>
      <c r="H530" s="15" t="s">
        <v>130</v>
      </c>
      <c r="I530" s="3" t="s">
        <v>3870</v>
      </c>
      <c r="J530" s="3" t="s">
        <v>3871</v>
      </c>
      <c r="K530" s="15" t="s">
        <v>133</v>
      </c>
      <c r="L530" s="16" t="s">
        <v>7</v>
      </c>
      <c r="M530" s="15" t="s">
        <v>68</v>
      </c>
      <c r="N530" s="15" t="s">
        <v>87</v>
      </c>
      <c r="O530" s="15" t="s">
        <v>87</v>
      </c>
      <c r="P530" s="15" t="s">
        <v>185</v>
      </c>
      <c r="Q530" s="15" t="s">
        <v>129</v>
      </c>
      <c r="R530" s="15" t="s">
        <v>135</v>
      </c>
      <c r="S530" s="15"/>
      <c r="T530" s="15"/>
      <c r="U530" s="3" t="s">
        <v>3872</v>
      </c>
      <c r="V530" s="3" t="s">
        <v>3873</v>
      </c>
      <c r="W530" s="3"/>
      <c r="X530" s="3" t="s">
        <v>3874</v>
      </c>
      <c r="Y530" s="15" t="n">
        <v>0</v>
      </c>
      <c r="Z530" s="15" t="n">
        <v>0</v>
      </c>
      <c r="AA530" s="15" t="n">
        <v>0</v>
      </c>
      <c r="AB530" s="15" t="n">
        <v>0</v>
      </c>
      <c r="AC530" s="15" t="n">
        <v>0</v>
      </c>
      <c r="AD530" s="15" t="n">
        <v>0</v>
      </c>
      <c r="AE530" s="15" t="n">
        <v>1</v>
      </c>
      <c r="AF530" s="15" t="n">
        <v>0</v>
      </c>
      <c r="AG530" s="15" t="n">
        <v>0</v>
      </c>
      <c r="AH530" s="15" t="n">
        <v>0</v>
      </c>
    </row>
    <row r="531" customFormat="false" ht="46.25" hidden="false" customHeight="false" outlineLevel="0" collapsed="false">
      <c r="A531" s="15" t="s">
        <v>3875</v>
      </c>
      <c r="B531" s="15" t="s">
        <v>38</v>
      </c>
      <c r="C531" s="15" t="s">
        <v>394</v>
      </c>
      <c r="D531" s="15" t="n">
        <v>9</v>
      </c>
      <c r="E531" s="15" t="s">
        <v>395</v>
      </c>
      <c r="F531" s="15" t="n">
        <v>1</v>
      </c>
      <c r="G531" s="15" t="s">
        <v>197</v>
      </c>
      <c r="H531" s="15" t="s">
        <v>142</v>
      </c>
      <c r="I531" s="3" t="s">
        <v>3876</v>
      </c>
      <c r="J531" s="3" t="s">
        <v>3871</v>
      </c>
      <c r="K531" s="15" t="s">
        <v>145</v>
      </c>
      <c r="L531" s="16" t="s">
        <v>7</v>
      </c>
      <c r="M531" s="15" t="s">
        <v>68</v>
      </c>
      <c r="N531" s="15" t="s">
        <v>87</v>
      </c>
      <c r="O531" s="15" t="s">
        <v>3737</v>
      </c>
      <c r="P531" s="15" t="s">
        <v>135</v>
      </c>
      <c r="Q531" s="15" t="s">
        <v>129</v>
      </c>
      <c r="R531" s="15" t="s">
        <v>135</v>
      </c>
      <c r="S531" s="15"/>
      <c r="T531" s="15"/>
      <c r="U531" s="3" t="s">
        <v>3877</v>
      </c>
      <c r="V531" s="3" t="s">
        <v>3878</v>
      </c>
      <c r="W531" s="3" t="s">
        <v>3879</v>
      </c>
      <c r="X531" s="3" t="s">
        <v>3880</v>
      </c>
      <c r="Y531" s="15" t="n">
        <v>0</v>
      </c>
      <c r="Z531" s="15" t="n">
        <v>0</v>
      </c>
      <c r="AA531" s="15" t="n">
        <v>0</v>
      </c>
      <c r="AB531" s="15" t="n">
        <v>0</v>
      </c>
      <c r="AC531" s="15" t="n">
        <v>0</v>
      </c>
      <c r="AD531" s="15" t="n">
        <v>0</v>
      </c>
      <c r="AE531" s="15" t="n">
        <v>1</v>
      </c>
      <c r="AF531" s="15" t="n">
        <v>1</v>
      </c>
      <c r="AG531" s="15" t="n">
        <v>0</v>
      </c>
      <c r="AH531" s="15" t="n">
        <v>0</v>
      </c>
    </row>
    <row r="532" customFormat="false" ht="35.05" hidden="false" customHeight="false" outlineLevel="0" collapsed="false">
      <c r="A532" s="15" t="s">
        <v>3881</v>
      </c>
      <c r="B532" s="15" t="s">
        <v>38</v>
      </c>
      <c r="C532" s="15" t="s">
        <v>394</v>
      </c>
      <c r="D532" s="15" t="n">
        <v>9</v>
      </c>
      <c r="E532" s="15" t="s">
        <v>395</v>
      </c>
      <c r="F532" s="15" t="n">
        <v>2</v>
      </c>
      <c r="G532" s="15" t="s">
        <v>141</v>
      </c>
      <c r="H532" s="15" t="s">
        <v>142</v>
      </c>
      <c r="I532" s="3" t="s">
        <v>3882</v>
      </c>
      <c r="J532" s="3" t="s">
        <v>3883</v>
      </c>
      <c r="K532" s="15" t="s">
        <v>133</v>
      </c>
      <c r="L532" s="16" t="s">
        <v>7</v>
      </c>
      <c r="M532" s="15" t="s">
        <v>66</v>
      </c>
      <c r="N532" s="15" t="s">
        <v>88</v>
      </c>
      <c r="O532" s="15" t="s">
        <v>231</v>
      </c>
      <c r="P532" s="15" t="s">
        <v>135</v>
      </c>
      <c r="Q532" s="15" t="s">
        <v>129</v>
      </c>
      <c r="R532" s="15" t="s">
        <v>185</v>
      </c>
      <c r="S532" s="15"/>
      <c r="T532" s="15"/>
      <c r="U532" s="3" t="s">
        <v>3884</v>
      </c>
      <c r="V532" s="3" t="s">
        <v>3885</v>
      </c>
      <c r="W532" s="3" t="s">
        <v>3886</v>
      </c>
      <c r="X532" s="3" t="s">
        <v>3887</v>
      </c>
      <c r="Y532" s="15" t="n">
        <v>0</v>
      </c>
      <c r="Z532" s="15" t="n">
        <v>0</v>
      </c>
      <c r="AA532" s="15" t="n">
        <v>0</v>
      </c>
      <c r="AB532" s="15" t="n">
        <v>0</v>
      </c>
      <c r="AC532" s="15" t="n">
        <v>0</v>
      </c>
      <c r="AD532" s="15" t="n">
        <v>0</v>
      </c>
      <c r="AE532" s="15" t="n">
        <v>0</v>
      </c>
      <c r="AF532" s="15" t="n">
        <v>1</v>
      </c>
      <c r="AG532" s="15" t="n">
        <v>0</v>
      </c>
      <c r="AH532" s="15" t="n">
        <v>1</v>
      </c>
    </row>
    <row r="533" customFormat="false" ht="23.85" hidden="false" customHeight="false" outlineLevel="0" collapsed="false">
      <c r="A533" s="15" t="s">
        <v>3888</v>
      </c>
      <c r="B533" s="15" t="s">
        <v>38</v>
      </c>
      <c r="C533" s="15" t="s">
        <v>394</v>
      </c>
      <c r="D533" s="15" t="n">
        <v>21</v>
      </c>
      <c r="E533" s="15" t="s">
        <v>415</v>
      </c>
      <c r="F533" s="15" t="n">
        <v>0</v>
      </c>
      <c r="G533" s="15" t="s">
        <v>152</v>
      </c>
      <c r="H533" s="15" t="s">
        <v>142</v>
      </c>
      <c r="I533" s="3" t="s">
        <v>3889</v>
      </c>
      <c r="J533" s="3" t="s">
        <v>3890</v>
      </c>
      <c r="K533" s="15" t="s">
        <v>133</v>
      </c>
      <c r="L533" s="18" t="s">
        <v>5</v>
      </c>
      <c r="M533" s="15" t="s">
        <v>426</v>
      </c>
      <c r="N533" s="15" t="s">
        <v>426</v>
      </c>
      <c r="O533" s="15"/>
      <c r="P533" s="15" t="s">
        <v>185</v>
      </c>
      <c r="Q533" s="15" t="s">
        <v>152</v>
      </c>
      <c r="R533" s="15" t="s">
        <v>185</v>
      </c>
      <c r="S533" s="15"/>
      <c r="T533" s="15"/>
      <c r="U533" s="3" t="s">
        <v>3891</v>
      </c>
      <c r="V533" s="3" t="s">
        <v>3892</v>
      </c>
      <c r="W533" s="3"/>
      <c r="X533" s="3"/>
      <c r="Y533" s="15" t="n">
        <v>0</v>
      </c>
      <c r="Z533" s="15" t="n">
        <v>0</v>
      </c>
      <c r="AA533" s="15" t="n">
        <v>0</v>
      </c>
      <c r="AB533" s="15" t="n">
        <v>0</v>
      </c>
      <c r="AC533" s="15" t="n">
        <v>0</v>
      </c>
      <c r="AD533" s="15" t="n">
        <v>0</v>
      </c>
      <c r="AE533" s="15" t="n">
        <v>0</v>
      </c>
      <c r="AF533" s="15" t="n">
        <v>0</v>
      </c>
      <c r="AG533" s="15" t="n">
        <v>0</v>
      </c>
      <c r="AH533" s="15" t="n">
        <v>0</v>
      </c>
    </row>
    <row r="534" customFormat="false" ht="35.05" hidden="false" customHeight="false" outlineLevel="0" collapsed="false">
      <c r="A534" s="15" t="s">
        <v>3893</v>
      </c>
      <c r="B534" s="15" t="s">
        <v>38</v>
      </c>
      <c r="C534" s="15" t="s">
        <v>394</v>
      </c>
      <c r="D534" s="15" t="n">
        <v>21</v>
      </c>
      <c r="E534" s="15" t="s">
        <v>415</v>
      </c>
      <c r="F534" s="15" t="n">
        <v>1</v>
      </c>
      <c r="G534" s="15" t="s">
        <v>141</v>
      </c>
      <c r="H534" s="15" t="s">
        <v>142</v>
      </c>
      <c r="I534" s="3" t="s">
        <v>3894</v>
      </c>
      <c r="J534" s="3" t="s">
        <v>3895</v>
      </c>
      <c r="K534" s="15" t="s">
        <v>145</v>
      </c>
      <c r="L534" s="16" t="s">
        <v>7</v>
      </c>
      <c r="M534" s="15" t="s">
        <v>66</v>
      </c>
      <c r="N534" s="15" t="s">
        <v>87</v>
      </c>
      <c r="O534" s="15" t="s">
        <v>3737</v>
      </c>
      <c r="P534" s="15" t="s">
        <v>135</v>
      </c>
      <c r="Q534" s="15" t="s">
        <v>197</v>
      </c>
      <c r="R534" s="15" t="s">
        <v>135</v>
      </c>
      <c r="S534" s="15"/>
      <c r="T534" s="15"/>
      <c r="U534" s="3" t="s">
        <v>3896</v>
      </c>
      <c r="V534" s="3" t="s">
        <v>3897</v>
      </c>
      <c r="W534" s="3" t="s">
        <v>3898</v>
      </c>
      <c r="X534" s="3" t="s">
        <v>3899</v>
      </c>
      <c r="Y534" s="15" t="n">
        <v>0</v>
      </c>
      <c r="Z534" s="15" t="n">
        <v>0</v>
      </c>
      <c r="AA534" s="15" t="n">
        <v>0</v>
      </c>
      <c r="AB534" s="15" t="n">
        <v>0</v>
      </c>
      <c r="AC534" s="15" t="n">
        <v>0</v>
      </c>
      <c r="AD534" s="15" t="n">
        <v>0</v>
      </c>
      <c r="AE534" s="15" t="n">
        <v>1</v>
      </c>
      <c r="AF534" s="15" t="n">
        <v>1</v>
      </c>
      <c r="AG534" s="15" t="n">
        <v>0</v>
      </c>
      <c r="AH534" s="15" t="n">
        <v>0</v>
      </c>
    </row>
    <row r="535" customFormat="false" ht="35.05" hidden="false" customHeight="false" outlineLevel="0" collapsed="false">
      <c r="A535" s="15" t="s">
        <v>3900</v>
      </c>
      <c r="B535" s="15" t="s">
        <v>38</v>
      </c>
      <c r="C535" s="15" t="s">
        <v>394</v>
      </c>
      <c r="D535" s="15" t="n">
        <v>21</v>
      </c>
      <c r="E535" s="15" t="s">
        <v>415</v>
      </c>
      <c r="F535" s="15" t="n">
        <v>2</v>
      </c>
      <c r="G535" s="15" t="s">
        <v>129</v>
      </c>
      <c r="H535" s="15" t="s">
        <v>130</v>
      </c>
      <c r="I535" s="3" t="s">
        <v>3901</v>
      </c>
      <c r="J535" s="3" t="s">
        <v>3902</v>
      </c>
      <c r="K535" s="15" t="s">
        <v>133</v>
      </c>
      <c r="L535" s="16" t="s">
        <v>7</v>
      </c>
      <c r="M535" s="15" t="s">
        <v>68</v>
      </c>
      <c r="N535" s="15" t="s">
        <v>82</v>
      </c>
      <c r="O535" s="15" t="s">
        <v>1542</v>
      </c>
      <c r="P535" s="15" t="s">
        <v>135</v>
      </c>
      <c r="Q535" s="15" t="s">
        <v>197</v>
      </c>
      <c r="R535" s="15" t="s">
        <v>135</v>
      </c>
      <c r="S535" s="15"/>
      <c r="T535" s="15"/>
      <c r="U535" s="3" t="s">
        <v>3903</v>
      </c>
      <c r="V535" s="3" t="s">
        <v>3904</v>
      </c>
      <c r="W535" s="3"/>
      <c r="X535" s="3" t="s">
        <v>3905</v>
      </c>
      <c r="Y535" s="15" t="n">
        <v>0</v>
      </c>
      <c r="Z535" s="15" t="n">
        <v>1</v>
      </c>
      <c r="AA535" s="15" t="n">
        <v>0</v>
      </c>
      <c r="AB535" s="15" t="n">
        <v>0</v>
      </c>
      <c r="AC535" s="15" t="n">
        <v>0</v>
      </c>
      <c r="AD535" s="15" t="n">
        <v>0</v>
      </c>
      <c r="AE535" s="15" t="n">
        <v>0</v>
      </c>
      <c r="AF535" s="15" t="n">
        <v>1</v>
      </c>
      <c r="AG535" s="15" t="n">
        <v>1</v>
      </c>
      <c r="AH535" s="15" t="n">
        <v>0</v>
      </c>
    </row>
    <row r="536" customFormat="false" ht="35.05" hidden="false" customHeight="false" outlineLevel="0" collapsed="false">
      <c r="A536" s="15" t="s">
        <v>3906</v>
      </c>
      <c r="B536" s="15" t="s">
        <v>38</v>
      </c>
      <c r="C536" s="15" t="s">
        <v>394</v>
      </c>
      <c r="D536" s="15" t="n">
        <v>23</v>
      </c>
      <c r="E536" s="15" t="s">
        <v>436</v>
      </c>
      <c r="F536" s="15" t="n">
        <v>0</v>
      </c>
      <c r="G536" s="15" t="s">
        <v>129</v>
      </c>
      <c r="H536" s="15" t="s">
        <v>130</v>
      </c>
      <c r="I536" s="3" t="s">
        <v>3907</v>
      </c>
      <c r="J536" s="3" t="s">
        <v>3908</v>
      </c>
      <c r="K536" s="15" t="s">
        <v>133</v>
      </c>
      <c r="L536" s="18" t="s">
        <v>5</v>
      </c>
      <c r="M536" s="15" t="s">
        <v>426</v>
      </c>
      <c r="N536" s="15" t="s">
        <v>426</v>
      </c>
      <c r="O536" s="15"/>
      <c r="P536" s="15" t="s">
        <v>185</v>
      </c>
      <c r="Q536" s="15" t="s">
        <v>129</v>
      </c>
      <c r="R536" s="15" t="s">
        <v>185</v>
      </c>
      <c r="S536" s="15"/>
      <c r="T536" s="15"/>
      <c r="U536" s="3" t="s">
        <v>3909</v>
      </c>
      <c r="V536" s="3" t="s">
        <v>3910</v>
      </c>
      <c r="W536" s="3"/>
      <c r="X536" s="3"/>
      <c r="Y536" s="15" t="n">
        <v>0</v>
      </c>
      <c r="Z536" s="15" t="n">
        <v>0</v>
      </c>
      <c r="AA536" s="15" t="n">
        <v>0</v>
      </c>
      <c r="AB536" s="15" t="n">
        <v>0</v>
      </c>
      <c r="AC536" s="15" t="n">
        <v>0</v>
      </c>
      <c r="AD536" s="15" t="n">
        <v>0</v>
      </c>
      <c r="AE536" s="15" t="n">
        <v>0</v>
      </c>
      <c r="AF536" s="15" t="n">
        <v>0</v>
      </c>
      <c r="AG536" s="15" t="n">
        <v>0</v>
      </c>
      <c r="AH536" s="15" t="n">
        <v>0</v>
      </c>
    </row>
    <row r="537" customFormat="false" ht="23.85" hidden="false" customHeight="false" outlineLevel="0" collapsed="false">
      <c r="A537" s="15" t="s">
        <v>3911</v>
      </c>
      <c r="B537" s="15" t="s">
        <v>38</v>
      </c>
      <c r="C537" s="15" t="s">
        <v>394</v>
      </c>
      <c r="D537" s="15" t="n">
        <v>23</v>
      </c>
      <c r="E537" s="15" t="s">
        <v>436</v>
      </c>
      <c r="F537" s="15" t="n">
        <v>1</v>
      </c>
      <c r="G537" s="15" t="s">
        <v>197</v>
      </c>
      <c r="H537" s="15" t="s">
        <v>142</v>
      </c>
      <c r="I537" s="3" t="s">
        <v>3912</v>
      </c>
      <c r="J537" s="3" t="s">
        <v>3913</v>
      </c>
      <c r="K537" s="15" t="s">
        <v>145</v>
      </c>
      <c r="L537" s="18" t="s">
        <v>5</v>
      </c>
      <c r="M537" s="15" t="s">
        <v>426</v>
      </c>
      <c r="N537" s="15" t="s">
        <v>426</v>
      </c>
      <c r="O537" s="15"/>
      <c r="P537" s="15" t="s">
        <v>185</v>
      </c>
      <c r="Q537" s="15" t="s">
        <v>197</v>
      </c>
      <c r="R537" s="15" t="s">
        <v>185</v>
      </c>
      <c r="S537" s="15"/>
      <c r="T537" s="15"/>
      <c r="U537" s="3" t="s">
        <v>3914</v>
      </c>
      <c r="V537" s="3" t="s">
        <v>3915</v>
      </c>
      <c r="W537" s="3"/>
      <c r="X537" s="3"/>
      <c r="Y537" s="15" t="n">
        <v>0</v>
      </c>
      <c r="Z537" s="15" t="n">
        <v>0</v>
      </c>
      <c r="AA537" s="15" t="n">
        <v>0</v>
      </c>
      <c r="AB537" s="15" t="n">
        <v>0</v>
      </c>
      <c r="AC537" s="15" t="n">
        <v>0</v>
      </c>
      <c r="AD537" s="15" t="n">
        <v>0</v>
      </c>
      <c r="AE537" s="15" t="n">
        <v>0</v>
      </c>
      <c r="AF537" s="15" t="n">
        <v>0</v>
      </c>
      <c r="AG537" s="15" t="n">
        <v>0</v>
      </c>
      <c r="AH537" s="15" t="n">
        <v>0</v>
      </c>
    </row>
    <row r="538" customFormat="false" ht="23.85" hidden="false" customHeight="false" outlineLevel="0" collapsed="false">
      <c r="A538" s="15" t="s">
        <v>3916</v>
      </c>
      <c r="B538" s="15" t="s">
        <v>38</v>
      </c>
      <c r="C538" s="15" t="s">
        <v>394</v>
      </c>
      <c r="D538" s="15" t="n">
        <v>23</v>
      </c>
      <c r="E538" s="15" t="s">
        <v>436</v>
      </c>
      <c r="F538" s="15" t="n">
        <v>2</v>
      </c>
      <c r="G538" s="15" t="s">
        <v>141</v>
      </c>
      <c r="H538" s="15" t="s">
        <v>142</v>
      </c>
      <c r="I538" s="3" t="s">
        <v>3917</v>
      </c>
      <c r="J538" s="3" t="s">
        <v>3918</v>
      </c>
      <c r="K538" s="15" t="s">
        <v>133</v>
      </c>
      <c r="L538" s="16" t="s">
        <v>7</v>
      </c>
      <c r="M538" s="15" t="s">
        <v>66</v>
      </c>
      <c r="N538" s="15" t="s">
        <v>88</v>
      </c>
      <c r="O538" s="15" t="s">
        <v>88</v>
      </c>
      <c r="P538" s="15" t="s">
        <v>135</v>
      </c>
      <c r="Q538" s="15" t="s">
        <v>197</v>
      </c>
      <c r="R538" s="15" t="s">
        <v>185</v>
      </c>
      <c r="S538" s="15"/>
      <c r="T538" s="15"/>
      <c r="U538" s="3" t="s">
        <v>3919</v>
      </c>
      <c r="V538" s="3" t="s">
        <v>3920</v>
      </c>
      <c r="W538" s="3"/>
      <c r="X538" s="3" t="s">
        <v>3921</v>
      </c>
      <c r="Y538" s="15" t="n">
        <v>0</v>
      </c>
      <c r="Z538" s="15" t="n">
        <v>0</v>
      </c>
      <c r="AA538" s="15" t="n">
        <v>0</v>
      </c>
      <c r="AB538" s="15" t="n">
        <v>0</v>
      </c>
      <c r="AC538" s="15" t="n">
        <v>0</v>
      </c>
      <c r="AD538" s="15" t="n">
        <v>0</v>
      </c>
      <c r="AE538" s="15" t="n">
        <v>0</v>
      </c>
      <c r="AF538" s="15" t="n">
        <v>1</v>
      </c>
      <c r="AG538" s="15" t="n">
        <v>0</v>
      </c>
      <c r="AH538" s="15" t="n">
        <v>0</v>
      </c>
    </row>
    <row r="539" customFormat="false" ht="46.25" hidden="false" customHeight="false" outlineLevel="0" collapsed="false">
      <c r="A539" s="15" t="s">
        <v>3922</v>
      </c>
      <c r="B539" s="15" t="s">
        <v>38</v>
      </c>
      <c r="C539" s="15" t="s">
        <v>394</v>
      </c>
      <c r="D539" s="15" t="n">
        <v>24</v>
      </c>
      <c r="E539" s="15" t="s">
        <v>458</v>
      </c>
      <c r="F539" s="15" t="n">
        <v>0</v>
      </c>
      <c r="G539" s="15" t="s">
        <v>197</v>
      </c>
      <c r="H539" s="15" t="s">
        <v>142</v>
      </c>
      <c r="I539" s="3" t="s">
        <v>3923</v>
      </c>
      <c r="J539" s="3" t="s">
        <v>3924</v>
      </c>
      <c r="K539" s="15" t="s">
        <v>133</v>
      </c>
      <c r="L539" s="16" t="s">
        <v>7</v>
      </c>
      <c r="M539" s="15" t="s">
        <v>68</v>
      </c>
      <c r="N539" s="15" t="s">
        <v>87</v>
      </c>
      <c r="O539" s="15" t="s">
        <v>3925</v>
      </c>
      <c r="P539" s="15" t="s">
        <v>185</v>
      </c>
      <c r="Q539" s="15" t="s">
        <v>197</v>
      </c>
      <c r="R539" s="15" t="s">
        <v>135</v>
      </c>
      <c r="S539" s="15"/>
      <c r="T539" s="15"/>
      <c r="U539" s="3" t="s">
        <v>3926</v>
      </c>
      <c r="V539" s="3" t="s">
        <v>3927</v>
      </c>
      <c r="W539" s="3" t="s">
        <v>3928</v>
      </c>
      <c r="X539" s="3" t="s">
        <v>3929</v>
      </c>
      <c r="Y539" s="15" t="n">
        <v>0</v>
      </c>
      <c r="Z539" s="15" t="n">
        <v>1</v>
      </c>
      <c r="AA539" s="15" t="n">
        <v>0</v>
      </c>
      <c r="AB539" s="15" t="n">
        <v>0</v>
      </c>
      <c r="AC539" s="15" t="n">
        <v>0</v>
      </c>
      <c r="AD539" s="15" t="n">
        <v>0</v>
      </c>
      <c r="AE539" s="15" t="n">
        <v>1</v>
      </c>
      <c r="AF539" s="15" t="n">
        <v>0</v>
      </c>
      <c r="AG539" s="15" t="n">
        <v>0</v>
      </c>
      <c r="AH539" s="15" t="n">
        <v>1</v>
      </c>
    </row>
    <row r="540" customFormat="false" ht="35.05" hidden="false" customHeight="false" outlineLevel="0" collapsed="false">
      <c r="A540" s="15" t="s">
        <v>3930</v>
      </c>
      <c r="B540" s="15" t="s">
        <v>38</v>
      </c>
      <c r="C540" s="15" t="s">
        <v>394</v>
      </c>
      <c r="D540" s="15" t="n">
        <v>24</v>
      </c>
      <c r="E540" s="15" t="s">
        <v>458</v>
      </c>
      <c r="F540" s="15" t="n">
        <v>1</v>
      </c>
      <c r="G540" s="15" t="s">
        <v>129</v>
      </c>
      <c r="H540" s="15" t="s">
        <v>130</v>
      </c>
      <c r="I540" s="3" t="s">
        <v>3931</v>
      </c>
      <c r="J540" s="3" t="s">
        <v>3932</v>
      </c>
      <c r="K540" s="15" t="s">
        <v>145</v>
      </c>
      <c r="L540" s="16" t="s">
        <v>7</v>
      </c>
      <c r="M540" s="15" t="s">
        <v>66</v>
      </c>
      <c r="N540" s="15" t="s">
        <v>90</v>
      </c>
      <c r="O540" s="15" t="s">
        <v>829</v>
      </c>
      <c r="P540" s="15" t="s">
        <v>185</v>
      </c>
      <c r="Q540" s="15" t="s">
        <v>129</v>
      </c>
      <c r="R540" s="15" t="s">
        <v>185</v>
      </c>
      <c r="S540" s="15"/>
      <c r="T540" s="15"/>
      <c r="U540" s="3" t="s">
        <v>3933</v>
      </c>
      <c r="V540" s="3" t="s">
        <v>3934</v>
      </c>
      <c r="W540" s="3" t="s">
        <v>3935</v>
      </c>
      <c r="X540" s="3" t="s">
        <v>3936</v>
      </c>
      <c r="Y540" s="15" t="n">
        <v>0</v>
      </c>
      <c r="Z540" s="15" t="n">
        <v>0</v>
      </c>
      <c r="AA540" s="15" t="n">
        <v>0</v>
      </c>
      <c r="AB540" s="15" t="n">
        <v>0</v>
      </c>
      <c r="AC540" s="15" t="n">
        <v>0</v>
      </c>
      <c r="AD540" s="15" t="n">
        <v>0</v>
      </c>
      <c r="AE540" s="15" t="n">
        <v>0</v>
      </c>
      <c r="AF540" s="15" t="n">
        <v>0</v>
      </c>
      <c r="AG540" s="15" t="n">
        <v>1</v>
      </c>
      <c r="AH540" s="15" t="n">
        <v>1</v>
      </c>
    </row>
    <row r="541" customFormat="false" ht="23.85" hidden="false" customHeight="false" outlineLevel="0" collapsed="false">
      <c r="A541" s="15" t="s">
        <v>3937</v>
      </c>
      <c r="B541" s="15" t="s">
        <v>38</v>
      </c>
      <c r="C541" s="15" t="s">
        <v>394</v>
      </c>
      <c r="D541" s="15" t="n">
        <v>24</v>
      </c>
      <c r="E541" s="15" t="s">
        <v>458</v>
      </c>
      <c r="F541" s="15" t="n">
        <v>2</v>
      </c>
      <c r="G541" s="15" t="s">
        <v>141</v>
      </c>
      <c r="H541" s="15" t="s">
        <v>142</v>
      </c>
      <c r="I541" s="3" t="s">
        <v>3938</v>
      </c>
      <c r="J541" s="3" t="s">
        <v>3939</v>
      </c>
      <c r="K541" s="15" t="s">
        <v>133</v>
      </c>
      <c r="L541" s="16" t="s">
        <v>7</v>
      </c>
      <c r="M541" s="15" t="s">
        <v>66</v>
      </c>
      <c r="N541" s="15" t="s">
        <v>88</v>
      </c>
      <c r="O541" s="15" t="s">
        <v>3940</v>
      </c>
      <c r="P541" s="15" t="s">
        <v>135</v>
      </c>
      <c r="Q541" s="15" t="s">
        <v>307</v>
      </c>
      <c r="R541" s="15" t="s">
        <v>185</v>
      </c>
      <c r="S541" s="15"/>
      <c r="T541" s="15"/>
      <c r="U541" s="3" t="s">
        <v>3941</v>
      </c>
      <c r="V541" s="3" t="s">
        <v>3942</v>
      </c>
      <c r="W541" s="3"/>
      <c r="X541" s="3" t="s">
        <v>3943</v>
      </c>
      <c r="Y541" s="15" t="n">
        <v>0</v>
      </c>
      <c r="Z541" s="15" t="n">
        <v>0</v>
      </c>
      <c r="AA541" s="15" t="n">
        <v>0</v>
      </c>
      <c r="AB541" s="15" t="n">
        <v>0</v>
      </c>
      <c r="AC541" s="15" t="n">
        <v>0</v>
      </c>
      <c r="AD541" s="15" t="n">
        <v>0</v>
      </c>
      <c r="AE541" s="15" t="n">
        <v>0</v>
      </c>
      <c r="AF541" s="15" t="n">
        <v>1</v>
      </c>
      <c r="AG541" s="15" t="n">
        <v>1</v>
      </c>
      <c r="AH541" s="15" t="n">
        <v>0</v>
      </c>
    </row>
    <row r="542" customFormat="false" ht="35.05" hidden="false" customHeight="false" outlineLevel="0" collapsed="false">
      <c r="A542" s="15" t="s">
        <v>3944</v>
      </c>
      <c r="B542" s="15" t="s">
        <v>38</v>
      </c>
      <c r="C542" s="15" t="s">
        <v>394</v>
      </c>
      <c r="D542" s="15" t="n">
        <v>25</v>
      </c>
      <c r="E542" s="15" t="s">
        <v>480</v>
      </c>
      <c r="F542" s="15" t="n">
        <v>0</v>
      </c>
      <c r="G542" s="15" t="s">
        <v>152</v>
      </c>
      <c r="H542" s="15" t="s">
        <v>142</v>
      </c>
      <c r="I542" s="3" t="s">
        <v>3945</v>
      </c>
      <c r="J542" s="3" t="s">
        <v>3946</v>
      </c>
      <c r="K542" s="15" t="s">
        <v>145</v>
      </c>
      <c r="L542" s="16" t="s">
        <v>7</v>
      </c>
      <c r="M542" s="15" t="s">
        <v>66</v>
      </c>
      <c r="N542" s="15" t="s">
        <v>88</v>
      </c>
      <c r="O542" s="15" t="s">
        <v>3940</v>
      </c>
      <c r="P542" s="15" t="s">
        <v>135</v>
      </c>
      <c r="Q542" s="15" t="s">
        <v>129</v>
      </c>
      <c r="R542" s="15" t="s">
        <v>185</v>
      </c>
      <c r="S542" s="15"/>
      <c r="T542" s="15"/>
      <c r="U542" s="3" t="s">
        <v>3947</v>
      </c>
      <c r="V542" s="3" t="s">
        <v>3948</v>
      </c>
      <c r="W542" s="3"/>
      <c r="X542" s="3" t="s">
        <v>3949</v>
      </c>
      <c r="Y542" s="15" t="n">
        <v>0</v>
      </c>
      <c r="Z542" s="15" t="n">
        <v>0</v>
      </c>
      <c r="AA542" s="15" t="n">
        <v>0</v>
      </c>
      <c r="AB542" s="15" t="n">
        <v>0</v>
      </c>
      <c r="AC542" s="15" t="n">
        <v>0</v>
      </c>
      <c r="AD542" s="15" t="n">
        <v>0</v>
      </c>
      <c r="AE542" s="15" t="n">
        <v>0</v>
      </c>
      <c r="AF542" s="15" t="n">
        <v>1</v>
      </c>
      <c r="AG542" s="15" t="n">
        <v>1</v>
      </c>
      <c r="AH542" s="15" t="n">
        <v>0</v>
      </c>
    </row>
    <row r="543" customFormat="false" ht="35.05" hidden="false" customHeight="false" outlineLevel="0" collapsed="false">
      <c r="A543" s="15" t="s">
        <v>3950</v>
      </c>
      <c r="B543" s="15" t="s">
        <v>38</v>
      </c>
      <c r="C543" s="15" t="s">
        <v>394</v>
      </c>
      <c r="D543" s="15" t="n">
        <v>25</v>
      </c>
      <c r="E543" s="15" t="s">
        <v>480</v>
      </c>
      <c r="F543" s="15" t="n">
        <v>1</v>
      </c>
      <c r="G543" s="15" t="s">
        <v>129</v>
      </c>
      <c r="H543" s="15" t="s">
        <v>130</v>
      </c>
      <c r="I543" s="3" t="s">
        <v>3951</v>
      </c>
      <c r="J543" s="3" t="s">
        <v>3952</v>
      </c>
      <c r="K543" s="15" t="s">
        <v>133</v>
      </c>
      <c r="L543" s="17" t="s">
        <v>9</v>
      </c>
      <c r="M543" s="15" t="s">
        <v>70</v>
      </c>
      <c r="N543" s="15" t="s">
        <v>81</v>
      </c>
      <c r="O543" s="15" t="s">
        <v>1146</v>
      </c>
      <c r="P543" s="15" t="s">
        <v>135</v>
      </c>
      <c r="Q543" s="15" t="s">
        <v>197</v>
      </c>
      <c r="R543" s="15" t="s">
        <v>135</v>
      </c>
      <c r="S543" s="15" t="s">
        <v>405</v>
      </c>
      <c r="T543" s="15" t="s">
        <v>390</v>
      </c>
      <c r="U543" s="3" t="s">
        <v>3953</v>
      </c>
      <c r="V543" s="3" t="s">
        <v>3954</v>
      </c>
      <c r="W543" s="3"/>
      <c r="X543" s="3"/>
      <c r="Y543" s="15" t="n">
        <v>1</v>
      </c>
      <c r="Z543" s="15" t="n">
        <v>1</v>
      </c>
      <c r="AA543" s="15" t="n">
        <v>0</v>
      </c>
      <c r="AB543" s="15" t="n">
        <v>0</v>
      </c>
      <c r="AC543" s="15" t="n">
        <v>0</v>
      </c>
      <c r="AD543" s="15" t="n">
        <v>0</v>
      </c>
      <c r="AE543" s="15" t="n">
        <v>0</v>
      </c>
      <c r="AF543" s="15" t="n">
        <v>0</v>
      </c>
      <c r="AG543" s="15" t="n">
        <v>0</v>
      </c>
      <c r="AH543" s="15" t="n">
        <v>0</v>
      </c>
    </row>
    <row r="544" customFormat="false" ht="35.05" hidden="false" customHeight="false" outlineLevel="0" collapsed="false">
      <c r="A544" s="15" t="s">
        <v>3955</v>
      </c>
      <c r="B544" s="15" t="s">
        <v>38</v>
      </c>
      <c r="C544" s="15" t="s">
        <v>394</v>
      </c>
      <c r="D544" s="15" t="n">
        <v>25</v>
      </c>
      <c r="E544" s="15" t="s">
        <v>480</v>
      </c>
      <c r="F544" s="15" t="n">
        <v>2</v>
      </c>
      <c r="G544" s="15" t="s">
        <v>197</v>
      </c>
      <c r="H544" s="15" t="s">
        <v>142</v>
      </c>
      <c r="I544" s="3" t="s">
        <v>3956</v>
      </c>
      <c r="J544" s="3" t="s">
        <v>3957</v>
      </c>
      <c r="K544" s="15" t="s">
        <v>145</v>
      </c>
      <c r="L544" s="16" t="s">
        <v>7</v>
      </c>
      <c r="M544" s="15" t="s">
        <v>66</v>
      </c>
      <c r="N544" s="15" t="s">
        <v>89</v>
      </c>
      <c r="O544" s="15" t="s">
        <v>815</v>
      </c>
      <c r="P544" s="15" t="s">
        <v>185</v>
      </c>
      <c r="Q544" s="15" t="s">
        <v>197</v>
      </c>
      <c r="R544" s="15" t="s">
        <v>135</v>
      </c>
      <c r="S544" s="15"/>
      <c r="T544" s="15"/>
      <c r="U544" s="3" t="s">
        <v>3958</v>
      </c>
      <c r="V544" s="3" t="s">
        <v>3959</v>
      </c>
      <c r="W544" s="3" t="s">
        <v>3960</v>
      </c>
      <c r="X544" s="3" t="s">
        <v>3961</v>
      </c>
      <c r="Y544" s="15" t="n">
        <v>0</v>
      </c>
      <c r="Z544" s="15" t="n">
        <v>0</v>
      </c>
      <c r="AA544" s="15" t="n">
        <v>0</v>
      </c>
      <c r="AB544" s="15" t="n">
        <v>0</v>
      </c>
      <c r="AC544" s="15" t="n">
        <v>0</v>
      </c>
      <c r="AD544" s="15" t="n">
        <v>1</v>
      </c>
      <c r="AE544" s="15" t="n">
        <v>0</v>
      </c>
      <c r="AF544" s="15" t="n">
        <v>0</v>
      </c>
      <c r="AG544" s="15" t="n">
        <v>1</v>
      </c>
      <c r="AH544" s="15" t="n">
        <v>0</v>
      </c>
    </row>
    <row r="545" customFormat="false" ht="23.85" hidden="false" customHeight="false" outlineLevel="0" collapsed="false">
      <c r="A545" s="15" t="s">
        <v>3962</v>
      </c>
      <c r="B545" s="15" t="s">
        <v>38</v>
      </c>
      <c r="C545" s="15" t="s">
        <v>394</v>
      </c>
      <c r="D545" s="15" t="n">
        <v>34</v>
      </c>
      <c r="E545" s="15" t="s">
        <v>503</v>
      </c>
      <c r="F545" s="15" t="n">
        <v>0</v>
      </c>
      <c r="G545" s="15" t="s">
        <v>129</v>
      </c>
      <c r="H545" s="15" t="s">
        <v>130</v>
      </c>
      <c r="I545" s="3" t="s">
        <v>3963</v>
      </c>
      <c r="J545" s="3" t="s">
        <v>3964</v>
      </c>
      <c r="K545" s="15" t="s">
        <v>133</v>
      </c>
      <c r="L545" s="18" t="s">
        <v>5</v>
      </c>
      <c r="M545" s="15" t="s">
        <v>426</v>
      </c>
      <c r="N545" s="15" t="s">
        <v>426</v>
      </c>
      <c r="O545" s="15"/>
      <c r="P545" s="15" t="s">
        <v>185</v>
      </c>
      <c r="Q545" s="15" t="s">
        <v>129</v>
      </c>
      <c r="R545" s="15" t="s">
        <v>185</v>
      </c>
      <c r="S545" s="15"/>
      <c r="T545" s="15"/>
      <c r="U545" s="3" t="s">
        <v>3965</v>
      </c>
      <c r="V545" s="3" t="s">
        <v>3966</v>
      </c>
      <c r="W545" s="3"/>
      <c r="X545" s="3"/>
      <c r="Y545" s="15" t="n">
        <v>0</v>
      </c>
      <c r="Z545" s="15" t="n">
        <v>0</v>
      </c>
      <c r="AA545" s="15" t="n">
        <v>0</v>
      </c>
      <c r="AB545" s="15" t="n">
        <v>0</v>
      </c>
      <c r="AC545" s="15" t="n">
        <v>0</v>
      </c>
      <c r="AD545" s="15" t="n">
        <v>0</v>
      </c>
      <c r="AE545" s="15" t="n">
        <v>0</v>
      </c>
      <c r="AF545" s="15" t="n">
        <v>0</v>
      </c>
      <c r="AG545" s="15" t="n">
        <v>0</v>
      </c>
      <c r="AH545" s="15" t="n">
        <v>0</v>
      </c>
    </row>
    <row r="546" customFormat="false" ht="23.85" hidden="false" customHeight="false" outlineLevel="0" collapsed="false">
      <c r="A546" s="15" t="s">
        <v>3967</v>
      </c>
      <c r="B546" s="15" t="s">
        <v>38</v>
      </c>
      <c r="C546" s="15" t="s">
        <v>394</v>
      </c>
      <c r="D546" s="15" t="n">
        <v>34</v>
      </c>
      <c r="E546" s="15" t="s">
        <v>503</v>
      </c>
      <c r="F546" s="15" t="n">
        <v>1</v>
      </c>
      <c r="G546" s="15" t="s">
        <v>197</v>
      </c>
      <c r="H546" s="15" t="s">
        <v>142</v>
      </c>
      <c r="I546" s="3" t="s">
        <v>3968</v>
      </c>
      <c r="J546" s="3" t="s">
        <v>3969</v>
      </c>
      <c r="K546" s="15" t="s">
        <v>145</v>
      </c>
      <c r="L546" s="16" t="s">
        <v>7</v>
      </c>
      <c r="M546" s="15" t="s">
        <v>66</v>
      </c>
      <c r="N546" s="15" t="s">
        <v>88</v>
      </c>
      <c r="O546" s="15" t="s">
        <v>231</v>
      </c>
      <c r="P546" s="15" t="s">
        <v>135</v>
      </c>
      <c r="Q546" s="15" t="s">
        <v>129</v>
      </c>
      <c r="R546" s="15" t="s">
        <v>185</v>
      </c>
      <c r="S546" s="15"/>
      <c r="T546" s="15"/>
      <c r="U546" s="3" t="s">
        <v>3970</v>
      </c>
      <c r="V546" s="3" t="s">
        <v>3971</v>
      </c>
      <c r="W546" s="3" t="s">
        <v>3972</v>
      </c>
      <c r="X546" s="3" t="s">
        <v>3973</v>
      </c>
      <c r="Y546" s="15" t="n">
        <v>0</v>
      </c>
      <c r="Z546" s="15" t="n">
        <v>0</v>
      </c>
      <c r="AA546" s="15" t="n">
        <v>0</v>
      </c>
      <c r="AB546" s="15" t="n">
        <v>0</v>
      </c>
      <c r="AC546" s="15" t="n">
        <v>0</v>
      </c>
      <c r="AD546" s="15" t="n">
        <v>0</v>
      </c>
      <c r="AE546" s="15" t="n">
        <v>0</v>
      </c>
      <c r="AF546" s="15" t="n">
        <v>1</v>
      </c>
      <c r="AG546" s="15" t="n">
        <v>0</v>
      </c>
      <c r="AH546" s="15" t="n">
        <v>1</v>
      </c>
    </row>
    <row r="547" customFormat="false" ht="35.05" hidden="false" customHeight="false" outlineLevel="0" collapsed="false">
      <c r="A547" s="15" t="s">
        <v>3974</v>
      </c>
      <c r="B547" s="15" t="s">
        <v>38</v>
      </c>
      <c r="C547" s="15" t="s">
        <v>394</v>
      </c>
      <c r="D547" s="15" t="n">
        <v>34</v>
      </c>
      <c r="E547" s="15" t="s">
        <v>503</v>
      </c>
      <c r="F547" s="15" t="n">
        <v>2</v>
      </c>
      <c r="G547" s="15" t="s">
        <v>141</v>
      </c>
      <c r="H547" s="15" t="s">
        <v>142</v>
      </c>
      <c r="I547" s="3" t="s">
        <v>3975</v>
      </c>
      <c r="J547" s="3" t="s">
        <v>3976</v>
      </c>
      <c r="K547" s="15" t="s">
        <v>133</v>
      </c>
      <c r="L547" s="16" t="s">
        <v>7</v>
      </c>
      <c r="M547" s="15" t="s">
        <v>68</v>
      </c>
      <c r="N547" s="15" t="s">
        <v>82</v>
      </c>
      <c r="O547" s="15" t="s">
        <v>215</v>
      </c>
      <c r="P547" s="15" t="s">
        <v>135</v>
      </c>
      <c r="Q547" s="15" t="s">
        <v>197</v>
      </c>
      <c r="R547" s="15" t="s">
        <v>135</v>
      </c>
      <c r="S547" s="15"/>
      <c r="T547" s="15"/>
      <c r="U547" s="3" t="s">
        <v>3977</v>
      </c>
      <c r="V547" s="3" t="s">
        <v>3978</v>
      </c>
      <c r="W547" s="3" t="s">
        <v>3979</v>
      </c>
      <c r="X547" s="3" t="s">
        <v>3980</v>
      </c>
      <c r="Y547" s="15" t="n">
        <v>0</v>
      </c>
      <c r="Z547" s="15" t="n">
        <v>1</v>
      </c>
      <c r="AA547" s="15" t="n">
        <v>0</v>
      </c>
      <c r="AB547" s="15" t="n">
        <v>0</v>
      </c>
      <c r="AC547" s="15" t="n">
        <v>0</v>
      </c>
      <c r="AD547" s="15" t="n">
        <v>0</v>
      </c>
      <c r="AE547" s="15" t="n">
        <v>0</v>
      </c>
      <c r="AF547" s="15" t="n">
        <v>1</v>
      </c>
      <c r="AG547" s="15" t="n">
        <v>0</v>
      </c>
      <c r="AH547" s="15" t="n">
        <v>0</v>
      </c>
    </row>
    <row r="548" customFormat="false" ht="46.25" hidden="false" customHeight="false" outlineLevel="0" collapsed="false">
      <c r="A548" s="15" t="s">
        <v>3981</v>
      </c>
      <c r="B548" s="15" t="s">
        <v>38</v>
      </c>
      <c r="C548" s="15" t="s">
        <v>525</v>
      </c>
      <c r="D548" s="15" t="n">
        <v>34</v>
      </c>
      <c r="E548" s="15" t="s">
        <v>526</v>
      </c>
      <c r="F548" s="15" t="n">
        <v>0</v>
      </c>
      <c r="G548" s="15" t="s">
        <v>129</v>
      </c>
      <c r="H548" s="15" t="s">
        <v>130</v>
      </c>
      <c r="I548" s="3" t="s">
        <v>3982</v>
      </c>
      <c r="J548" s="3" t="s">
        <v>3983</v>
      </c>
      <c r="K548" s="15" t="s">
        <v>133</v>
      </c>
      <c r="L548" s="18" t="s">
        <v>5</v>
      </c>
      <c r="M548" s="15" t="s">
        <v>426</v>
      </c>
      <c r="N548" s="15" t="s">
        <v>426</v>
      </c>
      <c r="O548" s="15"/>
      <c r="P548" s="15" t="s">
        <v>185</v>
      </c>
      <c r="Q548" s="15" t="s">
        <v>129</v>
      </c>
      <c r="R548" s="15" t="s">
        <v>185</v>
      </c>
      <c r="S548" s="15"/>
      <c r="T548" s="15"/>
      <c r="U548" s="3" t="s">
        <v>3984</v>
      </c>
      <c r="V548" s="3" t="s">
        <v>3985</v>
      </c>
      <c r="W548" s="3"/>
      <c r="X548" s="3"/>
      <c r="Y548" s="15" t="n">
        <v>0</v>
      </c>
      <c r="Z548" s="15" t="n">
        <v>0</v>
      </c>
      <c r="AA548" s="15" t="n">
        <v>0</v>
      </c>
      <c r="AB548" s="15" t="n">
        <v>0</v>
      </c>
      <c r="AC548" s="15" t="n">
        <v>0</v>
      </c>
      <c r="AD548" s="15" t="n">
        <v>0</v>
      </c>
      <c r="AE548" s="15" t="n">
        <v>0</v>
      </c>
      <c r="AF548" s="15" t="n">
        <v>0</v>
      </c>
      <c r="AG548" s="15" t="n">
        <v>0</v>
      </c>
      <c r="AH548" s="15" t="n">
        <v>0</v>
      </c>
    </row>
    <row r="549" customFormat="false" ht="35.05" hidden="false" customHeight="false" outlineLevel="0" collapsed="false">
      <c r="A549" s="15" t="s">
        <v>3986</v>
      </c>
      <c r="B549" s="15" t="s">
        <v>38</v>
      </c>
      <c r="C549" s="15" t="s">
        <v>525</v>
      </c>
      <c r="D549" s="15" t="n">
        <v>34</v>
      </c>
      <c r="E549" s="15" t="s">
        <v>526</v>
      </c>
      <c r="F549" s="15" t="n">
        <v>1</v>
      </c>
      <c r="G549" s="15" t="s">
        <v>307</v>
      </c>
      <c r="H549" s="15" t="s">
        <v>308</v>
      </c>
      <c r="I549" s="3" t="s">
        <v>3987</v>
      </c>
      <c r="J549" s="3" t="s">
        <v>3988</v>
      </c>
      <c r="K549" s="15" t="s">
        <v>145</v>
      </c>
      <c r="L549" s="16" t="s">
        <v>7</v>
      </c>
      <c r="M549" s="15" t="s">
        <v>66</v>
      </c>
      <c r="N549" s="15" t="s">
        <v>88</v>
      </c>
      <c r="O549" s="15" t="s">
        <v>88</v>
      </c>
      <c r="P549" s="15" t="s">
        <v>135</v>
      </c>
      <c r="Q549" s="15" t="s">
        <v>307</v>
      </c>
      <c r="R549" s="15" t="s">
        <v>185</v>
      </c>
      <c r="S549" s="15"/>
      <c r="T549" s="15"/>
      <c r="U549" s="3" t="s">
        <v>3989</v>
      </c>
      <c r="V549" s="3" t="s">
        <v>3990</v>
      </c>
      <c r="W549" s="3"/>
      <c r="X549" s="3" t="s">
        <v>3991</v>
      </c>
      <c r="Y549" s="15" t="n">
        <v>0</v>
      </c>
      <c r="Z549" s="15" t="n">
        <v>0</v>
      </c>
      <c r="AA549" s="15" t="n">
        <v>0</v>
      </c>
      <c r="AB549" s="15" t="n">
        <v>0</v>
      </c>
      <c r="AC549" s="15" t="n">
        <v>0</v>
      </c>
      <c r="AD549" s="15" t="n">
        <v>0</v>
      </c>
      <c r="AE549" s="15" t="n">
        <v>0</v>
      </c>
      <c r="AF549" s="15" t="n">
        <v>1</v>
      </c>
      <c r="AG549" s="15" t="n">
        <v>0</v>
      </c>
      <c r="AH549" s="15" t="n">
        <v>0</v>
      </c>
    </row>
    <row r="550" customFormat="false" ht="46.25" hidden="false" customHeight="false" outlineLevel="0" collapsed="false">
      <c r="A550" s="15" t="s">
        <v>3992</v>
      </c>
      <c r="B550" s="15" t="s">
        <v>38</v>
      </c>
      <c r="C550" s="15" t="s">
        <v>525</v>
      </c>
      <c r="D550" s="15" t="n">
        <v>34</v>
      </c>
      <c r="E550" s="15" t="s">
        <v>526</v>
      </c>
      <c r="F550" s="15" t="n">
        <v>2</v>
      </c>
      <c r="G550" s="15" t="s">
        <v>197</v>
      </c>
      <c r="H550" s="15" t="s">
        <v>142</v>
      </c>
      <c r="I550" s="3" t="s">
        <v>3993</v>
      </c>
      <c r="J550" s="3" t="s">
        <v>3994</v>
      </c>
      <c r="K550" s="15" t="s">
        <v>145</v>
      </c>
      <c r="L550" s="17" t="s">
        <v>9</v>
      </c>
      <c r="M550" s="15" t="s">
        <v>70</v>
      </c>
      <c r="N550" s="15" t="s">
        <v>81</v>
      </c>
      <c r="O550" s="15" t="s">
        <v>404</v>
      </c>
      <c r="P550" s="15" t="s">
        <v>135</v>
      </c>
      <c r="Q550" s="15" t="s">
        <v>129</v>
      </c>
      <c r="R550" s="15" t="s">
        <v>135</v>
      </c>
      <c r="S550" s="15" t="s">
        <v>405</v>
      </c>
      <c r="T550" s="15" t="s">
        <v>342</v>
      </c>
      <c r="U550" s="3" t="s">
        <v>3995</v>
      </c>
      <c r="V550" s="3" t="s">
        <v>3996</v>
      </c>
      <c r="W550" s="3"/>
      <c r="X550" s="3"/>
      <c r="Y550" s="15" t="n">
        <v>1</v>
      </c>
      <c r="Z550" s="15" t="n">
        <v>0</v>
      </c>
      <c r="AA550" s="15" t="n">
        <v>0</v>
      </c>
      <c r="AB550" s="15" t="n">
        <v>0</v>
      </c>
      <c r="AC550" s="15" t="n">
        <v>0</v>
      </c>
      <c r="AD550" s="15" t="n">
        <v>0</v>
      </c>
      <c r="AE550" s="15" t="n">
        <v>0</v>
      </c>
      <c r="AF550" s="15" t="n">
        <v>1</v>
      </c>
      <c r="AG550" s="15" t="n">
        <v>0</v>
      </c>
      <c r="AH550" s="15" t="n">
        <v>0</v>
      </c>
    </row>
    <row r="551" customFormat="false" ht="23.85" hidden="false" customHeight="false" outlineLevel="0" collapsed="false">
      <c r="A551" s="15" t="s">
        <v>3997</v>
      </c>
      <c r="B551" s="15" t="s">
        <v>38</v>
      </c>
      <c r="C551" s="15" t="s">
        <v>525</v>
      </c>
      <c r="D551" s="15" t="n">
        <v>35</v>
      </c>
      <c r="E551" s="15" t="s">
        <v>546</v>
      </c>
      <c r="F551" s="15" t="n">
        <v>0</v>
      </c>
      <c r="G551" s="15" t="s">
        <v>129</v>
      </c>
      <c r="H551" s="15" t="s">
        <v>130</v>
      </c>
      <c r="I551" s="3" t="s">
        <v>3998</v>
      </c>
      <c r="J551" s="3" t="s">
        <v>3999</v>
      </c>
      <c r="K551" s="15" t="s">
        <v>133</v>
      </c>
      <c r="L551" s="18" t="s">
        <v>5</v>
      </c>
      <c r="M551" s="15" t="s">
        <v>426</v>
      </c>
      <c r="N551" s="15" t="s">
        <v>426</v>
      </c>
      <c r="O551" s="15"/>
      <c r="P551" s="15" t="s">
        <v>185</v>
      </c>
      <c r="Q551" s="15" t="s">
        <v>129</v>
      </c>
      <c r="R551" s="15" t="s">
        <v>185</v>
      </c>
      <c r="S551" s="15"/>
      <c r="T551" s="15"/>
      <c r="U551" s="3" t="s">
        <v>4000</v>
      </c>
      <c r="V551" s="3" t="s">
        <v>4001</v>
      </c>
      <c r="W551" s="3"/>
      <c r="X551" s="3"/>
      <c r="Y551" s="15" t="n">
        <v>0</v>
      </c>
      <c r="Z551" s="15" t="n">
        <v>0</v>
      </c>
      <c r="AA551" s="15" t="n">
        <v>0</v>
      </c>
      <c r="AB551" s="15" t="n">
        <v>0</v>
      </c>
      <c r="AC551" s="15" t="n">
        <v>0</v>
      </c>
      <c r="AD551" s="15" t="n">
        <v>0</v>
      </c>
      <c r="AE551" s="15" t="n">
        <v>0</v>
      </c>
      <c r="AF551" s="15" t="n">
        <v>0</v>
      </c>
      <c r="AG551" s="15" t="n">
        <v>0</v>
      </c>
      <c r="AH551" s="15" t="n">
        <v>0</v>
      </c>
    </row>
    <row r="552" customFormat="false" ht="23.85" hidden="false" customHeight="false" outlineLevel="0" collapsed="false">
      <c r="A552" s="15" t="s">
        <v>4002</v>
      </c>
      <c r="B552" s="15" t="s">
        <v>38</v>
      </c>
      <c r="C552" s="15" t="s">
        <v>525</v>
      </c>
      <c r="D552" s="15" t="n">
        <v>35</v>
      </c>
      <c r="E552" s="15" t="s">
        <v>546</v>
      </c>
      <c r="F552" s="15" t="n">
        <v>1</v>
      </c>
      <c r="G552" s="15" t="s">
        <v>197</v>
      </c>
      <c r="H552" s="15" t="s">
        <v>142</v>
      </c>
      <c r="I552" s="3" t="s">
        <v>4003</v>
      </c>
      <c r="J552" s="3" t="s">
        <v>4004</v>
      </c>
      <c r="K552" s="15" t="s">
        <v>145</v>
      </c>
      <c r="L552" s="16" t="s">
        <v>7</v>
      </c>
      <c r="M552" s="15" t="s">
        <v>66</v>
      </c>
      <c r="N552" s="15" t="s">
        <v>88</v>
      </c>
      <c r="O552" s="15" t="s">
        <v>88</v>
      </c>
      <c r="P552" s="15" t="s">
        <v>135</v>
      </c>
      <c r="Q552" s="15" t="s">
        <v>129</v>
      </c>
      <c r="R552" s="15" t="s">
        <v>185</v>
      </c>
      <c r="S552" s="15"/>
      <c r="T552" s="15"/>
      <c r="U552" s="3" t="s">
        <v>4005</v>
      </c>
      <c r="V552" s="3" t="s">
        <v>4006</v>
      </c>
      <c r="W552" s="3"/>
      <c r="X552" s="3" t="s">
        <v>4004</v>
      </c>
      <c r="Y552" s="15" t="n">
        <v>0</v>
      </c>
      <c r="Z552" s="15" t="n">
        <v>0</v>
      </c>
      <c r="AA552" s="15" t="n">
        <v>0</v>
      </c>
      <c r="AB552" s="15" t="n">
        <v>0</v>
      </c>
      <c r="AC552" s="15" t="n">
        <v>0</v>
      </c>
      <c r="AD552" s="15" t="n">
        <v>0</v>
      </c>
      <c r="AE552" s="15" t="n">
        <v>0</v>
      </c>
      <c r="AF552" s="15" t="n">
        <v>1</v>
      </c>
      <c r="AG552" s="15" t="n">
        <v>0</v>
      </c>
      <c r="AH552" s="15" t="n">
        <v>0</v>
      </c>
    </row>
    <row r="553" customFormat="false" ht="46.25" hidden="false" customHeight="false" outlineLevel="0" collapsed="false">
      <c r="A553" s="15" t="s">
        <v>4007</v>
      </c>
      <c r="B553" s="15" t="s">
        <v>38</v>
      </c>
      <c r="C553" s="15" t="s">
        <v>525</v>
      </c>
      <c r="D553" s="15" t="n">
        <v>35</v>
      </c>
      <c r="E553" s="15" t="s">
        <v>546</v>
      </c>
      <c r="F553" s="15" t="n">
        <v>2</v>
      </c>
      <c r="G553" s="15" t="s">
        <v>141</v>
      </c>
      <c r="H553" s="15" t="s">
        <v>142</v>
      </c>
      <c r="I553" s="3" t="s">
        <v>4008</v>
      </c>
      <c r="J553" s="3" t="s">
        <v>4009</v>
      </c>
      <c r="K553" s="15" t="s">
        <v>145</v>
      </c>
      <c r="L553" s="16" t="s">
        <v>7</v>
      </c>
      <c r="M553" s="15" t="s">
        <v>68</v>
      </c>
      <c r="N553" s="15" t="s">
        <v>82</v>
      </c>
      <c r="O553" s="15" t="s">
        <v>176</v>
      </c>
      <c r="P553" s="15" t="s">
        <v>135</v>
      </c>
      <c r="Q553" s="15" t="s">
        <v>129</v>
      </c>
      <c r="R553" s="15" t="s">
        <v>135</v>
      </c>
      <c r="S553" s="15"/>
      <c r="T553" s="15"/>
      <c r="U553" s="3" t="s">
        <v>4010</v>
      </c>
      <c r="V553" s="3" t="s">
        <v>4011</v>
      </c>
      <c r="W553" s="3" t="s">
        <v>4012</v>
      </c>
      <c r="X553" s="3" t="s">
        <v>4013</v>
      </c>
      <c r="Y553" s="15" t="n">
        <v>0</v>
      </c>
      <c r="Z553" s="15" t="n">
        <v>1</v>
      </c>
      <c r="AA553" s="15" t="n">
        <v>0</v>
      </c>
      <c r="AB553" s="15" t="n">
        <v>0</v>
      </c>
      <c r="AC553" s="15" t="n">
        <v>1</v>
      </c>
      <c r="AD553" s="15" t="n">
        <v>0</v>
      </c>
      <c r="AE553" s="15" t="n">
        <v>0</v>
      </c>
      <c r="AF553" s="15" t="n">
        <v>1</v>
      </c>
      <c r="AG553" s="15" t="n">
        <v>0</v>
      </c>
      <c r="AH553" s="15" t="n">
        <v>0</v>
      </c>
    </row>
    <row r="554" customFormat="false" ht="23.85" hidden="false" customHeight="false" outlineLevel="0" collapsed="false">
      <c r="A554" s="15" t="s">
        <v>4014</v>
      </c>
      <c r="B554" s="15" t="s">
        <v>38</v>
      </c>
      <c r="C554" s="15" t="s">
        <v>525</v>
      </c>
      <c r="D554" s="15" t="n">
        <v>48</v>
      </c>
      <c r="E554" s="15" t="s">
        <v>567</v>
      </c>
      <c r="F554" s="15" t="n">
        <v>0</v>
      </c>
      <c r="G554" s="15" t="s">
        <v>129</v>
      </c>
      <c r="H554" s="15" t="s">
        <v>130</v>
      </c>
      <c r="I554" s="3" t="s">
        <v>4015</v>
      </c>
      <c r="J554" s="3" t="s">
        <v>4016</v>
      </c>
      <c r="K554" s="15" t="s">
        <v>133</v>
      </c>
      <c r="L554" s="18" t="s">
        <v>5</v>
      </c>
      <c r="M554" s="15" t="s">
        <v>426</v>
      </c>
      <c r="N554" s="15" t="s">
        <v>426</v>
      </c>
      <c r="O554" s="15"/>
      <c r="P554" s="15" t="s">
        <v>185</v>
      </c>
      <c r="Q554" s="15" t="s">
        <v>129</v>
      </c>
      <c r="R554" s="15" t="s">
        <v>185</v>
      </c>
      <c r="S554" s="15"/>
      <c r="T554" s="15"/>
      <c r="U554" s="3" t="s">
        <v>4017</v>
      </c>
      <c r="V554" s="3" t="s">
        <v>4018</v>
      </c>
      <c r="W554" s="3"/>
      <c r="X554" s="3"/>
      <c r="Y554" s="15" t="n">
        <v>0</v>
      </c>
      <c r="Z554" s="15" t="n">
        <v>0</v>
      </c>
      <c r="AA554" s="15" t="n">
        <v>0</v>
      </c>
      <c r="AB554" s="15" t="n">
        <v>0</v>
      </c>
      <c r="AC554" s="15" t="n">
        <v>0</v>
      </c>
      <c r="AD554" s="15" t="n">
        <v>0</v>
      </c>
      <c r="AE554" s="15" t="n">
        <v>0</v>
      </c>
      <c r="AF554" s="15" t="n">
        <v>0</v>
      </c>
      <c r="AG554" s="15" t="n">
        <v>0</v>
      </c>
      <c r="AH554" s="15" t="n">
        <v>0</v>
      </c>
    </row>
    <row r="555" customFormat="false" ht="35.05" hidden="false" customHeight="false" outlineLevel="0" collapsed="false">
      <c r="A555" s="15" t="s">
        <v>4019</v>
      </c>
      <c r="B555" s="15" t="s">
        <v>38</v>
      </c>
      <c r="C555" s="15" t="s">
        <v>525</v>
      </c>
      <c r="D555" s="15" t="n">
        <v>48</v>
      </c>
      <c r="E555" s="15" t="s">
        <v>567</v>
      </c>
      <c r="F555" s="15" t="n">
        <v>1</v>
      </c>
      <c r="G555" s="15" t="s">
        <v>197</v>
      </c>
      <c r="H555" s="15" t="s">
        <v>142</v>
      </c>
      <c r="I555" s="3" t="s">
        <v>4020</v>
      </c>
      <c r="J555" s="3" t="s">
        <v>4021</v>
      </c>
      <c r="K555" s="15" t="s">
        <v>145</v>
      </c>
      <c r="L555" s="16" t="s">
        <v>7</v>
      </c>
      <c r="M555" s="15" t="s">
        <v>66</v>
      </c>
      <c r="N555" s="15" t="s">
        <v>88</v>
      </c>
      <c r="O555" s="15" t="s">
        <v>88</v>
      </c>
      <c r="P555" s="15" t="s">
        <v>135</v>
      </c>
      <c r="Q555" s="15" t="s">
        <v>129</v>
      </c>
      <c r="R555" s="15" t="s">
        <v>185</v>
      </c>
      <c r="S555" s="15"/>
      <c r="T555" s="15"/>
      <c r="U555" s="3" t="s">
        <v>4022</v>
      </c>
      <c r="V555" s="3" t="s">
        <v>4023</v>
      </c>
      <c r="W555" s="3"/>
      <c r="X555" s="3" t="s">
        <v>4024</v>
      </c>
      <c r="Y555" s="15" t="n">
        <v>0</v>
      </c>
      <c r="Z555" s="15" t="n">
        <v>0</v>
      </c>
      <c r="AA555" s="15" t="n">
        <v>0</v>
      </c>
      <c r="AB555" s="15" t="n">
        <v>0</v>
      </c>
      <c r="AC555" s="15" t="n">
        <v>0</v>
      </c>
      <c r="AD555" s="15" t="n">
        <v>0</v>
      </c>
      <c r="AE555" s="15" t="n">
        <v>0</v>
      </c>
      <c r="AF555" s="15" t="n">
        <v>1</v>
      </c>
      <c r="AG555" s="15" t="n">
        <v>0</v>
      </c>
      <c r="AH555" s="15" t="n">
        <v>0</v>
      </c>
    </row>
    <row r="556" customFormat="false" ht="35.05" hidden="false" customHeight="false" outlineLevel="0" collapsed="false">
      <c r="A556" s="15" t="s">
        <v>4025</v>
      </c>
      <c r="B556" s="15" t="s">
        <v>38</v>
      </c>
      <c r="C556" s="15" t="s">
        <v>525</v>
      </c>
      <c r="D556" s="15" t="n">
        <v>48</v>
      </c>
      <c r="E556" s="15" t="s">
        <v>567</v>
      </c>
      <c r="F556" s="15" t="n">
        <v>2</v>
      </c>
      <c r="G556" s="15" t="s">
        <v>141</v>
      </c>
      <c r="H556" s="15" t="s">
        <v>142</v>
      </c>
      <c r="I556" s="3" t="s">
        <v>4026</v>
      </c>
      <c r="J556" s="3" t="s">
        <v>4027</v>
      </c>
      <c r="K556" s="15" t="s">
        <v>133</v>
      </c>
      <c r="L556" s="16" t="s">
        <v>7</v>
      </c>
      <c r="M556" s="15" t="s">
        <v>66</v>
      </c>
      <c r="N556" s="15" t="s">
        <v>88</v>
      </c>
      <c r="O556" s="15" t="s">
        <v>88</v>
      </c>
      <c r="P556" s="15" t="s">
        <v>135</v>
      </c>
      <c r="Q556" s="15" t="s">
        <v>129</v>
      </c>
      <c r="R556" s="15" t="s">
        <v>185</v>
      </c>
      <c r="S556" s="15"/>
      <c r="T556" s="15"/>
      <c r="U556" s="3" t="s">
        <v>4028</v>
      </c>
      <c r="V556" s="3" t="s">
        <v>4029</v>
      </c>
      <c r="W556" s="3"/>
      <c r="X556" s="3" t="s">
        <v>4030</v>
      </c>
      <c r="Y556" s="15" t="n">
        <v>0</v>
      </c>
      <c r="Z556" s="15" t="n">
        <v>0</v>
      </c>
      <c r="AA556" s="15" t="n">
        <v>0</v>
      </c>
      <c r="AB556" s="15" t="n">
        <v>0</v>
      </c>
      <c r="AC556" s="15" t="n">
        <v>0</v>
      </c>
      <c r="AD556" s="15" t="n">
        <v>0</v>
      </c>
      <c r="AE556" s="15" t="n">
        <v>0</v>
      </c>
      <c r="AF556" s="15" t="n">
        <v>1</v>
      </c>
      <c r="AG556" s="15" t="n">
        <v>0</v>
      </c>
      <c r="AH556" s="15" t="n">
        <v>0</v>
      </c>
    </row>
    <row r="557" customFormat="false" ht="23.85" hidden="false" customHeight="false" outlineLevel="0" collapsed="false">
      <c r="A557" s="15" t="s">
        <v>4031</v>
      </c>
      <c r="B557" s="15" t="s">
        <v>38</v>
      </c>
      <c r="C557" s="15" t="s">
        <v>525</v>
      </c>
      <c r="D557" s="15" t="n">
        <v>50</v>
      </c>
      <c r="E557" s="15" t="s">
        <v>589</v>
      </c>
      <c r="F557" s="15" t="n">
        <v>0</v>
      </c>
      <c r="G557" s="15" t="s">
        <v>129</v>
      </c>
      <c r="H557" s="15" t="s">
        <v>130</v>
      </c>
      <c r="I557" s="3" t="s">
        <v>4032</v>
      </c>
      <c r="J557" s="3" t="s">
        <v>3838</v>
      </c>
      <c r="K557" s="15" t="s">
        <v>133</v>
      </c>
      <c r="L557" s="18" t="s">
        <v>5</v>
      </c>
      <c r="M557" s="15" t="s">
        <v>426</v>
      </c>
      <c r="N557" s="15" t="s">
        <v>426</v>
      </c>
      <c r="O557" s="15"/>
      <c r="P557" s="15" t="s">
        <v>185</v>
      </c>
      <c r="Q557" s="15" t="s">
        <v>129</v>
      </c>
      <c r="R557" s="15" t="s">
        <v>185</v>
      </c>
      <c r="S557" s="15"/>
      <c r="T557" s="15"/>
      <c r="U557" s="3" t="s">
        <v>4033</v>
      </c>
      <c r="V557" s="3" t="s">
        <v>4034</v>
      </c>
      <c r="W557" s="3"/>
      <c r="X557" s="3"/>
      <c r="Y557" s="15" t="n">
        <v>0</v>
      </c>
      <c r="Z557" s="15" t="n">
        <v>0</v>
      </c>
      <c r="AA557" s="15" t="n">
        <v>0</v>
      </c>
      <c r="AB557" s="15" t="n">
        <v>0</v>
      </c>
      <c r="AC557" s="15" t="n">
        <v>0</v>
      </c>
      <c r="AD557" s="15" t="n">
        <v>0</v>
      </c>
      <c r="AE557" s="15" t="n">
        <v>0</v>
      </c>
      <c r="AF557" s="15" t="n">
        <v>0</v>
      </c>
      <c r="AG557" s="15" t="n">
        <v>0</v>
      </c>
      <c r="AH557" s="15" t="n">
        <v>0</v>
      </c>
    </row>
    <row r="558" customFormat="false" ht="57.45" hidden="false" customHeight="false" outlineLevel="0" collapsed="false">
      <c r="A558" s="15" t="s">
        <v>4035</v>
      </c>
      <c r="B558" s="15" t="s">
        <v>38</v>
      </c>
      <c r="C558" s="15" t="s">
        <v>525</v>
      </c>
      <c r="D558" s="15" t="n">
        <v>50</v>
      </c>
      <c r="E558" s="15" t="s">
        <v>589</v>
      </c>
      <c r="F558" s="15" t="n">
        <v>1</v>
      </c>
      <c r="G558" s="15" t="s">
        <v>197</v>
      </c>
      <c r="H558" s="15" t="s">
        <v>142</v>
      </c>
      <c r="I558" s="3" t="s">
        <v>4036</v>
      </c>
      <c r="J558" s="3" t="s">
        <v>4037</v>
      </c>
      <c r="K558" s="15" t="s">
        <v>145</v>
      </c>
      <c r="L558" s="16" t="s">
        <v>7</v>
      </c>
      <c r="M558" s="15" t="s">
        <v>68</v>
      </c>
      <c r="N558" s="15" t="s">
        <v>82</v>
      </c>
      <c r="O558" s="15" t="s">
        <v>134</v>
      </c>
      <c r="P558" s="15" t="s">
        <v>185</v>
      </c>
      <c r="Q558" s="15" t="s">
        <v>197</v>
      </c>
      <c r="R558" s="15" t="s">
        <v>135</v>
      </c>
      <c r="S558" s="15"/>
      <c r="T558" s="15"/>
      <c r="U558" s="3" t="s">
        <v>4038</v>
      </c>
      <c r="V558" s="3" t="s">
        <v>4039</v>
      </c>
      <c r="W558" s="3"/>
      <c r="X558" s="3" t="s">
        <v>4040</v>
      </c>
      <c r="Y558" s="15" t="n">
        <v>0</v>
      </c>
      <c r="Z558" s="15" t="n">
        <v>1</v>
      </c>
      <c r="AA558" s="15" t="n">
        <v>0</v>
      </c>
      <c r="AB558" s="15" t="n">
        <v>0</v>
      </c>
      <c r="AC558" s="15" t="n">
        <v>0</v>
      </c>
      <c r="AD558" s="15" t="n">
        <v>1</v>
      </c>
      <c r="AE558" s="15" t="n">
        <v>0</v>
      </c>
      <c r="AF558" s="15" t="n">
        <v>1</v>
      </c>
      <c r="AG558" s="15" t="n">
        <v>0</v>
      </c>
      <c r="AH558" s="15" t="n">
        <v>0</v>
      </c>
    </row>
    <row r="559" customFormat="false" ht="68.65" hidden="false" customHeight="false" outlineLevel="0" collapsed="false">
      <c r="A559" s="15" t="s">
        <v>4041</v>
      </c>
      <c r="B559" s="15" t="s">
        <v>38</v>
      </c>
      <c r="C559" s="15" t="s">
        <v>525</v>
      </c>
      <c r="D559" s="15" t="n">
        <v>50</v>
      </c>
      <c r="E559" s="15" t="s">
        <v>589</v>
      </c>
      <c r="F559" s="15" t="n">
        <v>2</v>
      </c>
      <c r="G559" s="15" t="s">
        <v>141</v>
      </c>
      <c r="H559" s="15" t="s">
        <v>142</v>
      </c>
      <c r="I559" s="3" t="s">
        <v>4042</v>
      </c>
      <c r="J559" s="3" t="s">
        <v>4043</v>
      </c>
      <c r="K559" s="15" t="s">
        <v>133</v>
      </c>
      <c r="L559" s="16" t="s">
        <v>7</v>
      </c>
      <c r="M559" s="15" t="s">
        <v>68</v>
      </c>
      <c r="N559" s="15" t="s">
        <v>82</v>
      </c>
      <c r="O559" s="15" t="s">
        <v>192</v>
      </c>
      <c r="P559" s="15" t="s">
        <v>135</v>
      </c>
      <c r="Q559" s="15" t="s">
        <v>129</v>
      </c>
      <c r="R559" s="15" t="s">
        <v>135</v>
      </c>
      <c r="S559" s="15"/>
      <c r="T559" s="15"/>
      <c r="U559" s="3" t="s">
        <v>4044</v>
      </c>
      <c r="V559" s="3" t="s">
        <v>4045</v>
      </c>
      <c r="W559" s="3" t="s">
        <v>4046</v>
      </c>
      <c r="X559" s="3" t="s">
        <v>4047</v>
      </c>
      <c r="Y559" s="15" t="n">
        <v>0</v>
      </c>
      <c r="Z559" s="15" t="n">
        <v>1</v>
      </c>
      <c r="AA559" s="15" t="n">
        <v>0</v>
      </c>
      <c r="AB559" s="15" t="n">
        <v>1</v>
      </c>
      <c r="AC559" s="15" t="n">
        <v>0</v>
      </c>
      <c r="AD559" s="15" t="n">
        <v>0</v>
      </c>
      <c r="AE559" s="15" t="n">
        <v>0</v>
      </c>
      <c r="AF559" s="15" t="n">
        <v>1</v>
      </c>
      <c r="AG559" s="15" t="n">
        <v>0</v>
      </c>
      <c r="AH559" s="15" t="n">
        <v>0</v>
      </c>
    </row>
    <row r="560" customFormat="false" ht="91" hidden="false" customHeight="false" outlineLevel="0" collapsed="false">
      <c r="A560" s="15" t="s">
        <v>4048</v>
      </c>
      <c r="B560" s="15" t="s">
        <v>38</v>
      </c>
      <c r="C560" s="15" t="s">
        <v>525</v>
      </c>
      <c r="D560" s="15" t="n">
        <v>71</v>
      </c>
      <c r="E560" s="15" t="s">
        <v>612</v>
      </c>
      <c r="F560" s="15" t="n">
        <v>0</v>
      </c>
      <c r="G560" s="15" t="s">
        <v>129</v>
      </c>
      <c r="H560" s="15" t="s">
        <v>130</v>
      </c>
      <c r="I560" s="3" t="s">
        <v>4049</v>
      </c>
      <c r="J560" s="3" t="s">
        <v>4050</v>
      </c>
      <c r="K560" s="15" t="s">
        <v>133</v>
      </c>
      <c r="L560" s="18" t="s">
        <v>5</v>
      </c>
      <c r="M560" s="15" t="s">
        <v>426</v>
      </c>
      <c r="N560" s="15" t="s">
        <v>426</v>
      </c>
      <c r="O560" s="15"/>
      <c r="P560" s="15" t="s">
        <v>185</v>
      </c>
      <c r="Q560" s="15" t="s">
        <v>129</v>
      </c>
      <c r="R560" s="15" t="s">
        <v>185</v>
      </c>
      <c r="S560" s="15"/>
      <c r="T560" s="15"/>
      <c r="U560" s="3" t="s">
        <v>4051</v>
      </c>
      <c r="V560" s="3" t="s">
        <v>4052</v>
      </c>
      <c r="W560" s="3"/>
      <c r="X560" s="3"/>
      <c r="Y560" s="15" t="n">
        <v>0</v>
      </c>
      <c r="Z560" s="15" t="n">
        <v>0</v>
      </c>
      <c r="AA560" s="15" t="n">
        <v>0</v>
      </c>
      <c r="AB560" s="15" t="n">
        <v>0</v>
      </c>
      <c r="AC560" s="15" t="n">
        <v>0</v>
      </c>
      <c r="AD560" s="15" t="n">
        <v>0</v>
      </c>
      <c r="AE560" s="15" t="n">
        <v>0</v>
      </c>
      <c r="AF560" s="15" t="n">
        <v>0</v>
      </c>
      <c r="AG560" s="15" t="n">
        <v>0</v>
      </c>
      <c r="AH560" s="15" t="n">
        <v>0</v>
      </c>
    </row>
    <row r="561" customFormat="false" ht="46.25" hidden="false" customHeight="false" outlineLevel="0" collapsed="false">
      <c r="A561" s="15" t="s">
        <v>4053</v>
      </c>
      <c r="B561" s="15" t="s">
        <v>38</v>
      </c>
      <c r="C561" s="15" t="s">
        <v>525</v>
      </c>
      <c r="D561" s="15" t="n">
        <v>71</v>
      </c>
      <c r="E561" s="15" t="s">
        <v>612</v>
      </c>
      <c r="F561" s="15" t="n">
        <v>1</v>
      </c>
      <c r="G561" s="15" t="s">
        <v>197</v>
      </c>
      <c r="H561" s="15" t="s">
        <v>142</v>
      </c>
      <c r="I561" s="3" t="s">
        <v>4054</v>
      </c>
      <c r="J561" s="3" t="s">
        <v>4055</v>
      </c>
      <c r="K561" s="15" t="s">
        <v>145</v>
      </c>
      <c r="L561" s="17" t="s">
        <v>9</v>
      </c>
      <c r="M561" s="15" t="s">
        <v>70</v>
      </c>
      <c r="N561" s="15" t="s">
        <v>81</v>
      </c>
      <c r="O561" s="15" t="s">
        <v>2721</v>
      </c>
      <c r="P561" s="15" t="s">
        <v>135</v>
      </c>
      <c r="Q561" s="15" t="s">
        <v>129</v>
      </c>
      <c r="R561" s="15" t="s">
        <v>135</v>
      </c>
      <c r="S561" s="15" t="s">
        <v>326</v>
      </c>
      <c r="T561" s="15" t="s">
        <v>390</v>
      </c>
      <c r="U561" s="3" t="s">
        <v>4056</v>
      </c>
      <c r="V561" s="3" t="s">
        <v>4057</v>
      </c>
      <c r="W561" s="3"/>
      <c r="X561" s="3"/>
      <c r="Y561" s="15" t="n">
        <v>1</v>
      </c>
      <c r="Z561" s="15" t="n">
        <v>0</v>
      </c>
      <c r="AA561" s="15" t="n">
        <v>0</v>
      </c>
      <c r="AB561" s="15" t="n">
        <v>1</v>
      </c>
      <c r="AC561" s="15" t="n">
        <v>0</v>
      </c>
      <c r="AD561" s="15" t="n">
        <v>0</v>
      </c>
      <c r="AE561" s="15" t="n">
        <v>0</v>
      </c>
      <c r="AF561" s="15" t="n">
        <v>0</v>
      </c>
      <c r="AG561" s="15" t="n">
        <v>0</v>
      </c>
      <c r="AH561" s="15" t="n">
        <v>0</v>
      </c>
    </row>
    <row r="562" customFormat="false" ht="35.05" hidden="false" customHeight="false" outlineLevel="0" collapsed="false">
      <c r="A562" s="15" t="s">
        <v>4058</v>
      </c>
      <c r="B562" s="15" t="s">
        <v>38</v>
      </c>
      <c r="C562" s="15" t="s">
        <v>525</v>
      </c>
      <c r="D562" s="15" t="n">
        <v>71</v>
      </c>
      <c r="E562" s="15" t="s">
        <v>612</v>
      </c>
      <c r="F562" s="15" t="n">
        <v>2</v>
      </c>
      <c r="G562" s="15" t="s">
        <v>141</v>
      </c>
      <c r="H562" s="15" t="s">
        <v>142</v>
      </c>
      <c r="I562" s="3" t="s">
        <v>4059</v>
      </c>
      <c r="J562" s="3" t="s">
        <v>4060</v>
      </c>
      <c r="K562" s="15" t="s">
        <v>133</v>
      </c>
      <c r="L562" s="16" t="s">
        <v>7</v>
      </c>
      <c r="M562" s="15" t="s">
        <v>66</v>
      </c>
      <c r="N562" s="15" t="s">
        <v>88</v>
      </c>
      <c r="O562" s="15" t="s">
        <v>231</v>
      </c>
      <c r="P562" s="15" t="s">
        <v>135</v>
      </c>
      <c r="Q562" s="15" t="s">
        <v>129</v>
      </c>
      <c r="R562" s="15" t="s">
        <v>185</v>
      </c>
      <c r="S562" s="15"/>
      <c r="T562" s="15"/>
      <c r="U562" s="3" t="s">
        <v>4061</v>
      </c>
      <c r="V562" s="3" t="s">
        <v>4062</v>
      </c>
      <c r="W562" s="3" t="s">
        <v>4063</v>
      </c>
      <c r="X562" s="3" t="s">
        <v>4064</v>
      </c>
      <c r="Y562" s="15" t="n">
        <v>0</v>
      </c>
      <c r="Z562" s="15" t="n">
        <v>0</v>
      </c>
      <c r="AA562" s="15" t="n">
        <v>0</v>
      </c>
      <c r="AB562" s="15" t="n">
        <v>0</v>
      </c>
      <c r="AC562" s="15" t="n">
        <v>0</v>
      </c>
      <c r="AD562" s="15" t="n">
        <v>0</v>
      </c>
      <c r="AE562" s="15" t="n">
        <v>0</v>
      </c>
      <c r="AF562" s="15" t="n">
        <v>1</v>
      </c>
      <c r="AG562" s="15" t="n">
        <v>0</v>
      </c>
      <c r="AH562" s="15" t="n">
        <v>1</v>
      </c>
    </row>
    <row r="563" customFormat="false" ht="23.85" hidden="false" customHeight="false" outlineLevel="0" collapsed="false">
      <c r="A563" s="15" t="s">
        <v>4065</v>
      </c>
      <c r="B563" s="15" t="s">
        <v>38</v>
      </c>
      <c r="C563" s="15" t="s">
        <v>525</v>
      </c>
      <c r="D563" s="15" t="n">
        <v>87</v>
      </c>
      <c r="E563" s="15" t="s">
        <v>632</v>
      </c>
      <c r="F563" s="15" t="n">
        <v>0</v>
      </c>
      <c r="G563" s="15" t="s">
        <v>129</v>
      </c>
      <c r="H563" s="15" t="s">
        <v>130</v>
      </c>
      <c r="I563" s="3" t="s">
        <v>4066</v>
      </c>
      <c r="J563" s="3" t="s">
        <v>3838</v>
      </c>
      <c r="K563" s="15" t="s">
        <v>133</v>
      </c>
      <c r="L563" s="18" t="s">
        <v>5</v>
      </c>
      <c r="M563" s="15" t="s">
        <v>426</v>
      </c>
      <c r="N563" s="15" t="s">
        <v>426</v>
      </c>
      <c r="O563" s="15"/>
      <c r="P563" s="15" t="s">
        <v>185</v>
      </c>
      <c r="Q563" s="15" t="s">
        <v>129</v>
      </c>
      <c r="R563" s="15" t="s">
        <v>185</v>
      </c>
      <c r="S563" s="15"/>
      <c r="T563" s="15"/>
      <c r="U563" s="3" t="s">
        <v>4067</v>
      </c>
      <c r="V563" s="3" t="s">
        <v>4068</v>
      </c>
      <c r="W563" s="3"/>
      <c r="X563" s="3"/>
      <c r="Y563" s="15" t="n">
        <v>0</v>
      </c>
      <c r="Z563" s="15" t="n">
        <v>0</v>
      </c>
      <c r="AA563" s="15" t="n">
        <v>0</v>
      </c>
      <c r="AB563" s="15" t="n">
        <v>0</v>
      </c>
      <c r="AC563" s="15" t="n">
        <v>0</v>
      </c>
      <c r="AD563" s="15" t="n">
        <v>0</v>
      </c>
      <c r="AE563" s="15" t="n">
        <v>0</v>
      </c>
      <c r="AF563" s="15" t="n">
        <v>0</v>
      </c>
      <c r="AG563" s="15" t="n">
        <v>0</v>
      </c>
      <c r="AH563" s="15" t="n">
        <v>0</v>
      </c>
    </row>
    <row r="564" customFormat="false" ht="35.05" hidden="false" customHeight="false" outlineLevel="0" collapsed="false">
      <c r="A564" s="15" t="s">
        <v>4069</v>
      </c>
      <c r="B564" s="15" t="s">
        <v>38</v>
      </c>
      <c r="C564" s="15" t="s">
        <v>525</v>
      </c>
      <c r="D564" s="15" t="n">
        <v>87</v>
      </c>
      <c r="E564" s="15" t="s">
        <v>632</v>
      </c>
      <c r="F564" s="15" t="n">
        <v>1</v>
      </c>
      <c r="G564" s="15" t="s">
        <v>197</v>
      </c>
      <c r="H564" s="15" t="s">
        <v>142</v>
      </c>
      <c r="I564" s="3" t="s">
        <v>4070</v>
      </c>
      <c r="J564" s="3" t="s">
        <v>642</v>
      </c>
      <c r="K564" s="15" t="s">
        <v>145</v>
      </c>
      <c r="L564" s="16" t="s">
        <v>7</v>
      </c>
      <c r="M564" s="15" t="s">
        <v>66</v>
      </c>
      <c r="N564" s="15" t="s">
        <v>85</v>
      </c>
      <c r="O564" s="15" t="s">
        <v>146</v>
      </c>
      <c r="P564" s="15" t="s">
        <v>135</v>
      </c>
      <c r="Q564" s="15" t="s">
        <v>129</v>
      </c>
      <c r="R564" s="15" t="s">
        <v>135</v>
      </c>
      <c r="S564" s="15"/>
      <c r="T564" s="15"/>
      <c r="U564" s="3" t="s">
        <v>4071</v>
      </c>
      <c r="V564" s="3" t="s">
        <v>4072</v>
      </c>
      <c r="W564" s="3" t="s">
        <v>4073</v>
      </c>
      <c r="X564" s="3" t="s">
        <v>4074</v>
      </c>
      <c r="Y564" s="15" t="n">
        <v>0</v>
      </c>
      <c r="Z564" s="15" t="n">
        <v>0</v>
      </c>
      <c r="AA564" s="15" t="n">
        <v>0</v>
      </c>
      <c r="AB564" s="15" t="n">
        <v>0</v>
      </c>
      <c r="AC564" s="15" t="n">
        <v>1</v>
      </c>
      <c r="AD564" s="15" t="n">
        <v>0</v>
      </c>
      <c r="AE564" s="15" t="n">
        <v>0</v>
      </c>
      <c r="AF564" s="15" t="n">
        <v>1</v>
      </c>
      <c r="AG564" s="15" t="n">
        <v>0</v>
      </c>
      <c r="AH564" s="15" t="n">
        <v>0</v>
      </c>
    </row>
    <row r="565" customFormat="false" ht="35.05" hidden="false" customHeight="false" outlineLevel="0" collapsed="false">
      <c r="A565" s="15" t="s">
        <v>4075</v>
      </c>
      <c r="B565" s="15" t="s">
        <v>38</v>
      </c>
      <c r="C565" s="15" t="s">
        <v>525</v>
      </c>
      <c r="D565" s="15" t="n">
        <v>87</v>
      </c>
      <c r="E565" s="15" t="s">
        <v>632</v>
      </c>
      <c r="F565" s="15" t="n">
        <v>2</v>
      </c>
      <c r="G565" s="15" t="s">
        <v>141</v>
      </c>
      <c r="H565" s="15" t="s">
        <v>142</v>
      </c>
      <c r="I565" s="3" t="s">
        <v>4076</v>
      </c>
      <c r="J565" s="3" t="s">
        <v>4077</v>
      </c>
      <c r="K565" s="15" t="s">
        <v>145</v>
      </c>
      <c r="L565" s="16" t="s">
        <v>7</v>
      </c>
      <c r="M565" s="15" t="s">
        <v>66</v>
      </c>
      <c r="N565" s="15" t="s">
        <v>88</v>
      </c>
      <c r="O565" s="15" t="s">
        <v>1798</v>
      </c>
      <c r="P565" s="15" t="s">
        <v>135</v>
      </c>
      <c r="Q565" s="15" t="s">
        <v>136</v>
      </c>
      <c r="R565" s="15" t="s">
        <v>135</v>
      </c>
      <c r="S565" s="15"/>
      <c r="T565" s="15"/>
      <c r="U565" s="3" t="s">
        <v>4078</v>
      </c>
      <c r="V565" s="3" t="s">
        <v>4079</v>
      </c>
      <c r="W565" s="3" t="s">
        <v>4080</v>
      </c>
      <c r="X565" s="3" t="s">
        <v>4081</v>
      </c>
      <c r="Y565" s="15" t="n">
        <v>0</v>
      </c>
      <c r="Z565" s="15" t="n">
        <v>0</v>
      </c>
      <c r="AA565" s="15" t="n">
        <v>0</v>
      </c>
      <c r="AB565" s="15" t="n">
        <v>0</v>
      </c>
      <c r="AC565" s="15" t="n">
        <v>0</v>
      </c>
      <c r="AD565" s="15" t="n">
        <v>1</v>
      </c>
      <c r="AE565" s="15" t="n">
        <v>0</v>
      </c>
      <c r="AF565" s="15" t="n">
        <v>1</v>
      </c>
      <c r="AG565" s="15" t="n">
        <v>0</v>
      </c>
      <c r="AH565" s="15" t="n">
        <v>1</v>
      </c>
    </row>
    <row r="566" customFormat="false" ht="35.05" hidden="false" customHeight="false" outlineLevel="0" collapsed="false">
      <c r="A566" s="15" t="s">
        <v>4082</v>
      </c>
      <c r="B566" s="15" t="s">
        <v>38</v>
      </c>
      <c r="C566" s="15" t="s">
        <v>525</v>
      </c>
      <c r="D566" s="15" t="n">
        <v>88</v>
      </c>
      <c r="E566" s="15" t="s">
        <v>657</v>
      </c>
      <c r="F566" s="15" t="n">
        <v>0</v>
      </c>
      <c r="G566" s="15" t="s">
        <v>129</v>
      </c>
      <c r="H566" s="15" t="s">
        <v>130</v>
      </c>
      <c r="I566" s="3" t="s">
        <v>4083</v>
      </c>
      <c r="J566" s="3" t="s">
        <v>4084</v>
      </c>
      <c r="K566" s="15" t="s">
        <v>133</v>
      </c>
      <c r="L566" s="16" t="s">
        <v>7</v>
      </c>
      <c r="M566" s="15" t="s">
        <v>66</v>
      </c>
      <c r="N566" s="15" t="s">
        <v>90</v>
      </c>
      <c r="O566" s="15" t="s">
        <v>90</v>
      </c>
      <c r="P566" s="15" t="s">
        <v>185</v>
      </c>
      <c r="Q566" s="15" t="s">
        <v>129</v>
      </c>
      <c r="R566" s="15" t="s">
        <v>185</v>
      </c>
      <c r="S566" s="15"/>
      <c r="T566" s="15"/>
      <c r="U566" s="3" t="s">
        <v>4085</v>
      </c>
      <c r="V566" s="3" t="s">
        <v>4086</v>
      </c>
      <c r="W566" s="3" t="s">
        <v>4087</v>
      </c>
      <c r="X566" s="3" t="s">
        <v>4088</v>
      </c>
      <c r="Y566" s="15" t="n">
        <v>0</v>
      </c>
      <c r="Z566" s="15" t="n">
        <v>0</v>
      </c>
      <c r="AA566" s="15" t="n">
        <v>0</v>
      </c>
      <c r="AB566" s="15" t="n">
        <v>0</v>
      </c>
      <c r="AC566" s="15" t="n">
        <v>0</v>
      </c>
      <c r="AD566" s="15" t="n">
        <v>0</v>
      </c>
      <c r="AE566" s="15" t="n">
        <v>0</v>
      </c>
      <c r="AF566" s="15" t="n">
        <v>0</v>
      </c>
      <c r="AG566" s="15" t="n">
        <v>0</v>
      </c>
      <c r="AH566" s="15" t="n">
        <v>1</v>
      </c>
    </row>
    <row r="567" customFormat="false" ht="35.05" hidden="false" customHeight="false" outlineLevel="0" collapsed="false">
      <c r="A567" s="15" t="s">
        <v>4089</v>
      </c>
      <c r="B567" s="15" t="s">
        <v>38</v>
      </c>
      <c r="C567" s="15" t="s">
        <v>525</v>
      </c>
      <c r="D567" s="15" t="n">
        <v>88</v>
      </c>
      <c r="E567" s="15" t="s">
        <v>657</v>
      </c>
      <c r="F567" s="15" t="n">
        <v>1</v>
      </c>
      <c r="G567" s="15" t="s">
        <v>197</v>
      </c>
      <c r="H567" s="15" t="s">
        <v>142</v>
      </c>
      <c r="I567" s="3" t="s">
        <v>4090</v>
      </c>
      <c r="J567" s="3" t="s">
        <v>4091</v>
      </c>
      <c r="K567" s="15" t="s">
        <v>145</v>
      </c>
      <c r="L567" s="16" t="s">
        <v>7</v>
      </c>
      <c r="M567" s="15" t="s">
        <v>66</v>
      </c>
      <c r="N567" s="15" t="s">
        <v>88</v>
      </c>
      <c r="O567" s="15" t="s">
        <v>231</v>
      </c>
      <c r="P567" s="15" t="s">
        <v>135</v>
      </c>
      <c r="Q567" s="15" t="s">
        <v>129</v>
      </c>
      <c r="R567" s="15" t="s">
        <v>185</v>
      </c>
      <c r="S567" s="15"/>
      <c r="T567" s="15"/>
      <c r="U567" s="3" t="s">
        <v>4092</v>
      </c>
      <c r="V567" s="3" t="s">
        <v>4093</v>
      </c>
      <c r="W567" s="3" t="s">
        <v>4094</v>
      </c>
      <c r="X567" s="3" t="s">
        <v>4095</v>
      </c>
      <c r="Y567" s="15" t="n">
        <v>0</v>
      </c>
      <c r="Z567" s="15" t="n">
        <v>0</v>
      </c>
      <c r="AA567" s="15" t="n">
        <v>0</v>
      </c>
      <c r="AB567" s="15" t="n">
        <v>0</v>
      </c>
      <c r="AC567" s="15" t="n">
        <v>0</v>
      </c>
      <c r="AD567" s="15" t="n">
        <v>0</v>
      </c>
      <c r="AE567" s="15" t="n">
        <v>0</v>
      </c>
      <c r="AF567" s="15" t="n">
        <v>1</v>
      </c>
      <c r="AG567" s="15" t="n">
        <v>0</v>
      </c>
      <c r="AH567" s="15" t="n">
        <v>1</v>
      </c>
    </row>
    <row r="568" customFormat="false" ht="35.05" hidden="false" customHeight="false" outlineLevel="0" collapsed="false">
      <c r="A568" s="15" t="s">
        <v>4096</v>
      </c>
      <c r="B568" s="15" t="s">
        <v>38</v>
      </c>
      <c r="C568" s="15" t="s">
        <v>525</v>
      </c>
      <c r="D568" s="15" t="n">
        <v>88</v>
      </c>
      <c r="E568" s="15" t="s">
        <v>657</v>
      </c>
      <c r="F568" s="15" t="n">
        <v>2</v>
      </c>
      <c r="G568" s="15" t="s">
        <v>141</v>
      </c>
      <c r="H568" s="15" t="s">
        <v>142</v>
      </c>
      <c r="I568" s="3" t="s">
        <v>4097</v>
      </c>
      <c r="J568" s="3" t="s">
        <v>4098</v>
      </c>
      <c r="K568" s="15" t="s">
        <v>133</v>
      </c>
      <c r="L568" s="16" t="s">
        <v>7</v>
      </c>
      <c r="M568" s="15" t="s">
        <v>68</v>
      </c>
      <c r="N568" s="15" t="s">
        <v>84</v>
      </c>
      <c r="O568" s="15" t="s">
        <v>2160</v>
      </c>
      <c r="P568" s="15" t="s">
        <v>135</v>
      </c>
      <c r="Q568" s="15" t="s">
        <v>129</v>
      </c>
      <c r="R568" s="15" t="s">
        <v>135</v>
      </c>
      <c r="S568" s="15"/>
      <c r="T568" s="15"/>
      <c r="U568" s="3" t="s">
        <v>4099</v>
      </c>
      <c r="V568" s="3" t="s">
        <v>4100</v>
      </c>
      <c r="W568" s="3" t="s">
        <v>4101</v>
      </c>
      <c r="X568" s="3" t="s">
        <v>4102</v>
      </c>
      <c r="Y568" s="15" t="n">
        <v>0</v>
      </c>
      <c r="Z568" s="15" t="n">
        <v>1</v>
      </c>
      <c r="AA568" s="15" t="n">
        <v>0</v>
      </c>
      <c r="AB568" s="15" t="n">
        <v>1</v>
      </c>
      <c r="AC568" s="15" t="n">
        <v>0</v>
      </c>
      <c r="AD568" s="15" t="n">
        <v>0</v>
      </c>
      <c r="AE568" s="15" t="n">
        <v>0</v>
      </c>
      <c r="AF568" s="15" t="n">
        <v>1</v>
      </c>
      <c r="AG568" s="15" t="n">
        <v>0</v>
      </c>
      <c r="AH568" s="15" t="n">
        <v>1</v>
      </c>
    </row>
    <row r="569" customFormat="false" ht="35.05" hidden="false" customHeight="false" outlineLevel="0" collapsed="false">
      <c r="A569" s="15" t="s">
        <v>4103</v>
      </c>
      <c r="B569" s="15" t="s">
        <v>38</v>
      </c>
      <c r="C569" s="15" t="s">
        <v>525</v>
      </c>
      <c r="D569" s="15" t="n">
        <v>91</v>
      </c>
      <c r="E569" s="15" t="s">
        <v>679</v>
      </c>
      <c r="F569" s="15" t="n">
        <v>0</v>
      </c>
      <c r="G569" s="15" t="s">
        <v>129</v>
      </c>
      <c r="H569" s="15" t="s">
        <v>130</v>
      </c>
      <c r="I569" s="3" t="s">
        <v>4104</v>
      </c>
      <c r="J569" s="3" t="s">
        <v>4105</v>
      </c>
      <c r="K569" s="15" t="s">
        <v>133</v>
      </c>
      <c r="L569" s="16" t="s">
        <v>7</v>
      </c>
      <c r="M569" s="15" t="s">
        <v>66</v>
      </c>
      <c r="N569" s="15" t="s">
        <v>90</v>
      </c>
      <c r="O569" s="15" t="s">
        <v>293</v>
      </c>
      <c r="P569" s="15" t="s">
        <v>185</v>
      </c>
      <c r="Q569" s="15" t="s">
        <v>129</v>
      </c>
      <c r="R569" s="15" t="s">
        <v>135</v>
      </c>
      <c r="S569" s="15"/>
      <c r="T569" s="15"/>
      <c r="U569" s="3" t="s">
        <v>4106</v>
      </c>
      <c r="V569" s="3" t="s">
        <v>4107</v>
      </c>
      <c r="W569" s="3" t="s">
        <v>4108</v>
      </c>
      <c r="X569" s="3" t="s">
        <v>4109</v>
      </c>
      <c r="Y569" s="15" t="n">
        <v>0</v>
      </c>
      <c r="Z569" s="15" t="n">
        <v>0</v>
      </c>
      <c r="AA569" s="15" t="n">
        <v>0</v>
      </c>
      <c r="AB569" s="15" t="n">
        <v>0</v>
      </c>
      <c r="AC569" s="15" t="n">
        <v>0</v>
      </c>
      <c r="AD569" s="15" t="n">
        <v>0</v>
      </c>
      <c r="AE569" s="15" t="n">
        <v>1</v>
      </c>
      <c r="AF569" s="15" t="n">
        <v>0</v>
      </c>
      <c r="AG569" s="15" t="n">
        <v>0</v>
      </c>
      <c r="AH569" s="15" t="n">
        <v>1</v>
      </c>
    </row>
    <row r="570" customFormat="false" ht="35.05" hidden="false" customHeight="false" outlineLevel="0" collapsed="false">
      <c r="A570" s="15" t="s">
        <v>4110</v>
      </c>
      <c r="B570" s="15" t="s">
        <v>38</v>
      </c>
      <c r="C570" s="15" t="s">
        <v>525</v>
      </c>
      <c r="D570" s="15" t="n">
        <v>91</v>
      </c>
      <c r="E570" s="15" t="s">
        <v>679</v>
      </c>
      <c r="F570" s="15" t="n">
        <v>1</v>
      </c>
      <c r="G570" s="15" t="s">
        <v>141</v>
      </c>
      <c r="H570" s="15" t="s">
        <v>142</v>
      </c>
      <c r="I570" s="3" t="s">
        <v>4111</v>
      </c>
      <c r="J570" s="3" t="s">
        <v>4112</v>
      </c>
      <c r="K570" s="15" t="s">
        <v>145</v>
      </c>
      <c r="L570" s="16" t="s">
        <v>7</v>
      </c>
      <c r="M570" s="15" t="s">
        <v>66</v>
      </c>
      <c r="N570" s="15" t="s">
        <v>85</v>
      </c>
      <c r="O570" s="15" t="s">
        <v>483</v>
      </c>
      <c r="P570" s="15" t="s">
        <v>135</v>
      </c>
      <c r="Q570" s="15" t="s">
        <v>152</v>
      </c>
      <c r="R570" s="15" t="s">
        <v>135</v>
      </c>
      <c r="S570" s="15"/>
      <c r="T570" s="15"/>
      <c r="U570" s="3" t="s">
        <v>4113</v>
      </c>
      <c r="V570" s="3" t="s">
        <v>4114</v>
      </c>
      <c r="W570" s="3" t="s">
        <v>4115</v>
      </c>
      <c r="X570" s="3" t="s">
        <v>4116</v>
      </c>
      <c r="Y570" s="15" t="n">
        <v>0</v>
      </c>
      <c r="Z570" s="15" t="n">
        <v>0</v>
      </c>
      <c r="AA570" s="15" t="n">
        <v>0</v>
      </c>
      <c r="AB570" s="15" t="n">
        <v>0</v>
      </c>
      <c r="AC570" s="15" t="n">
        <v>1</v>
      </c>
      <c r="AD570" s="15" t="n">
        <v>0</v>
      </c>
      <c r="AE570" s="15" t="n">
        <v>0</v>
      </c>
      <c r="AF570" s="15" t="n">
        <v>1</v>
      </c>
      <c r="AG570" s="15" t="n">
        <v>0</v>
      </c>
      <c r="AH570" s="15" t="n">
        <v>1</v>
      </c>
    </row>
    <row r="571" customFormat="false" ht="46.25" hidden="false" customHeight="false" outlineLevel="0" collapsed="false">
      <c r="A571" s="15" t="s">
        <v>4117</v>
      </c>
      <c r="B571" s="15" t="s">
        <v>38</v>
      </c>
      <c r="C571" s="15" t="s">
        <v>525</v>
      </c>
      <c r="D571" s="15" t="n">
        <v>91</v>
      </c>
      <c r="E571" s="15" t="s">
        <v>679</v>
      </c>
      <c r="F571" s="15" t="n">
        <v>2</v>
      </c>
      <c r="G571" s="15" t="s">
        <v>197</v>
      </c>
      <c r="H571" s="15" t="s">
        <v>142</v>
      </c>
      <c r="I571" s="3" t="s">
        <v>4118</v>
      </c>
      <c r="J571" s="3" t="s">
        <v>4119</v>
      </c>
      <c r="K571" s="15" t="s">
        <v>133</v>
      </c>
      <c r="L571" s="16" t="s">
        <v>7</v>
      </c>
      <c r="M571" s="15" t="s">
        <v>68</v>
      </c>
      <c r="N571" s="15" t="s">
        <v>84</v>
      </c>
      <c r="O571" s="15" t="s">
        <v>247</v>
      </c>
      <c r="P571" s="15" t="s">
        <v>135</v>
      </c>
      <c r="Q571" s="15" t="s">
        <v>129</v>
      </c>
      <c r="R571" s="15" t="s">
        <v>135</v>
      </c>
      <c r="S571" s="15"/>
      <c r="T571" s="15"/>
      <c r="U571" s="3" t="s">
        <v>4120</v>
      </c>
      <c r="V571" s="3" t="s">
        <v>4121</v>
      </c>
      <c r="W571" s="3" t="s">
        <v>4122</v>
      </c>
      <c r="X571" s="3" t="s">
        <v>4123</v>
      </c>
      <c r="Y571" s="15" t="n">
        <v>0</v>
      </c>
      <c r="Z571" s="15" t="n">
        <v>0</v>
      </c>
      <c r="AA571" s="15" t="n">
        <v>0</v>
      </c>
      <c r="AB571" s="15" t="n">
        <v>1</v>
      </c>
      <c r="AC571" s="15" t="n">
        <v>0</v>
      </c>
      <c r="AD571" s="15" t="n">
        <v>0</v>
      </c>
      <c r="AE571" s="15" t="n">
        <v>0</v>
      </c>
      <c r="AF571" s="15" t="n">
        <v>1</v>
      </c>
      <c r="AG571" s="15" t="n">
        <v>0</v>
      </c>
      <c r="AH571" s="15" t="n">
        <v>1</v>
      </c>
    </row>
    <row r="572" customFormat="false" ht="46.25" hidden="false" customHeight="false" outlineLevel="0" collapsed="false">
      <c r="A572" s="15" t="s">
        <v>4124</v>
      </c>
      <c r="B572" s="15" t="s">
        <v>38</v>
      </c>
      <c r="C572" s="15" t="s">
        <v>697</v>
      </c>
      <c r="D572" s="15" t="n">
        <v>65</v>
      </c>
      <c r="E572" s="15" t="s">
        <v>698</v>
      </c>
      <c r="F572" s="15" t="n">
        <v>0</v>
      </c>
      <c r="G572" s="15" t="s">
        <v>129</v>
      </c>
      <c r="H572" s="15" t="s">
        <v>130</v>
      </c>
      <c r="I572" s="3" t="s">
        <v>4125</v>
      </c>
      <c r="J572" s="3" t="s">
        <v>4126</v>
      </c>
      <c r="K572" s="15" t="s">
        <v>133</v>
      </c>
      <c r="L572" s="16" t="s">
        <v>7</v>
      </c>
      <c r="M572" s="15" t="s">
        <v>68</v>
      </c>
      <c r="N572" s="15" t="s">
        <v>87</v>
      </c>
      <c r="O572" s="15" t="s">
        <v>87</v>
      </c>
      <c r="P572" s="15" t="s">
        <v>185</v>
      </c>
      <c r="Q572" s="15" t="s">
        <v>129</v>
      </c>
      <c r="R572" s="15" t="s">
        <v>135</v>
      </c>
      <c r="S572" s="15"/>
      <c r="T572" s="15"/>
      <c r="U572" s="3" t="s">
        <v>4127</v>
      </c>
      <c r="V572" s="3" t="s">
        <v>4128</v>
      </c>
      <c r="W572" s="3"/>
      <c r="X572" s="3" t="s">
        <v>4129</v>
      </c>
      <c r="Y572" s="15" t="n">
        <v>0</v>
      </c>
      <c r="Z572" s="15" t="n">
        <v>0</v>
      </c>
      <c r="AA572" s="15" t="n">
        <v>0</v>
      </c>
      <c r="AB572" s="15" t="n">
        <v>0</v>
      </c>
      <c r="AC572" s="15" t="n">
        <v>0</v>
      </c>
      <c r="AD572" s="15" t="n">
        <v>0</v>
      </c>
      <c r="AE572" s="15" t="n">
        <v>1</v>
      </c>
      <c r="AF572" s="15" t="n">
        <v>0</v>
      </c>
      <c r="AG572" s="15" t="n">
        <v>0</v>
      </c>
      <c r="AH572" s="15" t="n">
        <v>0</v>
      </c>
    </row>
    <row r="573" customFormat="false" ht="35.05" hidden="false" customHeight="false" outlineLevel="0" collapsed="false">
      <c r="A573" s="15" t="s">
        <v>4130</v>
      </c>
      <c r="B573" s="15" t="s">
        <v>38</v>
      </c>
      <c r="C573" s="15" t="s">
        <v>697</v>
      </c>
      <c r="D573" s="15" t="n">
        <v>65</v>
      </c>
      <c r="E573" s="15" t="s">
        <v>698</v>
      </c>
      <c r="F573" s="15" t="n">
        <v>1</v>
      </c>
      <c r="G573" s="15" t="s">
        <v>197</v>
      </c>
      <c r="H573" s="15" t="s">
        <v>142</v>
      </c>
      <c r="I573" s="3" t="s">
        <v>4131</v>
      </c>
      <c r="J573" s="3" t="s">
        <v>4132</v>
      </c>
      <c r="K573" s="15" t="s">
        <v>145</v>
      </c>
      <c r="L573" s="16" t="s">
        <v>7</v>
      </c>
      <c r="M573" s="15" t="s">
        <v>68</v>
      </c>
      <c r="N573" s="15" t="s">
        <v>82</v>
      </c>
      <c r="O573" s="15" t="s">
        <v>82</v>
      </c>
      <c r="P573" s="15" t="s">
        <v>185</v>
      </c>
      <c r="Q573" s="15" t="s">
        <v>197</v>
      </c>
      <c r="R573" s="15" t="s">
        <v>135</v>
      </c>
      <c r="S573" s="15"/>
      <c r="T573" s="15"/>
      <c r="U573" s="3" t="s">
        <v>4133</v>
      </c>
      <c r="V573" s="3" t="s">
        <v>4134</v>
      </c>
      <c r="W573" s="3"/>
      <c r="X573" s="3" t="s">
        <v>4135</v>
      </c>
      <c r="Y573" s="15" t="n">
        <v>0</v>
      </c>
      <c r="Z573" s="15" t="n">
        <v>1</v>
      </c>
      <c r="AA573" s="15" t="n">
        <v>0</v>
      </c>
      <c r="AB573" s="15" t="n">
        <v>0</v>
      </c>
      <c r="AC573" s="15" t="n">
        <v>0</v>
      </c>
      <c r="AD573" s="15" t="n">
        <v>0</v>
      </c>
      <c r="AE573" s="15" t="n">
        <v>0</v>
      </c>
      <c r="AF573" s="15" t="n">
        <v>0</v>
      </c>
      <c r="AG573" s="15" t="n">
        <v>0</v>
      </c>
      <c r="AH573" s="15" t="n">
        <v>0</v>
      </c>
    </row>
    <row r="574" customFormat="false" ht="46.25" hidden="false" customHeight="false" outlineLevel="0" collapsed="false">
      <c r="A574" s="15" t="s">
        <v>4136</v>
      </c>
      <c r="B574" s="15" t="s">
        <v>38</v>
      </c>
      <c r="C574" s="15" t="s">
        <v>697</v>
      </c>
      <c r="D574" s="15" t="n">
        <v>65</v>
      </c>
      <c r="E574" s="15" t="s">
        <v>698</v>
      </c>
      <c r="F574" s="15" t="n">
        <v>2</v>
      </c>
      <c r="G574" s="15" t="s">
        <v>141</v>
      </c>
      <c r="H574" s="15" t="s">
        <v>142</v>
      </c>
      <c r="I574" s="3" t="s">
        <v>4137</v>
      </c>
      <c r="J574" s="3" t="s">
        <v>4138</v>
      </c>
      <c r="K574" s="15" t="s">
        <v>133</v>
      </c>
      <c r="L574" s="16" t="s">
        <v>7</v>
      </c>
      <c r="M574" s="15" t="s">
        <v>68</v>
      </c>
      <c r="N574" s="15" t="s">
        <v>84</v>
      </c>
      <c r="O574" s="15" t="s">
        <v>3165</v>
      </c>
      <c r="P574" s="15" t="s">
        <v>135</v>
      </c>
      <c r="Q574" s="15" t="s">
        <v>129</v>
      </c>
      <c r="R574" s="15" t="s">
        <v>135</v>
      </c>
      <c r="S574" s="15"/>
      <c r="T574" s="15"/>
      <c r="U574" s="3" t="s">
        <v>4139</v>
      </c>
      <c r="V574" s="3" t="s">
        <v>4140</v>
      </c>
      <c r="W574" s="3" t="s">
        <v>4141</v>
      </c>
      <c r="X574" s="3" t="s">
        <v>4142</v>
      </c>
      <c r="Y574" s="15" t="n">
        <v>0</v>
      </c>
      <c r="Z574" s="15" t="n">
        <v>0</v>
      </c>
      <c r="AA574" s="15" t="n">
        <v>0</v>
      </c>
      <c r="AB574" s="15" t="n">
        <v>1</v>
      </c>
      <c r="AC574" s="15" t="n">
        <v>0</v>
      </c>
      <c r="AD574" s="15" t="n">
        <v>0</v>
      </c>
      <c r="AE574" s="15" t="n">
        <v>0</v>
      </c>
      <c r="AF574" s="15" t="n">
        <v>1</v>
      </c>
      <c r="AG574" s="15" t="n">
        <v>0</v>
      </c>
      <c r="AH574" s="15" t="n">
        <v>0</v>
      </c>
    </row>
    <row r="575" customFormat="false" ht="46.25" hidden="false" customHeight="false" outlineLevel="0" collapsed="false">
      <c r="A575" s="15" t="s">
        <v>4143</v>
      </c>
      <c r="B575" s="15" t="s">
        <v>38</v>
      </c>
      <c r="C575" s="15" t="s">
        <v>721</v>
      </c>
      <c r="D575" s="15" t="n">
        <v>36</v>
      </c>
      <c r="E575" s="15" t="s">
        <v>722</v>
      </c>
      <c r="F575" s="15" t="n">
        <v>0</v>
      </c>
      <c r="G575" s="15" t="s">
        <v>129</v>
      </c>
      <c r="H575" s="15" t="s">
        <v>130</v>
      </c>
      <c r="I575" s="3" t="s">
        <v>4144</v>
      </c>
      <c r="J575" s="3" t="s">
        <v>4145</v>
      </c>
      <c r="K575" s="15" t="s">
        <v>133</v>
      </c>
      <c r="L575" s="16" t="s">
        <v>7</v>
      </c>
      <c r="M575" s="15" t="s">
        <v>66</v>
      </c>
      <c r="N575" s="15" t="s">
        <v>84</v>
      </c>
      <c r="O575" s="15" t="s">
        <v>84</v>
      </c>
      <c r="P575" s="15" t="s">
        <v>185</v>
      </c>
      <c r="Q575" s="15" t="s">
        <v>129</v>
      </c>
      <c r="R575" s="15" t="s">
        <v>135</v>
      </c>
      <c r="S575" s="15"/>
      <c r="T575" s="15"/>
      <c r="U575" s="3" t="s">
        <v>4146</v>
      </c>
      <c r="V575" s="3" t="s">
        <v>4147</v>
      </c>
      <c r="W575" s="3"/>
      <c r="X575" s="3" t="s">
        <v>4148</v>
      </c>
      <c r="Y575" s="15" t="n">
        <v>0</v>
      </c>
      <c r="Z575" s="15" t="n">
        <v>0</v>
      </c>
      <c r="AA575" s="15" t="n">
        <v>0</v>
      </c>
      <c r="AB575" s="15" t="n">
        <v>1</v>
      </c>
      <c r="AC575" s="15" t="n">
        <v>0</v>
      </c>
      <c r="AD575" s="15" t="n">
        <v>0</v>
      </c>
      <c r="AE575" s="15" t="n">
        <v>0</v>
      </c>
      <c r="AF575" s="15" t="n">
        <v>0</v>
      </c>
      <c r="AG575" s="15" t="n">
        <v>0</v>
      </c>
      <c r="AH575" s="15" t="n">
        <v>0</v>
      </c>
    </row>
    <row r="576" customFormat="false" ht="57.45" hidden="false" customHeight="false" outlineLevel="0" collapsed="false">
      <c r="A576" s="15" t="s">
        <v>4149</v>
      </c>
      <c r="B576" s="15" t="s">
        <v>38</v>
      </c>
      <c r="C576" s="15" t="s">
        <v>721</v>
      </c>
      <c r="D576" s="15" t="n">
        <v>36</v>
      </c>
      <c r="E576" s="15" t="s">
        <v>722</v>
      </c>
      <c r="F576" s="15" t="n">
        <v>1</v>
      </c>
      <c r="G576" s="15" t="s">
        <v>307</v>
      </c>
      <c r="H576" s="15" t="s">
        <v>308</v>
      </c>
      <c r="I576" s="3" t="s">
        <v>4150</v>
      </c>
      <c r="J576" s="3" t="s">
        <v>4151</v>
      </c>
      <c r="K576" s="15" t="s">
        <v>145</v>
      </c>
      <c r="L576" s="16" t="s">
        <v>7</v>
      </c>
      <c r="M576" s="15" t="s">
        <v>66</v>
      </c>
      <c r="N576" s="15" t="s">
        <v>87</v>
      </c>
      <c r="O576" s="15" t="s">
        <v>3737</v>
      </c>
      <c r="P576" s="15" t="s">
        <v>135</v>
      </c>
      <c r="Q576" s="15" t="s">
        <v>129</v>
      </c>
      <c r="R576" s="15" t="s">
        <v>135</v>
      </c>
      <c r="S576" s="15"/>
      <c r="T576" s="15"/>
      <c r="U576" s="3" t="s">
        <v>4152</v>
      </c>
      <c r="V576" s="3" t="s">
        <v>4153</v>
      </c>
      <c r="W576" s="3"/>
      <c r="X576" s="3" t="s">
        <v>4154</v>
      </c>
      <c r="Y576" s="15" t="n">
        <v>0</v>
      </c>
      <c r="Z576" s="15" t="n">
        <v>0</v>
      </c>
      <c r="AA576" s="15" t="n">
        <v>0</v>
      </c>
      <c r="AB576" s="15" t="n">
        <v>0</v>
      </c>
      <c r="AC576" s="15" t="n">
        <v>0</v>
      </c>
      <c r="AD576" s="15" t="n">
        <v>0</v>
      </c>
      <c r="AE576" s="15" t="n">
        <v>1</v>
      </c>
      <c r="AF576" s="15" t="n">
        <v>1</v>
      </c>
      <c r="AG576" s="15" t="n">
        <v>0</v>
      </c>
      <c r="AH576" s="15" t="n">
        <v>0</v>
      </c>
    </row>
    <row r="577" customFormat="false" ht="35.05" hidden="false" customHeight="false" outlineLevel="0" collapsed="false">
      <c r="A577" s="15" t="s">
        <v>4155</v>
      </c>
      <c r="B577" s="15" t="s">
        <v>38</v>
      </c>
      <c r="C577" s="15" t="s">
        <v>721</v>
      </c>
      <c r="D577" s="15" t="n">
        <v>36</v>
      </c>
      <c r="E577" s="15" t="s">
        <v>722</v>
      </c>
      <c r="F577" s="15" t="n">
        <v>2</v>
      </c>
      <c r="G577" s="15" t="s">
        <v>197</v>
      </c>
      <c r="H577" s="15" t="s">
        <v>142</v>
      </c>
      <c r="I577" s="3" t="s">
        <v>4156</v>
      </c>
      <c r="J577" s="3" t="s">
        <v>4157</v>
      </c>
      <c r="K577" s="15" t="s">
        <v>133</v>
      </c>
      <c r="L577" s="16" t="s">
        <v>7</v>
      </c>
      <c r="M577" s="15" t="s">
        <v>66</v>
      </c>
      <c r="N577" s="15" t="s">
        <v>88</v>
      </c>
      <c r="O577" s="15" t="s">
        <v>4158</v>
      </c>
      <c r="P577" s="15" t="s">
        <v>135</v>
      </c>
      <c r="Q577" s="15" t="s">
        <v>136</v>
      </c>
      <c r="R577" s="15" t="s">
        <v>135</v>
      </c>
      <c r="S577" s="15"/>
      <c r="T577" s="15"/>
      <c r="U577" s="3" t="s">
        <v>4159</v>
      </c>
      <c r="V577" s="3" t="s">
        <v>4160</v>
      </c>
      <c r="W577" s="3" t="s">
        <v>4161</v>
      </c>
      <c r="X577" s="3" t="s">
        <v>4162</v>
      </c>
      <c r="Y577" s="15" t="n">
        <v>0</v>
      </c>
      <c r="Z577" s="15" t="n">
        <v>0</v>
      </c>
      <c r="AA577" s="15" t="n">
        <v>0</v>
      </c>
      <c r="AB577" s="15" t="n">
        <v>0</v>
      </c>
      <c r="AC577" s="15" t="n">
        <v>0</v>
      </c>
      <c r="AD577" s="15" t="n">
        <v>1</v>
      </c>
      <c r="AE577" s="15" t="n">
        <v>0</v>
      </c>
      <c r="AF577" s="15" t="n">
        <v>1</v>
      </c>
      <c r="AG577" s="15" t="n">
        <v>0</v>
      </c>
      <c r="AH577" s="15" t="n">
        <v>0</v>
      </c>
    </row>
    <row r="578" customFormat="false" ht="57.45" hidden="false" customHeight="false" outlineLevel="0" collapsed="false">
      <c r="A578" s="15" t="s">
        <v>4163</v>
      </c>
      <c r="B578" s="15" t="s">
        <v>38</v>
      </c>
      <c r="C578" s="15" t="s">
        <v>721</v>
      </c>
      <c r="D578" s="15" t="n">
        <v>38</v>
      </c>
      <c r="E578" s="15" t="s">
        <v>747</v>
      </c>
      <c r="F578" s="15" t="n">
        <v>0</v>
      </c>
      <c r="G578" s="15" t="s">
        <v>152</v>
      </c>
      <c r="H578" s="15" t="s">
        <v>142</v>
      </c>
      <c r="I578" s="3" t="s">
        <v>4164</v>
      </c>
      <c r="J578" s="3" t="s">
        <v>4165</v>
      </c>
      <c r="K578" s="15" t="s">
        <v>133</v>
      </c>
      <c r="L578" s="16" t="s">
        <v>7</v>
      </c>
      <c r="M578" s="15" t="s">
        <v>68</v>
      </c>
      <c r="N578" s="15" t="s">
        <v>84</v>
      </c>
      <c r="O578" s="15" t="s">
        <v>84</v>
      </c>
      <c r="P578" s="15" t="s">
        <v>185</v>
      </c>
      <c r="Q578" s="15" t="s">
        <v>152</v>
      </c>
      <c r="R578" s="15" t="s">
        <v>135</v>
      </c>
      <c r="S578" s="15"/>
      <c r="T578" s="15"/>
      <c r="U578" s="3" t="s">
        <v>4166</v>
      </c>
      <c r="V578" s="3" t="s">
        <v>4167</v>
      </c>
      <c r="W578" s="3"/>
      <c r="X578" s="3" t="s">
        <v>4168</v>
      </c>
      <c r="Y578" s="15" t="n">
        <v>0</v>
      </c>
      <c r="Z578" s="15" t="n">
        <v>0</v>
      </c>
      <c r="AA578" s="15" t="n">
        <v>0</v>
      </c>
      <c r="AB578" s="15" t="n">
        <v>1</v>
      </c>
      <c r="AC578" s="15" t="n">
        <v>0</v>
      </c>
      <c r="AD578" s="15" t="n">
        <v>0</v>
      </c>
      <c r="AE578" s="15" t="n">
        <v>0</v>
      </c>
      <c r="AF578" s="15" t="n">
        <v>0</v>
      </c>
      <c r="AG578" s="15" t="n">
        <v>0</v>
      </c>
      <c r="AH578" s="15" t="n">
        <v>0</v>
      </c>
    </row>
    <row r="579" customFormat="false" ht="35.05" hidden="false" customHeight="false" outlineLevel="0" collapsed="false">
      <c r="A579" s="15" t="s">
        <v>4169</v>
      </c>
      <c r="B579" s="15" t="s">
        <v>38</v>
      </c>
      <c r="C579" s="15" t="s">
        <v>721</v>
      </c>
      <c r="D579" s="15" t="n">
        <v>38</v>
      </c>
      <c r="E579" s="15" t="s">
        <v>747</v>
      </c>
      <c r="F579" s="15" t="n">
        <v>1</v>
      </c>
      <c r="G579" s="15" t="s">
        <v>141</v>
      </c>
      <c r="H579" s="15" t="s">
        <v>142</v>
      </c>
      <c r="I579" s="3" t="s">
        <v>4170</v>
      </c>
      <c r="J579" s="3" t="s">
        <v>4171</v>
      </c>
      <c r="K579" s="15" t="s">
        <v>145</v>
      </c>
      <c r="L579" s="16" t="s">
        <v>7</v>
      </c>
      <c r="M579" s="15" t="s">
        <v>68</v>
      </c>
      <c r="N579" s="15" t="s">
        <v>82</v>
      </c>
      <c r="O579" s="15" t="s">
        <v>1731</v>
      </c>
      <c r="P579" s="15" t="s">
        <v>185</v>
      </c>
      <c r="Q579" s="15" t="s">
        <v>141</v>
      </c>
      <c r="R579" s="15" t="s">
        <v>135</v>
      </c>
      <c r="S579" s="15"/>
      <c r="T579" s="15"/>
      <c r="U579" s="3" t="s">
        <v>4172</v>
      </c>
      <c r="V579" s="3" t="s">
        <v>4173</v>
      </c>
      <c r="W579" s="3"/>
      <c r="X579" s="3" t="s">
        <v>4174</v>
      </c>
      <c r="Y579" s="15" t="n">
        <v>0</v>
      </c>
      <c r="Z579" s="15" t="n">
        <v>1</v>
      </c>
      <c r="AA579" s="15" t="n">
        <v>1</v>
      </c>
      <c r="AB579" s="15" t="n">
        <v>0</v>
      </c>
      <c r="AC579" s="15" t="n">
        <v>0</v>
      </c>
      <c r="AD579" s="15" t="n">
        <v>0</v>
      </c>
      <c r="AE579" s="15" t="n">
        <v>0</v>
      </c>
      <c r="AF579" s="15" t="n">
        <v>0</v>
      </c>
      <c r="AG579" s="15" t="n">
        <v>0</v>
      </c>
      <c r="AH579" s="15" t="n">
        <v>0</v>
      </c>
    </row>
    <row r="580" customFormat="false" ht="23.85" hidden="false" customHeight="false" outlineLevel="0" collapsed="false">
      <c r="A580" s="15" t="s">
        <v>4175</v>
      </c>
      <c r="B580" s="15" t="s">
        <v>38</v>
      </c>
      <c r="C580" s="15" t="s">
        <v>721</v>
      </c>
      <c r="D580" s="15" t="n">
        <v>38</v>
      </c>
      <c r="E580" s="15" t="s">
        <v>747</v>
      </c>
      <c r="F580" s="15" t="n">
        <v>2</v>
      </c>
      <c r="G580" s="15" t="s">
        <v>307</v>
      </c>
      <c r="H580" s="15" t="s">
        <v>308</v>
      </c>
      <c r="I580" s="3" t="s">
        <v>4176</v>
      </c>
      <c r="J580" s="3" t="s">
        <v>4177</v>
      </c>
      <c r="K580" s="15" t="s">
        <v>133</v>
      </c>
      <c r="L580" s="16" t="s">
        <v>7</v>
      </c>
      <c r="M580" s="15" t="s">
        <v>66</v>
      </c>
      <c r="N580" s="15" t="s">
        <v>88</v>
      </c>
      <c r="O580" s="15" t="s">
        <v>88</v>
      </c>
      <c r="P580" s="15" t="s">
        <v>135</v>
      </c>
      <c r="Q580" s="15" t="s">
        <v>307</v>
      </c>
      <c r="R580" s="15" t="s">
        <v>185</v>
      </c>
      <c r="S580" s="15"/>
      <c r="T580" s="15"/>
      <c r="U580" s="3" t="s">
        <v>4178</v>
      </c>
      <c r="V580" s="3" t="s">
        <v>4179</v>
      </c>
      <c r="W580" s="3"/>
      <c r="X580" s="3" t="s">
        <v>4180</v>
      </c>
      <c r="Y580" s="15" t="n">
        <v>0</v>
      </c>
      <c r="Z580" s="15" t="n">
        <v>0</v>
      </c>
      <c r="AA580" s="15" t="n">
        <v>0</v>
      </c>
      <c r="AB580" s="15" t="n">
        <v>0</v>
      </c>
      <c r="AC580" s="15" t="n">
        <v>0</v>
      </c>
      <c r="AD580" s="15" t="n">
        <v>0</v>
      </c>
      <c r="AE580" s="15" t="n">
        <v>0</v>
      </c>
      <c r="AF580" s="15" t="n">
        <v>1</v>
      </c>
      <c r="AG580" s="15" t="n">
        <v>0</v>
      </c>
      <c r="AH580" s="15" t="n">
        <v>0</v>
      </c>
    </row>
    <row r="581" customFormat="false" ht="23.85" hidden="false" customHeight="false" outlineLevel="0" collapsed="false">
      <c r="A581" s="15" t="s">
        <v>4181</v>
      </c>
      <c r="B581" s="15" t="s">
        <v>38</v>
      </c>
      <c r="C581" s="15" t="s">
        <v>721</v>
      </c>
      <c r="D581" s="15" t="n">
        <v>40</v>
      </c>
      <c r="E581" s="15" t="s">
        <v>770</v>
      </c>
      <c r="F581" s="15" t="n">
        <v>0</v>
      </c>
      <c r="G581" s="15" t="s">
        <v>129</v>
      </c>
      <c r="H581" s="15" t="s">
        <v>130</v>
      </c>
      <c r="I581" s="3" t="s">
        <v>4182</v>
      </c>
      <c r="J581" s="3" t="s">
        <v>4183</v>
      </c>
      <c r="K581" s="15" t="s">
        <v>133</v>
      </c>
      <c r="L581" s="16" t="s">
        <v>7</v>
      </c>
      <c r="M581" s="15" t="s">
        <v>68</v>
      </c>
      <c r="N581" s="15" t="s">
        <v>82</v>
      </c>
      <c r="O581" s="15" t="s">
        <v>215</v>
      </c>
      <c r="P581" s="15" t="s">
        <v>135</v>
      </c>
      <c r="Q581" s="15" t="s">
        <v>136</v>
      </c>
      <c r="R581" s="15" t="s">
        <v>135</v>
      </c>
      <c r="S581" s="15"/>
      <c r="T581" s="15"/>
      <c r="U581" s="3" t="s">
        <v>4184</v>
      </c>
      <c r="V581" s="3" t="s">
        <v>4185</v>
      </c>
      <c r="W581" s="3"/>
      <c r="X581" s="3" t="s">
        <v>4186</v>
      </c>
      <c r="Y581" s="15" t="n">
        <v>0</v>
      </c>
      <c r="Z581" s="15" t="n">
        <v>1</v>
      </c>
      <c r="AA581" s="15" t="n">
        <v>0</v>
      </c>
      <c r="AB581" s="15" t="n">
        <v>0</v>
      </c>
      <c r="AC581" s="15" t="n">
        <v>0</v>
      </c>
      <c r="AD581" s="15" t="n">
        <v>0</v>
      </c>
      <c r="AE581" s="15" t="n">
        <v>0</v>
      </c>
      <c r="AF581" s="15" t="n">
        <v>1</v>
      </c>
      <c r="AG581" s="15" t="n">
        <v>0</v>
      </c>
      <c r="AH581" s="15" t="n">
        <v>0</v>
      </c>
    </row>
    <row r="582" customFormat="false" ht="35.05" hidden="false" customHeight="false" outlineLevel="0" collapsed="false">
      <c r="A582" s="15" t="s">
        <v>4187</v>
      </c>
      <c r="B582" s="15" t="s">
        <v>38</v>
      </c>
      <c r="C582" s="15" t="s">
        <v>721</v>
      </c>
      <c r="D582" s="15" t="n">
        <v>40</v>
      </c>
      <c r="E582" s="15" t="s">
        <v>770</v>
      </c>
      <c r="F582" s="15" t="n">
        <v>1</v>
      </c>
      <c r="G582" s="15" t="s">
        <v>197</v>
      </c>
      <c r="H582" s="15" t="s">
        <v>142</v>
      </c>
      <c r="I582" s="3" t="s">
        <v>4188</v>
      </c>
      <c r="J582" s="3" t="s">
        <v>4189</v>
      </c>
      <c r="K582" s="15" t="s">
        <v>145</v>
      </c>
      <c r="L582" s="16" t="s">
        <v>7</v>
      </c>
      <c r="M582" s="15" t="s">
        <v>68</v>
      </c>
      <c r="N582" s="15" t="s">
        <v>82</v>
      </c>
      <c r="O582" s="15" t="s">
        <v>222</v>
      </c>
      <c r="P582" s="15" t="s">
        <v>135</v>
      </c>
      <c r="Q582" s="15" t="s">
        <v>136</v>
      </c>
      <c r="R582" s="15" t="s">
        <v>135</v>
      </c>
      <c r="S582" s="15"/>
      <c r="T582" s="15"/>
      <c r="U582" s="3" t="s">
        <v>4190</v>
      </c>
      <c r="V582" s="3" t="s">
        <v>4191</v>
      </c>
      <c r="W582" s="3" t="s">
        <v>4192</v>
      </c>
      <c r="X582" s="3" t="s">
        <v>4193</v>
      </c>
      <c r="Y582" s="15" t="n">
        <v>0</v>
      </c>
      <c r="Z582" s="15" t="n">
        <v>1</v>
      </c>
      <c r="AA582" s="15" t="n">
        <v>0</v>
      </c>
      <c r="AB582" s="15" t="n">
        <v>0</v>
      </c>
      <c r="AC582" s="15" t="n">
        <v>0</v>
      </c>
      <c r="AD582" s="15" t="n">
        <v>0</v>
      </c>
      <c r="AE582" s="15" t="n">
        <v>0</v>
      </c>
      <c r="AF582" s="15" t="n">
        <v>1</v>
      </c>
      <c r="AG582" s="15" t="n">
        <v>0</v>
      </c>
      <c r="AH582" s="15" t="n">
        <v>1</v>
      </c>
    </row>
    <row r="583" customFormat="false" ht="35.05" hidden="false" customHeight="false" outlineLevel="0" collapsed="false">
      <c r="A583" s="15" t="s">
        <v>4194</v>
      </c>
      <c r="B583" s="15" t="s">
        <v>38</v>
      </c>
      <c r="C583" s="15" t="s">
        <v>721</v>
      </c>
      <c r="D583" s="15" t="n">
        <v>40</v>
      </c>
      <c r="E583" s="15" t="s">
        <v>770</v>
      </c>
      <c r="F583" s="15" t="n">
        <v>2</v>
      </c>
      <c r="G583" s="15" t="s">
        <v>141</v>
      </c>
      <c r="H583" s="15" t="s">
        <v>142</v>
      </c>
      <c r="I583" s="3" t="s">
        <v>4195</v>
      </c>
      <c r="J583" s="3" t="s">
        <v>4196</v>
      </c>
      <c r="K583" s="15" t="s">
        <v>133</v>
      </c>
      <c r="L583" s="16" t="s">
        <v>7</v>
      </c>
      <c r="M583" s="15" t="s">
        <v>68</v>
      </c>
      <c r="N583" s="15" t="s">
        <v>82</v>
      </c>
      <c r="O583" s="15" t="s">
        <v>349</v>
      </c>
      <c r="P583" s="15" t="s">
        <v>135</v>
      </c>
      <c r="Q583" s="15" t="s">
        <v>136</v>
      </c>
      <c r="R583" s="15" t="s">
        <v>135</v>
      </c>
      <c r="S583" s="15"/>
      <c r="T583" s="15"/>
      <c r="U583" s="3" t="s">
        <v>4197</v>
      </c>
      <c r="V583" s="3" t="s">
        <v>4198</v>
      </c>
      <c r="W583" s="3" t="s">
        <v>4199</v>
      </c>
      <c r="X583" s="3" t="s">
        <v>4200</v>
      </c>
      <c r="Y583" s="15" t="n">
        <v>0</v>
      </c>
      <c r="Z583" s="15" t="n">
        <v>1</v>
      </c>
      <c r="AA583" s="15" t="n">
        <v>0</v>
      </c>
      <c r="AB583" s="15" t="n">
        <v>0</v>
      </c>
      <c r="AC583" s="15" t="n">
        <v>1</v>
      </c>
      <c r="AD583" s="15" t="n">
        <v>0</v>
      </c>
      <c r="AE583" s="15" t="n">
        <v>0</v>
      </c>
      <c r="AF583" s="15" t="n">
        <v>1</v>
      </c>
      <c r="AG583" s="15" t="n">
        <v>0</v>
      </c>
      <c r="AH583" s="15" t="n">
        <v>1</v>
      </c>
    </row>
    <row r="584" customFormat="false" ht="35.05" hidden="false" customHeight="false" outlineLevel="0" collapsed="false">
      <c r="A584" s="15" t="s">
        <v>4201</v>
      </c>
      <c r="B584" s="15" t="s">
        <v>38</v>
      </c>
      <c r="C584" s="15" t="s">
        <v>721</v>
      </c>
      <c r="D584" s="15" t="n">
        <v>42</v>
      </c>
      <c r="E584" s="15" t="s">
        <v>790</v>
      </c>
      <c r="F584" s="15" t="n">
        <v>0</v>
      </c>
      <c r="G584" s="15" t="s">
        <v>307</v>
      </c>
      <c r="H584" s="15" t="s">
        <v>308</v>
      </c>
      <c r="I584" s="3" t="s">
        <v>4202</v>
      </c>
      <c r="J584" s="3" t="s">
        <v>4203</v>
      </c>
      <c r="K584" s="15" t="s">
        <v>133</v>
      </c>
      <c r="L584" s="16" t="s">
        <v>7</v>
      </c>
      <c r="M584" s="15" t="s">
        <v>66</v>
      </c>
      <c r="N584" s="15" t="s">
        <v>88</v>
      </c>
      <c r="O584" s="15" t="s">
        <v>88</v>
      </c>
      <c r="P584" s="15" t="s">
        <v>135</v>
      </c>
      <c r="Q584" s="15" t="s">
        <v>307</v>
      </c>
      <c r="R584" s="15" t="s">
        <v>185</v>
      </c>
      <c r="S584" s="15"/>
      <c r="T584" s="15"/>
      <c r="U584" s="3" t="s">
        <v>4204</v>
      </c>
      <c r="V584" s="3" t="s">
        <v>4205</v>
      </c>
      <c r="W584" s="3"/>
      <c r="X584" s="3" t="s">
        <v>4206</v>
      </c>
      <c r="Y584" s="15" t="n">
        <v>0</v>
      </c>
      <c r="Z584" s="15" t="n">
        <v>0</v>
      </c>
      <c r="AA584" s="15" t="n">
        <v>0</v>
      </c>
      <c r="AB584" s="15" t="n">
        <v>0</v>
      </c>
      <c r="AC584" s="15" t="n">
        <v>0</v>
      </c>
      <c r="AD584" s="15" t="n">
        <v>0</v>
      </c>
      <c r="AE584" s="15" t="n">
        <v>0</v>
      </c>
      <c r="AF584" s="15" t="n">
        <v>1</v>
      </c>
      <c r="AG584" s="15" t="n">
        <v>0</v>
      </c>
      <c r="AH584" s="15" t="n">
        <v>0</v>
      </c>
    </row>
    <row r="585" customFormat="false" ht="46.25" hidden="false" customHeight="false" outlineLevel="0" collapsed="false">
      <c r="A585" s="15" t="s">
        <v>4207</v>
      </c>
      <c r="B585" s="15" t="s">
        <v>38</v>
      </c>
      <c r="C585" s="15" t="s">
        <v>721</v>
      </c>
      <c r="D585" s="15" t="n">
        <v>42</v>
      </c>
      <c r="E585" s="15" t="s">
        <v>790</v>
      </c>
      <c r="F585" s="15" t="n">
        <v>1</v>
      </c>
      <c r="G585" s="15" t="s">
        <v>129</v>
      </c>
      <c r="H585" s="15" t="s">
        <v>130</v>
      </c>
      <c r="I585" s="3" t="s">
        <v>4208</v>
      </c>
      <c r="J585" s="3" t="s">
        <v>4209</v>
      </c>
      <c r="K585" s="15" t="s">
        <v>145</v>
      </c>
      <c r="L585" s="16" t="s">
        <v>7</v>
      </c>
      <c r="M585" s="15" t="s">
        <v>68</v>
      </c>
      <c r="N585" s="15" t="s">
        <v>82</v>
      </c>
      <c r="O585" s="15" t="s">
        <v>1459</v>
      </c>
      <c r="P585" s="15" t="s">
        <v>185</v>
      </c>
      <c r="Q585" s="15" t="s">
        <v>129</v>
      </c>
      <c r="R585" s="15" t="s">
        <v>135</v>
      </c>
      <c r="S585" s="15"/>
      <c r="T585" s="15"/>
      <c r="U585" s="3" t="s">
        <v>4210</v>
      </c>
      <c r="V585" s="3" t="s">
        <v>4211</v>
      </c>
      <c r="W585" s="3" t="s">
        <v>4212</v>
      </c>
      <c r="X585" s="3" t="s">
        <v>4213</v>
      </c>
      <c r="Y585" s="15" t="n">
        <v>0</v>
      </c>
      <c r="Z585" s="15" t="n">
        <v>1</v>
      </c>
      <c r="AA585" s="15" t="n">
        <v>0</v>
      </c>
      <c r="AB585" s="15" t="n">
        <v>0</v>
      </c>
      <c r="AC585" s="15" t="n">
        <v>1</v>
      </c>
      <c r="AD585" s="15" t="n">
        <v>0</v>
      </c>
      <c r="AE585" s="15" t="n">
        <v>0</v>
      </c>
      <c r="AF585" s="15" t="n">
        <v>0</v>
      </c>
      <c r="AG585" s="15" t="n">
        <v>0</v>
      </c>
      <c r="AH585" s="15" t="n">
        <v>1</v>
      </c>
    </row>
    <row r="586" customFormat="false" ht="35.05" hidden="false" customHeight="false" outlineLevel="0" collapsed="false">
      <c r="A586" s="15" t="s">
        <v>4214</v>
      </c>
      <c r="B586" s="15" t="s">
        <v>38</v>
      </c>
      <c r="C586" s="15" t="s">
        <v>721</v>
      </c>
      <c r="D586" s="15" t="n">
        <v>42</v>
      </c>
      <c r="E586" s="15" t="s">
        <v>790</v>
      </c>
      <c r="F586" s="15" t="n">
        <v>2</v>
      </c>
      <c r="G586" s="15" t="s">
        <v>197</v>
      </c>
      <c r="H586" s="15" t="s">
        <v>142</v>
      </c>
      <c r="I586" s="3" t="s">
        <v>4215</v>
      </c>
      <c r="J586" s="3" t="s">
        <v>4216</v>
      </c>
      <c r="K586" s="15" t="s">
        <v>133</v>
      </c>
      <c r="L586" s="16" t="s">
        <v>7</v>
      </c>
      <c r="M586" s="15" t="s">
        <v>66</v>
      </c>
      <c r="N586" s="15" t="s">
        <v>88</v>
      </c>
      <c r="O586" s="15" t="s">
        <v>88</v>
      </c>
      <c r="P586" s="15" t="s">
        <v>135</v>
      </c>
      <c r="Q586" s="15" t="s">
        <v>136</v>
      </c>
      <c r="R586" s="15" t="s">
        <v>185</v>
      </c>
      <c r="S586" s="15"/>
      <c r="T586" s="15"/>
      <c r="U586" s="3" t="s">
        <v>4217</v>
      </c>
      <c r="V586" s="3" t="s">
        <v>4218</v>
      </c>
      <c r="W586" s="3"/>
      <c r="X586" s="3" t="s">
        <v>4219</v>
      </c>
      <c r="Y586" s="15" t="n">
        <v>0</v>
      </c>
      <c r="Z586" s="15" t="n">
        <v>0</v>
      </c>
      <c r="AA586" s="15" t="n">
        <v>0</v>
      </c>
      <c r="AB586" s="15" t="n">
        <v>0</v>
      </c>
      <c r="AC586" s="15" t="n">
        <v>0</v>
      </c>
      <c r="AD586" s="15" t="n">
        <v>0</v>
      </c>
      <c r="AE586" s="15" t="n">
        <v>0</v>
      </c>
      <c r="AF586" s="15" t="n">
        <v>1</v>
      </c>
      <c r="AG586" s="15" t="n">
        <v>0</v>
      </c>
      <c r="AH586" s="15" t="n">
        <v>0</v>
      </c>
    </row>
    <row r="587" customFormat="false" ht="35.05" hidden="false" customHeight="false" outlineLevel="0" collapsed="false">
      <c r="A587" s="15" t="s">
        <v>4220</v>
      </c>
      <c r="B587" s="15" t="s">
        <v>38</v>
      </c>
      <c r="C587" s="15" t="s">
        <v>811</v>
      </c>
      <c r="D587" s="15" t="n">
        <v>26</v>
      </c>
      <c r="E587" s="15" t="s">
        <v>812</v>
      </c>
      <c r="F587" s="15" t="n">
        <v>0</v>
      </c>
      <c r="G587" s="15" t="s">
        <v>129</v>
      </c>
      <c r="H587" s="15" t="s">
        <v>130</v>
      </c>
      <c r="I587" s="3" t="s">
        <v>4221</v>
      </c>
      <c r="J587" s="3" t="s">
        <v>4222</v>
      </c>
      <c r="K587" s="15" t="s">
        <v>133</v>
      </c>
      <c r="L587" s="18" t="s">
        <v>5</v>
      </c>
      <c r="M587" s="15" t="s">
        <v>426</v>
      </c>
      <c r="N587" s="15" t="s">
        <v>426</v>
      </c>
      <c r="O587" s="15"/>
      <c r="P587" s="15" t="s">
        <v>185</v>
      </c>
      <c r="Q587" s="15" t="s">
        <v>129</v>
      </c>
      <c r="R587" s="15" t="s">
        <v>185</v>
      </c>
      <c r="S587" s="15"/>
      <c r="T587" s="15"/>
      <c r="U587" s="3" t="s">
        <v>4223</v>
      </c>
      <c r="V587" s="3" t="s">
        <v>4224</v>
      </c>
      <c r="W587" s="3"/>
      <c r="X587" s="3"/>
      <c r="Y587" s="15" t="n">
        <v>0</v>
      </c>
      <c r="Z587" s="15" t="n">
        <v>0</v>
      </c>
      <c r="AA587" s="15" t="n">
        <v>0</v>
      </c>
      <c r="AB587" s="15" t="n">
        <v>0</v>
      </c>
      <c r="AC587" s="15" t="n">
        <v>0</v>
      </c>
      <c r="AD587" s="15" t="n">
        <v>0</v>
      </c>
      <c r="AE587" s="15" t="n">
        <v>0</v>
      </c>
      <c r="AF587" s="15" t="n">
        <v>0</v>
      </c>
      <c r="AG587" s="15" t="n">
        <v>0</v>
      </c>
      <c r="AH587" s="15" t="n">
        <v>0</v>
      </c>
    </row>
    <row r="588" customFormat="false" ht="35.05" hidden="false" customHeight="false" outlineLevel="0" collapsed="false">
      <c r="A588" s="15" t="s">
        <v>4225</v>
      </c>
      <c r="B588" s="15" t="s">
        <v>38</v>
      </c>
      <c r="C588" s="15" t="s">
        <v>811</v>
      </c>
      <c r="D588" s="15" t="n">
        <v>26</v>
      </c>
      <c r="E588" s="15" t="s">
        <v>812</v>
      </c>
      <c r="F588" s="15" t="n">
        <v>1</v>
      </c>
      <c r="G588" s="15" t="s">
        <v>141</v>
      </c>
      <c r="H588" s="15" t="s">
        <v>142</v>
      </c>
      <c r="I588" s="3" t="s">
        <v>4226</v>
      </c>
      <c r="J588" s="3" t="s">
        <v>4227</v>
      </c>
      <c r="K588" s="15" t="s">
        <v>145</v>
      </c>
      <c r="L588" s="16" t="s">
        <v>7</v>
      </c>
      <c r="M588" s="15" t="s">
        <v>66</v>
      </c>
      <c r="N588" s="15" t="s">
        <v>88</v>
      </c>
      <c r="O588" s="15" t="s">
        <v>231</v>
      </c>
      <c r="P588" s="15" t="s">
        <v>135</v>
      </c>
      <c r="Q588" s="15" t="s">
        <v>129</v>
      </c>
      <c r="R588" s="15" t="s">
        <v>185</v>
      </c>
      <c r="S588" s="15"/>
      <c r="T588" s="15"/>
      <c r="U588" s="3" t="s">
        <v>4228</v>
      </c>
      <c r="V588" s="3" t="s">
        <v>4229</v>
      </c>
      <c r="W588" s="3" t="s">
        <v>4230</v>
      </c>
      <c r="X588" s="3" t="s">
        <v>4231</v>
      </c>
      <c r="Y588" s="15" t="n">
        <v>0</v>
      </c>
      <c r="Z588" s="15" t="n">
        <v>0</v>
      </c>
      <c r="AA588" s="15" t="n">
        <v>0</v>
      </c>
      <c r="AB588" s="15" t="n">
        <v>0</v>
      </c>
      <c r="AC588" s="15" t="n">
        <v>0</v>
      </c>
      <c r="AD588" s="15" t="n">
        <v>0</v>
      </c>
      <c r="AE588" s="15" t="n">
        <v>0</v>
      </c>
      <c r="AF588" s="15" t="n">
        <v>1</v>
      </c>
      <c r="AG588" s="15" t="n">
        <v>0</v>
      </c>
      <c r="AH588" s="15" t="n">
        <v>1</v>
      </c>
    </row>
    <row r="589" customFormat="false" ht="23.85" hidden="false" customHeight="false" outlineLevel="0" collapsed="false">
      <c r="A589" s="15" t="s">
        <v>4232</v>
      </c>
      <c r="B589" s="15" t="s">
        <v>38</v>
      </c>
      <c r="C589" s="15" t="s">
        <v>811</v>
      </c>
      <c r="D589" s="15" t="n">
        <v>26</v>
      </c>
      <c r="E589" s="15" t="s">
        <v>812</v>
      </c>
      <c r="F589" s="15" t="n">
        <v>2</v>
      </c>
      <c r="G589" s="15" t="s">
        <v>197</v>
      </c>
      <c r="H589" s="15" t="s">
        <v>142</v>
      </c>
      <c r="I589" s="3" t="s">
        <v>4233</v>
      </c>
      <c r="J589" s="3" t="s">
        <v>4234</v>
      </c>
      <c r="K589" s="15" t="s">
        <v>133</v>
      </c>
      <c r="L589" s="18" t="s">
        <v>5</v>
      </c>
      <c r="M589" s="15" t="s">
        <v>426</v>
      </c>
      <c r="N589" s="15" t="s">
        <v>426</v>
      </c>
      <c r="O589" s="15"/>
      <c r="P589" s="15" t="s">
        <v>185</v>
      </c>
      <c r="Q589" s="15" t="s">
        <v>197</v>
      </c>
      <c r="R589" s="15" t="s">
        <v>185</v>
      </c>
      <c r="S589" s="15"/>
      <c r="T589" s="15"/>
      <c r="U589" s="3" t="s">
        <v>4235</v>
      </c>
      <c r="V589" s="3" t="s">
        <v>4236</v>
      </c>
      <c r="W589" s="3"/>
      <c r="X589" s="3"/>
      <c r="Y589" s="15" t="n">
        <v>0</v>
      </c>
      <c r="Z589" s="15" t="n">
        <v>0</v>
      </c>
      <c r="AA589" s="15" t="n">
        <v>0</v>
      </c>
      <c r="AB589" s="15" t="n">
        <v>0</v>
      </c>
      <c r="AC589" s="15" t="n">
        <v>0</v>
      </c>
      <c r="AD589" s="15" t="n">
        <v>0</v>
      </c>
      <c r="AE589" s="15" t="n">
        <v>0</v>
      </c>
      <c r="AF589" s="15" t="n">
        <v>0</v>
      </c>
      <c r="AG589" s="15" t="n">
        <v>0</v>
      </c>
      <c r="AH589" s="15" t="n">
        <v>0</v>
      </c>
    </row>
    <row r="590" customFormat="false" ht="23.85" hidden="false" customHeight="false" outlineLevel="0" collapsed="false">
      <c r="A590" s="15" t="s">
        <v>4237</v>
      </c>
      <c r="B590" s="15" t="s">
        <v>38</v>
      </c>
      <c r="C590" s="15" t="s">
        <v>811</v>
      </c>
      <c r="D590" s="15" t="n">
        <v>35</v>
      </c>
      <c r="E590" s="15" t="s">
        <v>835</v>
      </c>
      <c r="F590" s="15" t="n">
        <v>0</v>
      </c>
      <c r="G590" s="15" t="s">
        <v>129</v>
      </c>
      <c r="H590" s="15" t="s">
        <v>130</v>
      </c>
      <c r="I590" s="3" t="s">
        <v>4238</v>
      </c>
      <c r="J590" s="3" t="s">
        <v>3838</v>
      </c>
      <c r="K590" s="15" t="s">
        <v>133</v>
      </c>
      <c r="L590" s="18" t="s">
        <v>5</v>
      </c>
      <c r="M590" s="15" t="s">
        <v>426</v>
      </c>
      <c r="N590" s="15" t="s">
        <v>426</v>
      </c>
      <c r="O590" s="15"/>
      <c r="P590" s="15" t="s">
        <v>185</v>
      </c>
      <c r="Q590" s="15" t="s">
        <v>129</v>
      </c>
      <c r="R590" s="15" t="s">
        <v>185</v>
      </c>
      <c r="S590" s="15"/>
      <c r="T590" s="15"/>
      <c r="U590" s="3" t="s">
        <v>4239</v>
      </c>
      <c r="V590" s="3" t="s">
        <v>4240</v>
      </c>
      <c r="W590" s="3"/>
      <c r="X590" s="3"/>
      <c r="Y590" s="15" t="n">
        <v>0</v>
      </c>
      <c r="Z590" s="15" t="n">
        <v>0</v>
      </c>
      <c r="AA590" s="15" t="n">
        <v>0</v>
      </c>
      <c r="AB590" s="15" t="n">
        <v>0</v>
      </c>
      <c r="AC590" s="15" t="n">
        <v>0</v>
      </c>
      <c r="AD590" s="15" t="n">
        <v>0</v>
      </c>
      <c r="AE590" s="15" t="n">
        <v>0</v>
      </c>
      <c r="AF590" s="15" t="n">
        <v>0</v>
      </c>
      <c r="AG590" s="15" t="n">
        <v>0</v>
      </c>
      <c r="AH590" s="15" t="n">
        <v>0</v>
      </c>
    </row>
    <row r="591" customFormat="false" ht="57.45" hidden="false" customHeight="false" outlineLevel="0" collapsed="false">
      <c r="A591" s="15" t="s">
        <v>4241</v>
      </c>
      <c r="B591" s="15" t="s">
        <v>38</v>
      </c>
      <c r="C591" s="15" t="s">
        <v>811</v>
      </c>
      <c r="D591" s="15" t="n">
        <v>35</v>
      </c>
      <c r="E591" s="15" t="s">
        <v>835</v>
      </c>
      <c r="F591" s="15" t="n">
        <v>1</v>
      </c>
      <c r="G591" s="15" t="s">
        <v>197</v>
      </c>
      <c r="H591" s="15" t="s">
        <v>142</v>
      </c>
      <c r="I591" s="3" t="s">
        <v>4242</v>
      </c>
      <c r="J591" s="3" t="s">
        <v>4243</v>
      </c>
      <c r="K591" s="15" t="s">
        <v>145</v>
      </c>
      <c r="L591" s="16" t="s">
        <v>7</v>
      </c>
      <c r="M591" s="15" t="s">
        <v>68</v>
      </c>
      <c r="N591" s="15" t="s">
        <v>84</v>
      </c>
      <c r="O591" s="15" t="s">
        <v>256</v>
      </c>
      <c r="P591" s="15" t="s">
        <v>135</v>
      </c>
      <c r="Q591" s="15" t="s">
        <v>129</v>
      </c>
      <c r="R591" s="15" t="s">
        <v>135</v>
      </c>
      <c r="S591" s="15"/>
      <c r="T591" s="15"/>
      <c r="U591" s="3" t="s">
        <v>4244</v>
      </c>
      <c r="V591" s="3" t="s">
        <v>4245</v>
      </c>
      <c r="W591" s="3"/>
      <c r="X591" s="3" t="s">
        <v>4246</v>
      </c>
      <c r="Y591" s="15" t="n">
        <v>0</v>
      </c>
      <c r="Z591" s="15" t="n">
        <v>1</v>
      </c>
      <c r="AA591" s="15" t="n">
        <v>0</v>
      </c>
      <c r="AB591" s="15" t="n">
        <v>1</v>
      </c>
      <c r="AC591" s="15" t="n">
        <v>0</v>
      </c>
      <c r="AD591" s="15" t="n">
        <v>0</v>
      </c>
      <c r="AE591" s="15" t="n">
        <v>0</v>
      </c>
      <c r="AF591" s="15" t="n">
        <v>1</v>
      </c>
      <c r="AG591" s="15" t="n">
        <v>0</v>
      </c>
      <c r="AH591" s="15" t="n">
        <v>0</v>
      </c>
    </row>
    <row r="592" customFormat="false" ht="46.25" hidden="false" customHeight="false" outlineLevel="0" collapsed="false">
      <c r="A592" s="15" t="s">
        <v>4247</v>
      </c>
      <c r="B592" s="15" t="s">
        <v>38</v>
      </c>
      <c r="C592" s="15" t="s">
        <v>811</v>
      </c>
      <c r="D592" s="15" t="n">
        <v>35</v>
      </c>
      <c r="E592" s="15" t="s">
        <v>835</v>
      </c>
      <c r="F592" s="15" t="n">
        <v>2</v>
      </c>
      <c r="G592" s="15" t="s">
        <v>141</v>
      </c>
      <c r="H592" s="15" t="s">
        <v>142</v>
      </c>
      <c r="I592" s="3" t="s">
        <v>4248</v>
      </c>
      <c r="J592" s="3" t="s">
        <v>4249</v>
      </c>
      <c r="K592" s="15" t="s">
        <v>133</v>
      </c>
      <c r="L592" s="16" t="s">
        <v>7</v>
      </c>
      <c r="M592" s="15" t="s">
        <v>68</v>
      </c>
      <c r="N592" s="15" t="s">
        <v>82</v>
      </c>
      <c r="O592" s="15" t="s">
        <v>192</v>
      </c>
      <c r="P592" s="15" t="s">
        <v>135</v>
      </c>
      <c r="Q592" s="15" t="s">
        <v>129</v>
      </c>
      <c r="R592" s="15" t="s">
        <v>135</v>
      </c>
      <c r="S592" s="15"/>
      <c r="T592" s="15"/>
      <c r="U592" s="3" t="s">
        <v>4250</v>
      </c>
      <c r="V592" s="3" t="s">
        <v>4251</v>
      </c>
      <c r="W592" s="3"/>
      <c r="X592" s="3" t="s">
        <v>4252</v>
      </c>
      <c r="Y592" s="15" t="n">
        <v>0</v>
      </c>
      <c r="Z592" s="15" t="n">
        <v>1</v>
      </c>
      <c r="AA592" s="15" t="n">
        <v>0</v>
      </c>
      <c r="AB592" s="15" t="n">
        <v>1</v>
      </c>
      <c r="AC592" s="15" t="n">
        <v>0</v>
      </c>
      <c r="AD592" s="15" t="n">
        <v>0</v>
      </c>
      <c r="AE592" s="15" t="n">
        <v>0</v>
      </c>
      <c r="AF592" s="15" t="n">
        <v>1</v>
      </c>
      <c r="AG592" s="15" t="n">
        <v>0</v>
      </c>
      <c r="AH592" s="15" t="n">
        <v>0</v>
      </c>
    </row>
    <row r="593" customFormat="false" ht="35.05" hidden="false" customHeight="false" outlineLevel="0" collapsed="false">
      <c r="A593" s="15" t="s">
        <v>4253</v>
      </c>
      <c r="B593" s="15" t="s">
        <v>38</v>
      </c>
      <c r="C593" s="15" t="s">
        <v>811</v>
      </c>
      <c r="D593" s="15" t="n">
        <v>39</v>
      </c>
      <c r="E593" s="15" t="s">
        <v>856</v>
      </c>
      <c r="F593" s="15" t="n">
        <v>0</v>
      </c>
      <c r="G593" s="15" t="s">
        <v>152</v>
      </c>
      <c r="H593" s="15" t="s">
        <v>142</v>
      </c>
      <c r="I593" s="3" t="s">
        <v>4254</v>
      </c>
      <c r="J593" s="3" t="s">
        <v>4255</v>
      </c>
      <c r="K593" s="15" t="s">
        <v>133</v>
      </c>
      <c r="L593" s="16" t="s">
        <v>7</v>
      </c>
      <c r="M593" s="15" t="s">
        <v>66</v>
      </c>
      <c r="N593" s="15" t="s">
        <v>90</v>
      </c>
      <c r="O593" s="15" t="s">
        <v>293</v>
      </c>
      <c r="P593" s="15" t="s">
        <v>185</v>
      </c>
      <c r="Q593" s="15" t="s">
        <v>152</v>
      </c>
      <c r="R593" s="15" t="s">
        <v>135</v>
      </c>
      <c r="S593" s="15"/>
      <c r="T593" s="15"/>
      <c r="U593" s="3" t="s">
        <v>4256</v>
      </c>
      <c r="V593" s="3" t="s">
        <v>4257</v>
      </c>
      <c r="W593" s="3" t="s">
        <v>4258</v>
      </c>
      <c r="X593" s="3" t="s">
        <v>4259</v>
      </c>
      <c r="Y593" s="15" t="n">
        <v>0</v>
      </c>
      <c r="Z593" s="15" t="n">
        <v>0</v>
      </c>
      <c r="AA593" s="15" t="n">
        <v>0</v>
      </c>
      <c r="AB593" s="15" t="n">
        <v>0</v>
      </c>
      <c r="AC593" s="15" t="n">
        <v>0</v>
      </c>
      <c r="AD593" s="15" t="n">
        <v>0</v>
      </c>
      <c r="AE593" s="15" t="n">
        <v>1</v>
      </c>
      <c r="AF593" s="15" t="n">
        <v>0</v>
      </c>
      <c r="AG593" s="15" t="n">
        <v>0</v>
      </c>
      <c r="AH593" s="15" t="n">
        <v>1</v>
      </c>
    </row>
    <row r="594" customFormat="false" ht="35.05" hidden="false" customHeight="false" outlineLevel="0" collapsed="false">
      <c r="A594" s="15" t="s">
        <v>4260</v>
      </c>
      <c r="B594" s="15" t="s">
        <v>38</v>
      </c>
      <c r="C594" s="15" t="s">
        <v>811</v>
      </c>
      <c r="D594" s="15" t="n">
        <v>39</v>
      </c>
      <c r="E594" s="15" t="s">
        <v>856</v>
      </c>
      <c r="F594" s="15" t="n">
        <v>1</v>
      </c>
      <c r="G594" s="15" t="s">
        <v>129</v>
      </c>
      <c r="H594" s="15" t="s">
        <v>130</v>
      </c>
      <c r="I594" s="3" t="s">
        <v>4261</v>
      </c>
      <c r="J594" s="3" t="s">
        <v>4255</v>
      </c>
      <c r="K594" s="15" t="s">
        <v>145</v>
      </c>
      <c r="L594" s="18" t="s">
        <v>5</v>
      </c>
      <c r="M594" s="15" t="s">
        <v>426</v>
      </c>
      <c r="N594" s="15" t="s">
        <v>426</v>
      </c>
      <c r="O594" s="15"/>
      <c r="P594" s="15" t="s">
        <v>185</v>
      </c>
      <c r="Q594" s="15" t="s">
        <v>129</v>
      </c>
      <c r="R594" s="15" t="s">
        <v>185</v>
      </c>
      <c r="S594" s="15"/>
      <c r="T594" s="15"/>
      <c r="U594" s="3" t="s">
        <v>4262</v>
      </c>
      <c r="V594" s="3" t="s">
        <v>4263</v>
      </c>
      <c r="W594" s="3"/>
      <c r="X594" s="3"/>
      <c r="Y594" s="15" t="n">
        <v>0</v>
      </c>
      <c r="Z594" s="15" t="n">
        <v>0</v>
      </c>
      <c r="AA594" s="15" t="n">
        <v>0</v>
      </c>
      <c r="AB594" s="15" t="n">
        <v>0</v>
      </c>
      <c r="AC594" s="15" t="n">
        <v>0</v>
      </c>
      <c r="AD594" s="15" t="n">
        <v>0</v>
      </c>
      <c r="AE594" s="15" t="n">
        <v>0</v>
      </c>
      <c r="AF594" s="15" t="n">
        <v>0</v>
      </c>
      <c r="AG594" s="15" t="n">
        <v>0</v>
      </c>
      <c r="AH594" s="15" t="n">
        <v>0</v>
      </c>
    </row>
    <row r="595" customFormat="false" ht="35.05" hidden="false" customHeight="false" outlineLevel="0" collapsed="false">
      <c r="A595" s="15" t="s">
        <v>4264</v>
      </c>
      <c r="B595" s="15" t="s">
        <v>38</v>
      </c>
      <c r="C595" s="15" t="s">
        <v>811</v>
      </c>
      <c r="D595" s="15" t="n">
        <v>39</v>
      </c>
      <c r="E595" s="15" t="s">
        <v>856</v>
      </c>
      <c r="F595" s="15" t="n">
        <v>2</v>
      </c>
      <c r="G595" s="15" t="s">
        <v>197</v>
      </c>
      <c r="H595" s="15" t="s">
        <v>142</v>
      </c>
      <c r="I595" s="3" t="s">
        <v>4265</v>
      </c>
      <c r="J595" s="3" t="s">
        <v>4266</v>
      </c>
      <c r="K595" s="15" t="s">
        <v>133</v>
      </c>
      <c r="L595" s="18" t="s">
        <v>5</v>
      </c>
      <c r="M595" s="15" t="s">
        <v>426</v>
      </c>
      <c r="N595" s="15" t="s">
        <v>426</v>
      </c>
      <c r="O595" s="15"/>
      <c r="P595" s="15" t="s">
        <v>185</v>
      </c>
      <c r="Q595" s="15" t="s">
        <v>197</v>
      </c>
      <c r="R595" s="15" t="s">
        <v>185</v>
      </c>
      <c r="S595" s="15"/>
      <c r="T595" s="15"/>
      <c r="U595" s="3" t="s">
        <v>4267</v>
      </c>
      <c r="V595" s="3" t="s">
        <v>4268</v>
      </c>
      <c r="W595" s="3"/>
      <c r="X595" s="3"/>
      <c r="Y595" s="15" t="n">
        <v>0</v>
      </c>
      <c r="Z595" s="15" t="n">
        <v>0</v>
      </c>
      <c r="AA595" s="15" t="n">
        <v>0</v>
      </c>
      <c r="AB595" s="15" t="n">
        <v>0</v>
      </c>
      <c r="AC595" s="15" t="n">
        <v>0</v>
      </c>
      <c r="AD595" s="15" t="n">
        <v>0</v>
      </c>
      <c r="AE595" s="15" t="n">
        <v>0</v>
      </c>
      <c r="AF595" s="15" t="n">
        <v>0</v>
      </c>
      <c r="AG595" s="15" t="n">
        <v>0</v>
      </c>
      <c r="AH595" s="15" t="n">
        <v>0</v>
      </c>
    </row>
    <row r="596" customFormat="false" ht="35.05" hidden="false" customHeight="false" outlineLevel="0" collapsed="false">
      <c r="A596" s="15" t="s">
        <v>4269</v>
      </c>
      <c r="B596" s="15" t="s">
        <v>38</v>
      </c>
      <c r="C596" s="15" t="s">
        <v>811</v>
      </c>
      <c r="D596" s="15" t="n">
        <v>40</v>
      </c>
      <c r="E596" s="15" t="s">
        <v>876</v>
      </c>
      <c r="F596" s="15" t="n">
        <v>0</v>
      </c>
      <c r="G596" s="15" t="s">
        <v>152</v>
      </c>
      <c r="H596" s="15" t="s">
        <v>142</v>
      </c>
      <c r="I596" s="3" t="s">
        <v>4270</v>
      </c>
      <c r="J596" s="3" t="s">
        <v>4271</v>
      </c>
      <c r="K596" s="15" t="s">
        <v>133</v>
      </c>
      <c r="L596" s="17" t="s">
        <v>9</v>
      </c>
      <c r="M596" s="15" t="s">
        <v>70</v>
      </c>
      <c r="N596" s="15" t="s">
        <v>81</v>
      </c>
      <c r="O596" s="15" t="s">
        <v>4272</v>
      </c>
      <c r="P596" s="15" t="s">
        <v>135</v>
      </c>
      <c r="Q596" s="15" t="s">
        <v>129</v>
      </c>
      <c r="R596" s="15" t="s">
        <v>135</v>
      </c>
      <c r="S596" s="15" t="s">
        <v>405</v>
      </c>
      <c r="T596" s="15" t="s">
        <v>390</v>
      </c>
      <c r="U596" s="3" t="s">
        <v>4273</v>
      </c>
      <c r="V596" s="3" t="s">
        <v>4274</v>
      </c>
      <c r="W596" s="3"/>
      <c r="X596" s="3"/>
      <c r="Y596" s="15" t="n">
        <v>1</v>
      </c>
      <c r="Z596" s="15" t="n">
        <v>1</v>
      </c>
      <c r="AA596" s="15" t="n">
        <v>0</v>
      </c>
      <c r="AB596" s="15" t="n">
        <v>0</v>
      </c>
      <c r="AC596" s="15" t="n">
        <v>0</v>
      </c>
      <c r="AD596" s="15" t="n">
        <v>0</v>
      </c>
      <c r="AE596" s="15" t="n">
        <v>0</v>
      </c>
      <c r="AF596" s="15" t="n">
        <v>1</v>
      </c>
      <c r="AG596" s="15" t="n">
        <v>0</v>
      </c>
      <c r="AH596" s="15" t="n">
        <v>0</v>
      </c>
    </row>
    <row r="597" customFormat="false" ht="35.05" hidden="false" customHeight="false" outlineLevel="0" collapsed="false">
      <c r="A597" s="15" t="s">
        <v>4275</v>
      </c>
      <c r="B597" s="15" t="s">
        <v>38</v>
      </c>
      <c r="C597" s="15" t="s">
        <v>811</v>
      </c>
      <c r="D597" s="15" t="n">
        <v>40</v>
      </c>
      <c r="E597" s="15" t="s">
        <v>876</v>
      </c>
      <c r="F597" s="15" t="n">
        <v>1</v>
      </c>
      <c r="G597" s="15" t="s">
        <v>141</v>
      </c>
      <c r="H597" s="15" t="s">
        <v>142</v>
      </c>
      <c r="I597" s="3" t="s">
        <v>4276</v>
      </c>
      <c r="J597" s="3" t="s">
        <v>4277</v>
      </c>
      <c r="K597" s="15" t="s">
        <v>145</v>
      </c>
      <c r="L597" s="16" t="s">
        <v>7</v>
      </c>
      <c r="M597" s="15" t="s">
        <v>68</v>
      </c>
      <c r="N597" s="15" t="s">
        <v>82</v>
      </c>
      <c r="O597" s="15" t="s">
        <v>134</v>
      </c>
      <c r="P597" s="15" t="s">
        <v>135</v>
      </c>
      <c r="Q597" s="15" t="s">
        <v>197</v>
      </c>
      <c r="R597" s="15" t="s">
        <v>135</v>
      </c>
      <c r="S597" s="15"/>
      <c r="T597" s="15"/>
      <c r="U597" s="3" t="s">
        <v>4278</v>
      </c>
      <c r="V597" s="3" t="s">
        <v>4279</v>
      </c>
      <c r="W597" s="3" t="s">
        <v>4280</v>
      </c>
      <c r="X597" s="3" t="s">
        <v>4281</v>
      </c>
      <c r="Y597" s="15" t="n">
        <v>0</v>
      </c>
      <c r="Z597" s="15" t="n">
        <v>1</v>
      </c>
      <c r="AA597" s="15" t="n">
        <v>0</v>
      </c>
      <c r="AB597" s="15" t="n">
        <v>0</v>
      </c>
      <c r="AC597" s="15" t="n">
        <v>0</v>
      </c>
      <c r="AD597" s="15" t="n">
        <v>1</v>
      </c>
      <c r="AE597" s="15" t="n">
        <v>0</v>
      </c>
      <c r="AF597" s="15" t="n">
        <v>1</v>
      </c>
      <c r="AG597" s="15" t="n">
        <v>0</v>
      </c>
      <c r="AH597" s="15" t="n">
        <v>0</v>
      </c>
    </row>
    <row r="598" customFormat="false" ht="35.05" hidden="false" customHeight="false" outlineLevel="0" collapsed="false">
      <c r="A598" s="15" t="s">
        <v>4282</v>
      </c>
      <c r="B598" s="15" t="s">
        <v>38</v>
      </c>
      <c r="C598" s="15" t="s">
        <v>811</v>
      </c>
      <c r="D598" s="15" t="n">
        <v>40</v>
      </c>
      <c r="E598" s="15" t="s">
        <v>876</v>
      </c>
      <c r="F598" s="15" t="n">
        <v>2</v>
      </c>
      <c r="G598" s="15" t="s">
        <v>129</v>
      </c>
      <c r="H598" s="15" t="s">
        <v>130</v>
      </c>
      <c r="I598" s="3" t="s">
        <v>4283</v>
      </c>
      <c r="J598" s="3" t="s">
        <v>4284</v>
      </c>
      <c r="K598" s="15" t="s">
        <v>133</v>
      </c>
      <c r="L598" s="18" t="s">
        <v>5</v>
      </c>
      <c r="M598" s="15" t="s">
        <v>426</v>
      </c>
      <c r="N598" s="15" t="s">
        <v>426</v>
      </c>
      <c r="O598" s="15"/>
      <c r="P598" s="15" t="s">
        <v>185</v>
      </c>
      <c r="Q598" s="15" t="s">
        <v>129</v>
      </c>
      <c r="R598" s="15" t="s">
        <v>185</v>
      </c>
      <c r="S598" s="15"/>
      <c r="T598" s="15"/>
      <c r="U598" s="3" t="s">
        <v>4285</v>
      </c>
      <c r="V598" s="3" t="s">
        <v>4286</v>
      </c>
      <c r="W598" s="3"/>
      <c r="X598" s="3"/>
      <c r="Y598" s="15" t="n">
        <v>0</v>
      </c>
      <c r="Z598" s="15" t="n">
        <v>0</v>
      </c>
      <c r="AA598" s="15" t="n">
        <v>0</v>
      </c>
      <c r="AB598" s="15" t="n">
        <v>0</v>
      </c>
      <c r="AC598" s="15" t="n">
        <v>0</v>
      </c>
      <c r="AD598" s="15" t="n">
        <v>0</v>
      </c>
      <c r="AE598" s="15" t="n">
        <v>0</v>
      </c>
      <c r="AF598" s="15" t="n">
        <v>0</v>
      </c>
      <c r="AG598" s="15" t="n">
        <v>0</v>
      </c>
      <c r="AH598" s="15" t="n">
        <v>0</v>
      </c>
    </row>
    <row r="599" customFormat="false" ht="91" hidden="false" customHeight="false" outlineLevel="0" collapsed="false">
      <c r="A599" s="15" t="s">
        <v>4287</v>
      </c>
      <c r="B599" s="15" t="s">
        <v>38</v>
      </c>
      <c r="C599" s="15" t="s">
        <v>811</v>
      </c>
      <c r="D599" s="15" t="n">
        <v>43</v>
      </c>
      <c r="E599" s="15" t="s">
        <v>899</v>
      </c>
      <c r="F599" s="15" t="n">
        <v>0</v>
      </c>
      <c r="G599" s="15" t="s">
        <v>129</v>
      </c>
      <c r="H599" s="15" t="s">
        <v>130</v>
      </c>
      <c r="I599" s="3" t="s">
        <v>4288</v>
      </c>
      <c r="J599" s="3" t="s">
        <v>4289</v>
      </c>
      <c r="K599" s="15" t="s">
        <v>133</v>
      </c>
      <c r="L599" s="16" t="s">
        <v>7</v>
      </c>
      <c r="M599" s="15" t="s">
        <v>68</v>
      </c>
      <c r="N599" s="15" t="s">
        <v>82</v>
      </c>
      <c r="O599" s="15" t="s">
        <v>1459</v>
      </c>
      <c r="P599" s="15" t="s">
        <v>185</v>
      </c>
      <c r="Q599" s="15" t="s">
        <v>129</v>
      </c>
      <c r="R599" s="15" t="s">
        <v>135</v>
      </c>
      <c r="S599" s="15"/>
      <c r="T599" s="15"/>
      <c r="U599" s="3" t="s">
        <v>4290</v>
      </c>
      <c r="V599" s="3" t="s">
        <v>4291</v>
      </c>
      <c r="W599" s="3" t="s">
        <v>4292</v>
      </c>
      <c r="X599" s="3" t="s">
        <v>4293</v>
      </c>
      <c r="Y599" s="15" t="n">
        <v>0</v>
      </c>
      <c r="Z599" s="15" t="n">
        <v>1</v>
      </c>
      <c r="AA599" s="15" t="n">
        <v>0</v>
      </c>
      <c r="AB599" s="15" t="n">
        <v>0</v>
      </c>
      <c r="AC599" s="15" t="n">
        <v>1</v>
      </c>
      <c r="AD599" s="15" t="n">
        <v>0</v>
      </c>
      <c r="AE599" s="15" t="n">
        <v>0</v>
      </c>
      <c r="AF599" s="15" t="n">
        <v>0</v>
      </c>
      <c r="AG599" s="15" t="n">
        <v>0</v>
      </c>
      <c r="AH599" s="15" t="n">
        <v>1</v>
      </c>
    </row>
    <row r="600" customFormat="false" ht="35.05" hidden="false" customHeight="false" outlineLevel="0" collapsed="false">
      <c r="A600" s="15" t="s">
        <v>4294</v>
      </c>
      <c r="B600" s="15" t="s">
        <v>38</v>
      </c>
      <c r="C600" s="15" t="s">
        <v>811</v>
      </c>
      <c r="D600" s="15" t="n">
        <v>43</v>
      </c>
      <c r="E600" s="15" t="s">
        <v>899</v>
      </c>
      <c r="F600" s="15" t="n">
        <v>1</v>
      </c>
      <c r="G600" s="15" t="s">
        <v>141</v>
      </c>
      <c r="H600" s="15" t="s">
        <v>142</v>
      </c>
      <c r="I600" s="3" t="s">
        <v>4295</v>
      </c>
      <c r="J600" s="3" t="s">
        <v>4296</v>
      </c>
      <c r="K600" s="15" t="s">
        <v>145</v>
      </c>
      <c r="L600" s="16" t="s">
        <v>7</v>
      </c>
      <c r="M600" s="15" t="s">
        <v>68</v>
      </c>
      <c r="N600" s="15" t="s">
        <v>83</v>
      </c>
      <c r="O600" s="15" t="s">
        <v>4297</v>
      </c>
      <c r="P600" s="15" t="s">
        <v>185</v>
      </c>
      <c r="Q600" s="15" t="s">
        <v>141</v>
      </c>
      <c r="R600" s="15" t="s">
        <v>135</v>
      </c>
      <c r="S600" s="15"/>
      <c r="T600" s="15"/>
      <c r="U600" s="3" t="s">
        <v>4298</v>
      </c>
      <c r="V600" s="3" t="s">
        <v>4299</v>
      </c>
      <c r="W600" s="3" t="s">
        <v>4300</v>
      </c>
      <c r="X600" s="3" t="s">
        <v>4301</v>
      </c>
      <c r="Y600" s="15" t="n">
        <v>0</v>
      </c>
      <c r="Z600" s="15" t="n">
        <v>0</v>
      </c>
      <c r="AA600" s="15" t="n">
        <v>1</v>
      </c>
      <c r="AB600" s="15" t="n">
        <v>0</v>
      </c>
      <c r="AC600" s="15" t="n">
        <v>0</v>
      </c>
      <c r="AD600" s="15" t="n">
        <v>1</v>
      </c>
      <c r="AE600" s="15" t="n">
        <v>0</v>
      </c>
      <c r="AF600" s="15" t="n">
        <v>0</v>
      </c>
      <c r="AG600" s="15" t="n">
        <v>0</v>
      </c>
      <c r="AH600" s="15" t="n">
        <v>1</v>
      </c>
    </row>
    <row r="601" customFormat="false" ht="35.05" hidden="false" customHeight="false" outlineLevel="0" collapsed="false">
      <c r="A601" s="15" t="s">
        <v>4302</v>
      </c>
      <c r="B601" s="15" t="s">
        <v>38</v>
      </c>
      <c r="C601" s="15" t="s">
        <v>811</v>
      </c>
      <c r="D601" s="15" t="n">
        <v>43</v>
      </c>
      <c r="E601" s="15" t="s">
        <v>899</v>
      </c>
      <c r="F601" s="15" t="n">
        <v>2</v>
      </c>
      <c r="G601" s="15" t="s">
        <v>197</v>
      </c>
      <c r="H601" s="15" t="s">
        <v>142</v>
      </c>
      <c r="I601" s="3" t="s">
        <v>4303</v>
      </c>
      <c r="J601" s="3" t="s">
        <v>4304</v>
      </c>
      <c r="K601" s="15" t="s">
        <v>133</v>
      </c>
      <c r="L601" s="16" t="s">
        <v>7</v>
      </c>
      <c r="M601" s="15" t="s">
        <v>68</v>
      </c>
      <c r="N601" s="15" t="s">
        <v>84</v>
      </c>
      <c r="O601" s="15" t="s">
        <v>4305</v>
      </c>
      <c r="P601" s="15" t="s">
        <v>135</v>
      </c>
      <c r="Q601" s="15" t="s">
        <v>141</v>
      </c>
      <c r="R601" s="15" t="s">
        <v>135</v>
      </c>
      <c r="S601" s="15"/>
      <c r="T601" s="15"/>
      <c r="U601" s="3" t="s">
        <v>4306</v>
      </c>
      <c r="V601" s="3" t="s">
        <v>4307</v>
      </c>
      <c r="W601" s="3" t="s">
        <v>4308</v>
      </c>
      <c r="X601" s="3" t="s">
        <v>4309</v>
      </c>
      <c r="Y601" s="15" t="n">
        <v>0</v>
      </c>
      <c r="Z601" s="15" t="n">
        <v>0</v>
      </c>
      <c r="AA601" s="15" t="n">
        <v>1</v>
      </c>
      <c r="AB601" s="15" t="n">
        <v>1</v>
      </c>
      <c r="AC601" s="15" t="n">
        <v>0</v>
      </c>
      <c r="AD601" s="15" t="n">
        <v>0</v>
      </c>
      <c r="AE601" s="15" t="n">
        <v>0</v>
      </c>
      <c r="AF601" s="15" t="n">
        <v>1</v>
      </c>
      <c r="AG601" s="15" t="n">
        <v>0</v>
      </c>
      <c r="AH601" s="15" t="n">
        <v>1</v>
      </c>
    </row>
    <row r="602" customFormat="false" ht="23.85" hidden="false" customHeight="false" outlineLevel="0" collapsed="false">
      <c r="A602" s="15" t="s">
        <v>4310</v>
      </c>
      <c r="B602" s="15" t="s">
        <v>38</v>
      </c>
      <c r="C602" s="15" t="s">
        <v>811</v>
      </c>
      <c r="D602" s="15" t="n">
        <v>53</v>
      </c>
      <c r="E602" s="15" t="s">
        <v>921</v>
      </c>
      <c r="F602" s="15" t="n">
        <v>0</v>
      </c>
      <c r="G602" s="15" t="s">
        <v>129</v>
      </c>
      <c r="H602" s="15" t="s">
        <v>130</v>
      </c>
      <c r="I602" s="3" t="s">
        <v>4311</v>
      </c>
      <c r="J602" s="3" t="s">
        <v>3838</v>
      </c>
      <c r="K602" s="15" t="s">
        <v>133</v>
      </c>
      <c r="L602" s="18" t="s">
        <v>5</v>
      </c>
      <c r="M602" s="15" t="s">
        <v>426</v>
      </c>
      <c r="N602" s="15" t="s">
        <v>426</v>
      </c>
      <c r="O602" s="15"/>
      <c r="P602" s="15" t="s">
        <v>185</v>
      </c>
      <c r="Q602" s="15" t="s">
        <v>129</v>
      </c>
      <c r="R602" s="15" t="s">
        <v>185</v>
      </c>
      <c r="S602" s="15"/>
      <c r="T602" s="15"/>
      <c r="U602" s="3" t="s">
        <v>4312</v>
      </c>
      <c r="V602" s="3" t="s">
        <v>4313</v>
      </c>
      <c r="W602" s="3"/>
      <c r="X602" s="3"/>
      <c r="Y602" s="15" t="n">
        <v>0</v>
      </c>
      <c r="Z602" s="15" t="n">
        <v>0</v>
      </c>
      <c r="AA602" s="15" t="n">
        <v>0</v>
      </c>
      <c r="AB602" s="15" t="n">
        <v>0</v>
      </c>
      <c r="AC602" s="15" t="n">
        <v>0</v>
      </c>
      <c r="AD602" s="15" t="n">
        <v>0</v>
      </c>
      <c r="AE602" s="15" t="n">
        <v>0</v>
      </c>
      <c r="AF602" s="15" t="n">
        <v>0</v>
      </c>
      <c r="AG602" s="15" t="n">
        <v>0</v>
      </c>
      <c r="AH602" s="15" t="n">
        <v>0</v>
      </c>
    </row>
    <row r="603" customFormat="false" ht="46.25" hidden="false" customHeight="false" outlineLevel="0" collapsed="false">
      <c r="A603" s="15" t="s">
        <v>4314</v>
      </c>
      <c r="B603" s="15" t="s">
        <v>38</v>
      </c>
      <c r="C603" s="15" t="s">
        <v>811</v>
      </c>
      <c r="D603" s="15" t="n">
        <v>53</v>
      </c>
      <c r="E603" s="15" t="s">
        <v>921</v>
      </c>
      <c r="F603" s="15" t="n">
        <v>1</v>
      </c>
      <c r="G603" s="15" t="s">
        <v>197</v>
      </c>
      <c r="H603" s="15" t="s">
        <v>142</v>
      </c>
      <c r="I603" s="3" t="s">
        <v>4315</v>
      </c>
      <c r="J603" s="3" t="s">
        <v>4316</v>
      </c>
      <c r="K603" s="15" t="s">
        <v>145</v>
      </c>
      <c r="L603" s="16" t="s">
        <v>7</v>
      </c>
      <c r="M603" s="15" t="s">
        <v>66</v>
      </c>
      <c r="N603" s="15" t="s">
        <v>87</v>
      </c>
      <c r="O603" s="15" t="s">
        <v>3737</v>
      </c>
      <c r="P603" s="15" t="s">
        <v>135</v>
      </c>
      <c r="Q603" s="15" t="s">
        <v>129</v>
      </c>
      <c r="R603" s="15" t="s">
        <v>135</v>
      </c>
      <c r="S603" s="15"/>
      <c r="T603" s="15"/>
      <c r="U603" s="3" t="s">
        <v>4317</v>
      </c>
      <c r="V603" s="3" t="s">
        <v>4318</v>
      </c>
      <c r="W603" s="3"/>
      <c r="X603" s="3" t="s">
        <v>4319</v>
      </c>
      <c r="Y603" s="15" t="n">
        <v>0</v>
      </c>
      <c r="Z603" s="15" t="n">
        <v>0</v>
      </c>
      <c r="AA603" s="15" t="n">
        <v>0</v>
      </c>
      <c r="AB603" s="15" t="n">
        <v>0</v>
      </c>
      <c r="AC603" s="15" t="n">
        <v>0</v>
      </c>
      <c r="AD603" s="15" t="n">
        <v>0</v>
      </c>
      <c r="AE603" s="15" t="n">
        <v>1</v>
      </c>
      <c r="AF603" s="15" t="n">
        <v>1</v>
      </c>
      <c r="AG603" s="15" t="n">
        <v>0</v>
      </c>
      <c r="AH603" s="15" t="n">
        <v>0</v>
      </c>
    </row>
    <row r="604" customFormat="false" ht="35.05" hidden="false" customHeight="false" outlineLevel="0" collapsed="false">
      <c r="A604" s="15" t="s">
        <v>4320</v>
      </c>
      <c r="B604" s="15" t="s">
        <v>38</v>
      </c>
      <c r="C604" s="15" t="s">
        <v>811</v>
      </c>
      <c r="D604" s="15" t="n">
        <v>53</v>
      </c>
      <c r="E604" s="15" t="s">
        <v>921</v>
      </c>
      <c r="F604" s="15" t="n">
        <v>2</v>
      </c>
      <c r="G604" s="15" t="s">
        <v>141</v>
      </c>
      <c r="H604" s="15" t="s">
        <v>142</v>
      </c>
      <c r="I604" s="3" t="s">
        <v>4321</v>
      </c>
      <c r="J604" s="3" t="s">
        <v>4322</v>
      </c>
      <c r="K604" s="15" t="s">
        <v>133</v>
      </c>
      <c r="L604" s="16" t="s">
        <v>7</v>
      </c>
      <c r="M604" s="15" t="s">
        <v>66</v>
      </c>
      <c r="N604" s="15" t="s">
        <v>88</v>
      </c>
      <c r="O604" s="15" t="s">
        <v>88</v>
      </c>
      <c r="P604" s="15" t="s">
        <v>135</v>
      </c>
      <c r="Q604" s="15" t="s">
        <v>129</v>
      </c>
      <c r="R604" s="15" t="s">
        <v>185</v>
      </c>
      <c r="S604" s="15"/>
      <c r="T604" s="15"/>
      <c r="U604" s="3" t="s">
        <v>4323</v>
      </c>
      <c r="V604" s="3" t="s">
        <v>4324</v>
      </c>
      <c r="W604" s="3"/>
      <c r="X604" s="3" t="s">
        <v>4325</v>
      </c>
      <c r="Y604" s="15" t="n">
        <v>0</v>
      </c>
      <c r="Z604" s="15" t="n">
        <v>0</v>
      </c>
      <c r="AA604" s="15" t="n">
        <v>0</v>
      </c>
      <c r="AB604" s="15" t="n">
        <v>0</v>
      </c>
      <c r="AC604" s="15" t="n">
        <v>0</v>
      </c>
      <c r="AD604" s="15" t="n">
        <v>0</v>
      </c>
      <c r="AE604" s="15" t="n">
        <v>0</v>
      </c>
      <c r="AF604" s="15" t="n">
        <v>1</v>
      </c>
      <c r="AG604" s="15" t="n">
        <v>0</v>
      </c>
      <c r="AH604" s="15" t="n">
        <v>0</v>
      </c>
    </row>
    <row r="605" customFormat="false" ht="35.05" hidden="false" customHeight="false" outlineLevel="0" collapsed="false">
      <c r="A605" s="15" t="s">
        <v>4326</v>
      </c>
      <c r="B605" s="15" t="s">
        <v>38</v>
      </c>
      <c r="C605" s="15" t="s">
        <v>811</v>
      </c>
      <c r="D605" s="15" t="n">
        <v>54</v>
      </c>
      <c r="E605" s="15" t="s">
        <v>943</v>
      </c>
      <c r="F605" s="15" t="n">
        <v>0</v>
      </c>
      <c r="G605" s="15" t="s">
        <v>129</v>
      </c>
      <c r="H605" s="15" t="s">
        <v>130</v>
      </c>
      <c r="I605" s="3" t="s">
        <v>4327</v>
      </c>
      <c r="J605" s="3" t="s">
        <v>4328</v>
      </c>
      <c r="K605" s="15" t="s">
        <v>133</v>
      </c>
      <c r="L605" s="18" t="s">
        <v>5</v>
      </c>
      <c r="M605" s="15" t="s">
        <v>426</v>
      </c>
      <c r="N605" s="15" t="s">
        <v>426</v>
      </c>
      <c r="O605" s="15"/>
      <c r="P605" s="15" t="s">
        <v>185</v>
      </c>
      <c r="Q605" s="15" t="s">
        <v>129</v>
      </c>
      <c r="R605" s="15" t="s">
        <v>185</v>
      </c>
      <c r="S605" s="15"/>
      <c r="T605" s="15"/>
      <c r="U605" s="3" t="s">
        <v>4329</v>
      </c>
      <c r="V605" s="3" t="s">
        <v>4330</v>
      </c>
      <c r="W605" s="3"/>
      <c r="X605" s="3"/>
      <c r="Y605" s="15" t="n">
        <v>0</v>
      </c>
      <c r="Z605" s="15" t="n">
        <v>0</v>
      </c>
      <c r="AA605" s="15" t="n">
        <v>0</v>
      </c>
      <c r="AB605" s="15" t="n">
        <v>0</v>
      </c>
      <c r="AC605" s="15" t="n">
        <v>0</v>
      </c>
      <c r="AD605" s="15" t="n">
        <v>0</v>
      </c>
      <c r="AE605" s="15" t="n">
        <v>0</v>
      </c>
      <c r="AF605" s="15" t="n">
        <v>0</v>
      </c>
      <c r="AG605" s="15" t="n">
        <v>0</v>
      </c>
      <c r="AH605" s="15" t="n">
        <v>0</v>
      </c>
    </row>
    <row r="606" customFormat="false" ht="35.05" hidden="false" customHeight="false" outlineLevel="0" collapsed="false">
      <c r="A606" s="15" t="s">
        <v>4331</v>
      </c>
      <c r="B606" s="15" t="s">
        <v>38</v>
      </c>
      <c r="C606" s="15" t="s">
        <v>811</v>
      </c>
      <c r="D606" s="15" t="n">
        <v>54</v>
      </c>
      <c r="E606" s="15" t="s">
        <v>943</v>
      </c>
      <c r="F606" s="15" t="n">
        <v>1</v>
      </c>
      <c r="G606" s="15" t="s">
        <v>197</v>
      </c>
      <c r="H606" s="15" t="s">
        <v>142</v>
      </c>
      <c r="I606" s="3" t="s">
        <v>4332</v>
      </c>
      <c r="J606" s="3" t="s">
        <v>4333</v>
      </c>
      <c r="K606" s="15" t="s">
        <v>145</v>
      </c>
      <c r="L606" s="16" t="s">
        <v>7</v>
      </c>
      <c r="M606" s="15" t="s">
        <v>66</v>
      </c>
      <c r="N606" s="15" t="s">
        <v>88</v>
      </c>
      <c r="O606" s="15" t="s">
        <v>88</v>
      </c>
      <c r="P606" s="15" t="s">
        <v>135</v>
      </c>
      <c r="Q606" s="15" t="s">
        <v>129</v>
      </c>
      <c r="R606" s="15" t="s">
        <v>185</v>
      </c>
      <c r="S606" s="15"/>
      <c r="T606" s="15"/>
      <c r="U606" s="3" t="s">
        <v>4334</v>
      </c>
      <c r="V606" s="3" t="s">
        <v>4335</v>
      </c>
      <c r="W606" s="3"/>
      <c r="X606" s="3" t="s">
        <v>4336</v>
      </c>
      <c r="Y606" s="15" t="n">
        <v>0</v>
      </c>
      <c r="Z606" s="15" t="n">
        <v>0</v>
      </c>
      <c r="AA606" s="15" t="n">
        <v>0</v>
      </c>
      <c r="AB606" s="15" t="n">
        <v>0</v>
      </c>
      <c r="AC606" s="15" t="n">
        <v>0</v>
      </c>
      <c r="AD606" s="15" t="n">
        <v>0</v>
      </c>
      <c r="AE606" s="15" t="n">
        <v>0</v>
      </c>
      <c r="AF606" s="15" t="n">
        <v>1</v>
      </c>
      <c r="AG606" s="15" t="n">
        <v>0</v>
      </c>
      <c r="AH606" s="15" t="n">
        <v>0</v>
      </c>
    </row>
    <row r="607" customFormat="false" ht="35.05" hidden="false" customHeight="false" outlineLevel="0" collapsed="false">
      <c r="A607" s="15" t="s">
        <v>4337</v>
      </c>
      <c r="B607" s="15" t="s">
        <v>38</v>
      </c>
      <c r="C607" s="15" t="s">
        <v>811</v>
      </c>
      <c r="D607" s="15" t="n">
        <v>54</v>
      </c>
      <c r="E607" s="15" t="s">
        <v>943</v>
      </c>
      <c r="F607" s="15" t="n">
        <v>2</v>
      </c>
      <c r="G607" s="15" t="s">
        <v>141</v>
      </c>
      <c r="H607" s="15" t="s">
        <v>142</v>
      </c>
      <c r="I607" s="3" t="s">
        <v>4338</v>
      </c>
      <c r="J607" s="3" t="s">
        <v>4339</v>
      </c>
      <c r="K607" s="15" t="s">
        <v>133</v>
      </c>
      <c r="L607" s="16" t="s">
        <v>7</v>
      </c>
      <c r="M607" s="15" t="s">
        <v>66</v>
      </c>
      <c r="N607" s="15" t="s">
        <v>88</v>
      </c>
      <c r="O607" s="15" t="s">
        <v>88</v>
      </c>
      <c r="P607" s="15" t="s">
        <v>135</v>
      </c>
      <c r="Q607" s="15" t="s">
        <v>129</v>
      </c>
      <c r="R607" s="15" t="s">
        <v>185</v>
      </c>
      <c r="S607" s="15"/>
      <c r="T607" s="15"/>
      <c r="U607" s="3" t="s">
        <v>4340</v>
      </c>
      <c r="V607" s="3" t="s">
        <v>4341</v>
      </c>
      <c r="W607" s="3"/>
      <c r="X607" s="3" t="s">
        <v>4342</v>
      </c>
      <c r="Y607" s="15" t="n">
        <v>0</v>
      </c>
      <c r="Z607" s="15" t="n">
        <v>0</v>
      </c>
      <c r="AA607" s="15" t="n">
        <v>0</v>
      </c>
      <c r="AB607" s="15" t="n">
        <v>0</v>
      </c>
      <c r="AC607" s="15" t="n">
        <v>0</v>
      </c>
      <c r="AD607" s="15" t="n">
        <v>0</v>
      </c>
      <c r="AE607" s="15" t="n">
        <v>0</v>
      </c>
      <c r="AF607" s="15" t="n">
        <v>1</v>
      </c>
      <c r="AG607" s="15" t="n">
        <v>0</v>
      </c>
      <c r="AH607" s="15" t="n">
        <v>0</v>
      </c>
    </row>
    <row r="608" customFormat="false" ht="35.05" hidden="false" customHeight="false" outlineLevel="0" collapsed="false">
      <c r="A608" s="15" t="s">
        <v>4343</v>
      </c>
      <c r="B608" s="15" t="s">
        <v>38</v>
      </c>
      <c r="C608" s="15" t="s">
        <v>811</v>
      </c>
      <c r="D608" s="15" t="n">
        <v>57</v>
      </c>
      <c r="E608" s="15" t="s">
        <v>966</v>
      </c>
      <c r="F608" s="15" t="n">
        <v>0</v>
      </c>
      <c r="G608" s="15" t="s">
        <v>129</v>
      </c>
      <c r="H608" s="15" t="s">
        <v>130</v>
      </c>
      <c r="I608" s="3" t="s">
        <v>4344</v>
      </c>
      <c r="J608" s="3" t="s">
        <v>4345</v>
      </c>
      <c r="K608" s="15" t="s">
        <v>145</v>
      </c>
      <c r="L608" s="18" t="s">
        <v>5</v>
      </c>
      <c r="M608" s="15" t="s">
        <v>426</v>
      </c>
      <c r="N608" s="15" t="s">
        <v>426</v>
      </c>
      <c r="O608" s="15"/>
      <c r="P608" s="15" t="s">
        <v>185</v>
      </c>
      <c r="Q608" s="15" t="s">
        <v>129</v>
      </c>
      <c r="R608" s="15" t="s">
        <v>185</v>
      </c>
      <c r="S608" s="15"/>
      <c r="T608" s="15"/>
      <c r="U608" s="3" t="s">
        <v>4346</v>
      </c>
      <c r="V608" s="3" t="s">
        <v>4347</v>
      </c>
      <c r="W608" s="3"/>
      <c r="X608" s="3"/>
      <c r="Y608" s="15" t="n">
        <v>0</v>
      </c>
      <c r="Z608" s="15" t="n">
        <v>0</v>
      </c>
      <c r="AA608" s="15" t="n">
        <v>0</v>
      </c>
      <c r="AB608" s="15" t="n">
        <v>0</v>
      </c>
      <c r="AC608" s="15" t="n">
        <v>0</v>
      </c>
      <c r="AD608" s="15" t="n">
        <v>0</v>
      </c>
      <c r="AE608" s="15" t="n">
        <v>0</v>
      </c>
      <c r="AF608" s="15" t="n">
        <v>0</v>
      </c>
      <c r="AG608" s="15" t="n">
        <v>0</v>
      </c>
      <c r="AH608" s="15" t="n">
        <v>0</v>
      </c>
    </row>
    <row r="609" customFormat="false" ht="57.45" hidden="false" customHeight="false" outlineLevel="0" collapsed="false">
      <c r="A609" s="15" t="s">
        <v>4348</v>
      </c>
      <c r="B609" s="15" t="s">
        <v>38</v>
      </c>
      <c r="C609" s="15" t="s">
        <v>811</v>
      </c>
      <c r="D609" s="15" t="n">
        <v>57</v>
      </c>
      <c r="E609" s="15" t="s">
        <v>966</v>
      </c>
      <c r="F609" s="15" t="n">
        <v>1</v>
      </c>
      <c r="G609" s="15" t="s">
        <v>197</v>
      </c>
      <c r="H609" s="15" t="s">
        <v>142</v>
      </c>
      <c r="I609" s="3" t="s">
        <v>4349</v>
      </c>
      <c r="J609" s="3" t="s">
        <v>4350</v>
      </c>
      <c r="K609" s="15" t="s">
        <v>145</v>
      </c>
      <c r="L609" s="16" t="s">
        <v>7</v>
      </c>
      <c r="M609" s="15" t="s">
        <v>66</v>
      </c>
      <c r="N609" s="15" t="s">
        <v>88</v>
      </c>
      <c r="O609" s="15" t="s">
        <v>231</v>
      </c>
      <c r="P609" s="15" t="s">
        <v>135</v>
      </c>
      <c r="Q609" s="15" t="s">
        <v>129</v>
      </c>
      <c r="R609" s="15" t="s">
        <v>185</v>
      </c>
      <c r="S609" s="15"/>
      <c r="T609" s="15"/>
      <c r="U609" s="3" t="s">
        <v>4351</v>
      </c>
      <c r="V609" s="3" t="s">
        <v>4352</v>
      </c>
      <c r="W609" s="3" t="s">
        <v>4353</v>
      </c>
      <c r="X609" s="3" t="s">
        <v>4354</v>
      </c>
      <c r="Y609" s="15" t="n">
        <v>0</v>
      </c>
      <c r="Z609" s="15" t="n">
        <v>0</v>
      </c>
      <c r="AA609" s="15" t="n">
        <v>0</v>
      </c>
      <c r="AB609" s="15" t="n">
        <v>0</v>
      </c>
      <c r="AC609" s="15" t="n">
        <v>0</v>
      </c>
      <c r="AD609" s="15" t="n">
        <v>0</v>
      </c>
      <c r="AE609" s="15" t="n">
        <v>0</v>
      </c>
      <c r="AF609" s="15" t="n">
        <v>1</v>
      </c>
      <c r="AG609" s="15" t="n">
        <v>0</v>
      </c>
      <c r="AH609" s="15" t="n">
        <v>1</v>
      </c>
    </row>
    <row r="610" customFormat="false" ht="57.45" hidden="false" customHeight="false" outlineLevel="0" collapsed="false">
      <c r="A610" s="15" t="s">
        <v>4355</v>
      </c>
      <c r="B610" s="15" t="s">
        <v>38</v>
      </c>
      <c r="C610" s="15" t="s">
        <v>811</v>
      </c>
      <c r="D610" s="15" t="n">
        <v>57</v>
      </c>
      <c r="E610" s="15" t="s">
        <v>966</v>
      </c>
      <c r="F610" s="15" t="n">
        <v>2</v>
      </c>
      <c r="G610" s="15" t="s">
        <v>141</v>
      </c>
      <c r="H610" s="15" t="s">
        <v>142</v>
      </c>
      <c r="I610" s="3" t="s">
        <v>4356</v>
      </c>
      <c r="J610" s="3" t="s">
        <v>4357</v>
      </c>
      <c r="K610" s="15" t="s">
        <v>145</v>
      </c>
      <c r="L610" s="16" t="s">
        <v>7</v>
      </c>
      <c r="M610" s="15" t="s">
        <v>66</v>
      </c>
      <c r="N610" s="15" t="s">
        <v>84</v>
      </c>
      <c r="O610" s="15" t="s">
        <v>4358</v>
      </c>
      <c r="P610" s="15" t="s">
        <v>135</v>
      </c>
      <c r="Q610" s="15" t="s">
        <v>129</v>
      </c>
      <c r="R610" s="15" t="s">
        <v>135</v>
      </c>
      <c r="S610" s="15"/>
      <c r="T610" s="15"/>
      <c r="U610" s="3" t="s">
        <v>4359</v>
      </c>
      <c r="V610" s="3" t="s">
        <v>4360</v>
      </c>
      <c r="W610" s="3"/>
      <c r="X610" s="3" t="s">
        <v>4361</v>
      </c>
      <c r="Y610" s="15" t="n">
        <v>0</v>
      </c>
      <c r="Z610" s="15" t="n">
        <v>0</v>
      </c>
      <c r="AA610" s="15" t="n">
        <v>0</v>
      </c>
      <c r="AB610" s="15" t="n">
        <v>1</v>
      </c>
      <c r="AC610" s="15" t="n">
        <v>0</v>
      </c>
      <c r="AD610" s="15" t="n">
        <v>0</v>
      </c>
      <c r="AE610" s="15" t="n">
        <v>1</v>
      </c>
      <c r="AF610" s="15" t="n">
        <v>1</v>
      </c>
      <c r="AG610" s="15" t="n">
        <v>0</v>
      </c>
      <c r="AH610" s="15" t="n">
        <v>0</v>
      </c>
    </row>
    <row r="611" customFormat="false" ht="46.25" hidden="false" customHeight="false" outlineLevel="0" collapsed="false">
      <c r="A611" s="15" t="s">
        <v>4362</v>
      </c>
      <c r="B611" s="15" t="s">
        <v>38</v>
      </c>
      <c r="C611" s="15" t="s">
        <v>811</v>
      </c>
      <c r="D611" s="15" t="n">
        <v>65</v>
      </c>
      <c r="E611" s="15" t="s">
        <v>986</v>
      </c>
      <c r="F611" s="15" t="n">
        <v>0</v>
      </c>
      <c r="G611" s="15" t="s">
        <v>129</v>
      </c>
      <c r="H611" s="15" t="s">
        <v>130</v>
      </c>
      <c r="I611" s="3" t="s">
        <v>4363</v>
      </c>
      <c r="J611" s="3" t="s">
        <v>4364</v>
      </c>
      <c r="K611" s="15" t="s">
        <v>133</v>
      </c>
      <c r="L611" s="18" t="s">
        <v>5</v>
      </c>
      <c r="M611" s="15" t="s">
        <v>426</v>
      </c>
      <c r="N611" s="15" t="s">
        <v>426</v>
      </c>
      <c r="O611" s="15"/>
      <c r="P611" s="15" t="s">
        <v>185</v>
      </c>
      <c r="Q611" s="15" t="s">
        <v>129</v>
      </c>
      <c r="R611" s="15" t="s">
        <v>185</v>
      </c>
      <c r="S611" s="15"/>
      <c r="T611" s="15"/>
      <c r="U611" s="3" t="s">
        <v>4365</v>
      </c>
      <c r="V611" s="3" t="s">
        <v>4366</v>
      </c>
      <c r="W611" s="3"/>
      <c r="X611" s="3"/>
      <c r="Y611" s="15" t="n">
        <v>0</v>
      </c>
      <c r="Z611" s="15" t="n">
        <v>0</v>
      </c>
      <c r="AA611" s="15" t="n">
        <v>0</v>
      </c>
      <c r="AB611" s="15" t="n">
        <v>0</v>
      </c>
      <c r="AC611" s="15" t="n">
        <v>0</v>
      </c>
      <c r="AD611" s="15" t="n">
        <v>0</v>
      </c>
      <c r="AE611" s="15" t="n">
        <v>0</v>
      </c>
      <c r="AF611" s="15" t="n">
        <v>0</v>
      </c>
      <c r="AG611" s="15" t="n">
        <v>0</v>
      </c>
      <c r="AH611" s="15" t="n">
        <v>0</v>
      </c>
    </row>
    <row r="612" customFormat="false" ht="35.05" hidden="false" customHeight="false" outlineLevel="0" collapsed="false">
      <c r="A612" s="15" t="s">
        <v>4367</v>
      </c>
      <c r="B612" s="15" t="s">
        <v>38</v>
      </c>
      <c r="C612" s="15" t="s">
        <v>811</v>
      </c>
      <c r="D612" s="15" t="n">
        <v>65</v>
      </c>
      <c r="E612" s="15" t="s">
        <v>986</v>
      </c>
      <c r="F612" s="15" t="n">
        <v>1</v>
      </c>
      <c r="G612" s="15" t="s">
        <v>197</v>
      </c>
      <c r="H612" s="15" t="s">
        <v>142</v>
      </c>
      <c r="I612" s="3" t="s">
        <v>4368</v>
      </c>
      <c r="J612" s="3" t="s">
        <v>4369</v>
      </c>
      <c r="K612" s="15" t="s">
        <v>145</v>
      </c>
      <c r="L612" s="16" t="s">
        <v>7</v>
      </c>
      <c r="M612" s="15" t="s">
        <v>66</v>
      </c>
      <c r="N612" s="15" t="s">
        <v>88</v>
      </c>
      <c r="O612" s="15" t="s">
        <v>88</v>
      </c>
      <c r="P612" s="15" t="s">
        <v>135</v>
      </c>
      <c r="Q612" s="15" t="s">
        <v>129</v>
      </c>
      <c r="R612" s="15" t="s">
        <v>185</v>
      </c>
      <c r="S612" s="15"/>
      <c r="T612" s="15"/>
      <c r="U612" s="3" t="s">
        <v>4370</v>
      </c>
      <c r="V612" s="3" t="s">
        <v>4371</v>
      </c>
      <c r="W612" s="3"/>
      <c r="X612" s="3" t="s">
        <v>4372</v>
      </c>
      <c r="Y612" s="15" t="n">
        <v>0</v>
      </c>
      <c r="Z612" s="15" t="n">
        <v>0</v>
      </c>
      <c r="AA612" s="15" t="n">
        <v>0</v>
      </c>
      <c r="AB612" s="15" t="n">
        <v>0</v>
      </c>
      <c r="AC612" s="15" t="n">
        <v>0</v>
      </c>
      <c r="AD612" s="15" t="n">
        <v>0</v>
      </c>
      <c r="AE612" s="15" t="n">
        <v>0</v>
      </c>
      <c r="AF612" s="15" t="n">
        <v>1</v>
      </c>
      <c r="AG612" s="15" t="n">
        <v>0</v>
      </c>
      <c r="AH612" s="15" t="n">
        <v>0</v>
      </c>
    </row>
    <row r="613" customFormat="false" ht="46.25" hidden="false" customHeight="false" outlineLevel="0" collapsed="false">
      <c r="A613" s="15" t="s">
        <v>4373</v>
      </c>
      <c r="B613" s="15" t="s">
        <v>38</v>
      </c>
      <c r="C613" s="15" t="s">
        <v>811</v>
      </c>
      <c r="D613" s="15" t="n">
        <v>65</v>
      </c>
      <c r="E613" s="15" t="s">
        <v>986</v>
      </c>
      <c r="F613" s="15" t="n">
        <v>2</v>
      </c>
      <c r="G613" s="15" t="s">
        <v>141</v>
      </c>
      <c r="H613" s="15" t="s">
        <v>142</v>
      </c>
      <c r="I613" s="3" t="s">
        <v>4374</v>
      </c>
      <c r="J613" s="3" t="s">
        <v>4375</v>
      </c>
      <c r="K613" s="15" t="s">
        <v>145</v>
      </c>
      <c r="L613" s="16" t="s">
        <v>7</v>
      </c>
      <c r="M613" s="15" t="s">
        <v>68</v>
      </c>
      <c r="N613" s="15" t="s">
        <v>82</v>
      </c>
      <c r="O613" s="15" t="s">
        <v>215</v>
      </c>
      <c r="P613" s="15" t="s">
        <v>135</v>
      </c>
      <c r="Q613" s="15" t="s">
        <v>129</v>
      </c>
      <c r="R613" s="15" t="s">
        <v>135</v>
      </c>
      <c r="S613" s="15"/>
      <c r="T613" s="15"/>
      <c r="U613" s="3" t="s">
        <v>4376</v>
      </c>
      <c r="V613" s="3" t="s">
        <v>4377</v>
      </c>
      <c r="W613" s="3"/>
      <c r="X613" s="3" t="s">
        <v>4378</v>
      </c>
      <c r="Y613" s="15" t="n">
        <v>0</v>
      </c>
      <c r="Z613" s="15" t="n">
        <v>1</v>
      </c>
      <c r="AA613" s="15" t="n">
        <v>0</v>
      </c>
      <c r="AB613" s="15" t="n">
        <v>0</v>
      </c>
      <c r="AC613" s="15" t="n">
        <v>0</v>
      </c>
      <c r="AD613" s="15" t="n">
        <v>0</v>
      </c>
      <c r="AE613" s="15" t="n">
        <v>0</v>
      </c>
      <c r="AF613" s="15" t="n">
        <v>1</v>
      </c>
      <c r="AG613" s="15" t="n">
        <v>0</v>
      </c>
      <c r="AH613" s="15" t="n">
        <v>0</v>
      </c>
    </row>
    <row r="614" customFormat="false" ht="35.05" hidden="false" customHeight="false" outlineLevel="0" collapsed="false">
      <c r="A614" s="15" t="s">
        <v>4379</v>
      </c>
      <c r="B614" s="15" t="s">
        <v>38</v>
      </c>
      <c r="C614" s="15" t="s">
        <v>811</v>
      </c>
      <c r="D614" s="15" t="n">
        <v>97</v>
      </c>
      <c r="E614" s="15" t="s">
        <v>1004</v>
      </c>
      <c r="F614" s="15" t="n">
        <v>0</v>
      </c>
      <c r="G614" s="15" t="s">
        <v>152</v>
      </c>
      <c r="H614" s="15" t="s">
        <v>142</v>
      </c>
      <c r="I614" s="3" t="s">
        <v>4380</v>
      </c>
      <c r="J614" s="3" t="s">
        <v>4381</v>
      </c>
      <c r="K614" s="15" t="s">
        <v>133</v>
      </c>
      <c r="L614" s="16" t="s">
        <v>7</v>
      </c>
      <c r="M614" s="15" t="s">
        <v>66</v>
      </c>
      <c r="N614" s="15" t="s">
        <v>88</v>
      </c>
      <c r="O614" s="15" t="s">
        <v>231</v>
      </c>
      <c r="P614" s="15" t="s">
        <v>135</v>
      </c>
      <c r="Q614" s="15" t="s">
        <v>129</v>
      </c>
      <c r="R614" s="15" t="s">
        <v>185</v>
      </c>
      <c r="S614" s="15"/>
      <c r="T614" s="15"/>
      <c r="U614" s="3" t="s">
        <v>4382</v>
      </c>
      <c r="V614" s="3" t="s">
        <v>4383</v>
      </c>
      <c r="W614" s="3" t="s">
        <v>4384</v>
      </c>
      <c r="X614" s="3" t="s">
        <v>4385</v>
      </c>
      <c r="Y614" s="15" t="n">
        <v>0</v>
      </c>
      <c r="Z614" s="15" t="n">
        <v>0</v>
      </c>
      <c r="AA614" s="15" t="n">
        <v>0</v>
      </c>
      <c r="AB614" s="15" t="n">
        <v>0</v>
      </c>
      <c r="AC614" s="15" t="n">
        <v>0</v>
      </c>
      <c r="AD614" s="15" t="n">
        <v>0</v>
      </c>
      <c r="AE614" s="15" t="n">
        <v>0</v>
      </c>
      <c r="AF614" s="15" t="n">
        <v>1</v>
      </c>
      <c r="AG614" s="15" t="n">
        <v>0</v>
      </c>
      <c r="AH614" s="15" t="n">
        <v>1</v>
      </c>
    </row>
    <row r="615" customFormat="false" ht="35.05" hidden="false" customHeight="false" outlineLevel="0" collapsed="false">
      <c r="A615" s="15" t="s">
        <v>4386</v>
      </c>
      <c r="B615" s="15" t="s">
        <v>38</v>
      </c>
      <c r="C615" s="15" t="s">
        <v>811</v>
      </c>
      <c r="D615" s="15" t="n">
        <v>97</v>
      </c>
      <c r="E615" s="15" t="s">
        <v>1004</v>
      </c>
      <c r="F615" s="15" t="n">
        <v>1</v>
      </c>
      <c r="G615" s="15" t="s">
        <v>307</v>
      </c>
      <c r="H615" s="15" t="s">
        <v>308</v>
      </c>
      <c r="I615" s="3" t="s">
        <v>4387</v>
      </c>
      <c r="J615" s="3" t="s">
        <v>4388</v>
      </c>
      <c r="K615" s="15" t="s">
        <v>145</v>
      </c>
      <c r="L615" s="16" t="s">
        <v>7</v>
      </c>
      <c r="M615" s="15" t="s">
        <v>66</v>
      </c>
      <c r="N615" s="15" t="s">
        <v>85</v>
      </c>
      <c r="O615" s="15" t="s">
        <v>146</v>
      </c>
      <c r="P615" s="15" t="s">
        <v>135</v>
      </c>
      <c r="Q615" s="15" t="s">
        <v>307</v>
      </c>
      <c r="R615" s="15" t="s">
        <v>135</v>
      </c>
      <c r="S615" s="15"/>
      <c r="T615" s="15"/>
      <c r="U615" s="3" t="s">
        <v>4389</v>
      </c>
      <c r="V615" s="3" t="s">
        <v>4390</v>
      </c>
      <c r="W615" s="3" t="s">
        <v>4391</v>
      </c>
      <c r="X615" s="3" t="s">
        <v>4392</v>
      </c>
      <c r="Y615" s="15" t="n">
        <v>0</v>
      </c>
      <c r="Z615" s="15" t="n">
        <v>0</v>
      </c>
      <c r="AA615" s="15" t="n">
        <v>0</v>
      </c>
      <c r="AB615" s="15" t="n">
        <v>0</v>
      </c>
      <c r="AC615" s="15" t="n">
        <v>1</v>
      </c>
      <c r="AD615" s="15" t="n">
        <v>0</v>
      </c>
      <c r="AE615" s="15" t="n">
        <v>0</v>
      </c>
      <c r="AF615" s="15" t="n">
        <v>1</v>
      </c>
      <c r="AG615" s="15" t="n">
        <v>0</v>
      </c>
      <c r="AH615" s="15" t="n">
        <v>0</v>
      </c>
    </row>
    <row r="616" customFormat="false" ht="35.05" hidden="false" customHeight="false" outlineLevel="0" collapsed="false">
      <c r="A616" s="15" t="s">
        <v>4393</v>
      </c>
      <c r="B616" s="15" t="s">
        <v>38</v>
      </c>
      <c r="C616" s="15" t="s">
        <v>811</v>
      </c>
      <c r="D616" s="15" t="n">
        <v>97</v>
      </c>
      <c r="E616" s="15" t="s">
        <v>1004</v>
      </c>
      <c r="F616" s="15" t="n">
        <v>2</v>
      </c>
      <c r="G616" s="15" t="s">
        <v>129</v>
      </c>
      <c r="H616" s="15" t="s">
        <v>130</v>
      </c>
      <c r="I616" s="3" t="s">
        <v>4394</v>
      </c>
      <c r="J616" s="3" t="s">
        <v>4395</v>
      </c>
      <c r="K616" s="15" t="s">
        <v>133</v>
      </c>
      <c r="L616" s="16" t="s">
        <v>7</v>
      </c>
      <c r="M616" s="15" t="s">
        <v>68</v>
      </c>
      <c r="N616" s="15" t="s">
        <v>82</v>
      </c>
      <c r="O616" s="15" t="s">
        <v>549</v>
      </c>
      <c r="P616" s="15" t="s">
        <v>185</v>
      </c>
      <c r="Q616" s="15" t="s">
        <v>129</v>
      </c>
      <c r="R616" s="15" t="s">
        <v>135</v>
      </c>
      <c r="S616" s="15"/>
      <c r="T616" s="15"/>
      <c r="U616" s="3" t="s">
        <v>4396</v>
      </c>
      <c r="V616" s="3" t="s">
        <v>4397</v>
      </c>
      <c r="W616" s="3" t="s">
        <v>4398</v>
      </c>
      <c r="X616" s="3" t="s">
        <v>4399</v>
      </c>
      <c r="Y616" s="15" t="n">
        <v>0</v>
      </c>
      <c r="Z616" s="15" t="n">
        <v>1</v>
      </c>
      <c r="AA616" s="15" t="n">
        <v>0</v>
      </c>
      <c r="AB616" s="15" t="n">
        <v>0</v>
      </c>
      <c r="AC616" s="15" t="n">
        <v>0</v>
      </c>
      <c r="AD616" s="15" t="n">
        <v>0</v>
      </c>
      <c r="AE616" s="15" t="n">
        <v>0</v>
      </c>
      <c r="AF616" s="15" t="n">
        <v>0</v>
      </c>
      <c r="AG616" s="15" t="n">
        <v>0</v>
      </c>
      <c r="AH616" s="15" t="n">
        <v>1</v>
      </c>
    </row>
    <row r="617" customFormat="false" ht="35.05" hidden="false" customHeight="false" outlineLevel="0" collapsed="false">
      <c r="A617" s="15" t="s">
        <v>4400</v>
      </c>
      <c r="B617" s="15" t="s">
        <v>38</v>
      </c>
      <c r="C617" s="15" t="s">
        <v>811</v>
      </c>
      <c r="D617" s="15" t="n">
        <v>101</v>
      </c>
      <c r="E617" s="15" t="s">
        <v>1025</v>
      </c>
      <c r="F617" s="15" t="n">
        <v>0</v>
      </c>
      <c r="G617" s="15" t="s">
        <v>129</v>
      </c>
      <c r="H617" s="15" t="s">
        <v>130</v>
      </c>
      <c r="I617" s="3" t="s">
        <v>4401</v>
      </c>
      <c r="J617" s="3" t="s">
        <v>4402</v>
      </c>
      <c r="K617" s="15" t="s">
        <v>133</v>
      </c>
      <c r="L617" s="16" t="s">
        <v>7</v>
      </c>
      <c r="M617" s="15" t="s">
        <v>66</v>
      </c>
      <c r="N617" s="15" t="s">
        <v>90</v>
      </c>
      <c r="O617" s="15" t="s">
        <v>293</v>
      </c>
      <c r="P617" s="15" t="s">
        <v>185</v>
      </c>
      <c r="Q617" s="15" t="s">
        <v>129</v>
      </c>
      <c r="R617" s="15" t="s">
        <v>135</v>
      </c>
      <c r="S617" s="15"/>
      <c r="T617" s="15"/>
      <c r="U617" s="3" t="s">
        <v>4403</v>
      </c>
      <c r="V617" s="3" t="s">
        <v>4404</v>
      </c>
      <c r="W617" s="3" t="s">
        <v>4405</v>
      </c>
      <c r="X617" s="3" t="s">
        <v>4406</v>
      </c>
      <c r="Y617" s="15" t="n">
        <v>0</v>
      </c>
      <c r="Z617" s="15" t="n">
        <v>0</v>
      </c>
      <c r="AA617" s="15" t="n">
        <v>0</v>
      </c>
      <c r="AB617" s="15" t="n">
        <v>0</v>
      </c>
      <c r="AC617" s="15" t="n">
        <v>0</v>
      </c>
      <c r="AD617" s="15" t="n">
        <v>0</v>
      </c>
      <c r="AE617" s="15" t="n">
        <v>1</v>
      </c>
      <c r="AF617" s="15" t="n">
        <v>0</v>
      </c>
      <c r="AG617" s="15" t="n">
        <v>0</v>
      </c>
      <c r="AH617" s="15" t="n">
        <v>1</v>
      </c>
    </row>
    <row r="618" customFormat="false" ht="57.45" hidden="false" customHeight="false" outlineLevel="0" collapsed="false">
      <c r="A618" s="15" t="s">
        <v>4407</v>
      </c>
      <c r="B618" s="15" t="s">
        <v>38</v>
      </c>
      <c r="C618" s="15" t="s">
        <v>811</v>
      </c>
      <c r="D618" s="15" t="n">
        <v>101</v>
      </c>
      <c r="E618" s="15" t="s">
        <v>1025</v>
      </c>
      <c r="F618" s="15" t="n">
        <v>1</v>
      </c>
      <c r="G618" s="15" t="s">
        <v>197</v>
      </c>
      <c r="H618" s="15" t="s">
        <v>142</v>
      </c>
      <c r="I618" s="3" t="s">
        <v>4408</v>
      </c>
      <c r="J618" s="3" t="s">
        <v>4409</v>
      </c>
      <c r="K618" s="15" t="s">
        <v>145</v>
      </c>
      <c r="L618" s="16" t="s">
        <v>7</v>
      </c>
      <c r="M618" s="15" t="s">
        <v>68</v>
      </c>
      <c r="N618" s="15" t="s">
        <v>84</v>
      </c>
      <c r="O618" s="15" t="s">
        <v>3165</v>
      </c>
      <c r="P618" s="15" t="s">
        <v>135</v>
      </c>
      <c r="Q618" s="15" t="s">
        <v>129</v>
      </c>
      <c r="R618" s="15" t="s">
        <v>135</v>
      </c>
      <c r="S618" s="15"/>
      <c r="T618" s="15"/>
      <c r="U618" s="3" t="s">
        <v>4410</v>
      </c>
      <c r="V618" s="3" t="s">
        <v>4411</v>
      </c>
      <c r="W618" s="3" t="s">
        <v>4412</v>
      </c>
      <c r="X618" s="3" t="s">
        <v>4409</v>
      </c>
      <c r="Y618" s="15" t="n">
        <v>0</v>
      </c>
      <c r="Z618" s="15" t="n">
        <v>0</v>
      </c>
      <c r="AA618" s="15" t="n">
        <v>0</v>
      </c>
      <c r="AB618" s="15" t="n">
        <v>1</v>
      </c>
      <c r="AC618" s="15" t="n">
        <v>0</v>
      </c>
      <c r="AD618" s="15" t="n">
        <v>0</v>
      </c>
      <c r="AE618" s="15" t="n">
        <v>0</v>
      </c>
      <c r="AF618" s="15" t="n">
        <v>1</v>
      </c>
      <c r="AG618" s="15" t="n">
        <v>0</v>
      </c>
      <c r="AH618" s="15" t="n">
        <v>0</v>
      </c>
    </row>
    <row r="619" customFormat="false" ht="35.05" hidden="false" customHeight="false" outlineLevel="0" collapsed="false">
      <c r="A619" s="15" t="s">
        <v>4413</v>
      </c>
      <c r="B619" s="15" t="s">
        <v>38</v>
      </c>
      <c r="C619" s="15" t="s">
        <v>811</v>
      </c>
      <c r="D619" s="15" t="n">
        <v>101</v>
      </c>
      <c r="E619" s="15" t="s">
        <v>1025</v>
      </c>
      <c r="F619" s="15" t="n">
        <v>2</v>
      </c>
      <c r="G619" s="15" t="s">
        <v>141</v>
      </c>
      <c r="H619" s="15" t="s">
        <v>142</v>
      </c>
      <c r="I619" s="3" t="s">
        <v>4414</v>
      </c>
      <c r="J619" s="3" t="s">
        <v>4415</v>
      </c>
      <c r="K619" s="15" t="s">
        <v>133</v>
      </c>
      <c r="L619" s="16" t="s">
        <v>7</v>
      </c>
      <c r="M619" s="15" t="s">
        <v>68</v>
      </c>
      <c r="N619" s="15" t="s">
        <v>82</v>
      </c>
      <c r="O619" s="15" t="s">
        <v>215</v>
      </c>
      <c r="P619" s="15" t="s">
        <v>135</v>
      </c>
      <c r="Q619" s="15" t="s">
        <v>129</v>
      </c>
      <c r="R619" s="15" t="s">
        <v>135</v>
      </c>
      <c r="S619" s="15"/>
      <c r="T619" s="15"/>
      <c r="U619" s="3" t="s">
        <v>4416</v>
      </c>
      <c r="V619" s="3" t="s">
        <v>4417</v>
      </c>
      <c r="W619" s="3"/>
      <c r="X619" s="3" t="s">
        <v>4418</v>
      </c>
      <c r="Y619" s="15" t="n">
        <v>0</v>
      </c>
      <c r="Z619" s="15" t="n">
        <v>1</v>
      </c>
      <c r="AA619" s="15" t="n">
        <v>0</v>
      </c>
      <c r="AB619" s="15" t="n">
        <v>0</v>
      </c>
      <c r="AC619" s="15" t="n">
        <v>0</v>
      </c>
      <c r="AD619" s="15" t="n">
        <v>0</v>
      </c>
      <c r="AE619" s="15" t="n">
        <v>0</v>
      </c>
      <c r="AF619" s="15" t="n">
        <v>1</v>
      </c>
      <c r="AG619" s="15" t="n">
        <v>0</v>
      </c>
      <c r="AH619" s="15" t="n">
        <v>0</v>
      </c>
    </row>
    <row r="620" customFormat="false" ht="46.25" hidden="false" customHeight="false" outlineLevel="0" collapsed="false">
      <c r="A620" s="15" t="s">
        <v>4419</v>
      </c>
      <c r="B620" s="15" t="s">
        <v>38</v>
      </c>
      <c r="C620" s="15" t="s">
        <v>811</v>
      </c>
      <c r="D620" s="15" t="n">
        <v>103</v>
      </c>
      <c r="E620" s="15" t="s">
        <v>1048</v>
      </c>
      <c r="F620" s="15" t="n">
        <v>0</v>
      </c>
      <c r="G620" s="15" t="s">
        <v>152</v>
      </c>
      <c r="H620" s="15" t="s">
        <v>142</v>
      </c>
      <c r="I620" s="3" t="s">
        <v>4420</v>
      </c>
      <c r="J620" s="3" t="s">
        <v>4421</v>
      </c>
      <c r="K620" s="15" t="s">
        <v>133</v>
      </c>
      <c r="L620" s="17" t="s">
        <v>9</v>
      </c>
      <c r="M620" s="15" t="s">
        <v>70</v>
      </c>
      <c r="N620" s="15" t="s">
        <v>81</v>
      </c>
      <c r="O620" s="15" t="s">
        <v>81</v>
      </c>
      <c r="P620" s="15" t="s">
        <v>135</v>
      </c>
      <c r="Q620" s="15" t="s">
        <v>152</v>
      </c>
      <c r="R620" s="15" t="s">
        <v>135</v>
      </c>
      <c r="S620" s="15" t="s">
        <v>405</v>
      </c>
      <c r="T620" s="15" t="s">
        <v>342</v>
      </c>
      <c r="U620" s="3" t="s">
        <v>4422</v>
      </c>
      <c r="V620" s="3" t="s">
        <v>4423</v>
      </c>
      <c r="W620" s="3"/>
      <c r="X620" s="3"/>
      <c r="Y620" s="15" t="n">
        <v>1</v>
      </c>
      <c r="Z620" s="15" t="n">
        <v>0</v>
      </c>
      <c r="AA620" s="15" t="n">
        <v>0</v>
      </c>
      <c r="AB620" s="15" t="n">
        <v>0</v>
      </c>
      <c r="AC620" s="15" t="n">
        <v>0</v>
      </c>
      <c r="AD620" s="15" t="n">
        <v>0</v>
      </c>
      <c r="AE620" s="15" t="n">
        <v>0</v>
      </c>
      <c r="AF620" s="15" t="n">
        <v>0</v>
      </c>
      <c r="AG620" s="15" t="n">
        <v>0</v>
      </c>
      <c r="AH620" s="15" t="n">
        <v>0</v>
      </c>
    </row>
    <row r="621" customFormat="false" ht="57.45" hidden="false" customHeight="false" outlineLevel="0" collapsed="false">
      <c r="A621" s="15" t="s">
        <v>4424</v>
      </c>
      <c r="B621" s="15" t="s">
        <v>38</v>
      </c>
      <c r="C621" s="15" t="s">
        <v>811</v>
      </c>
      <c r="D621" s="15" t="n">
        <v>103</v>
      </c>
      <c r="E621" s="15" t="s">
        <v>1048</v>
      </c>
      <c r="F621" s="15" t="n">
        <v>1</v>
      </c>
      <c r="G621" s="15" t="s">
        <v>129</v>
      </c>
      <c r="H621" s="15" t="s">
        <v>130</v>
      </c>
      <c r="I621" s="3" t="s">
        <v>4425</v>
      </c>
      <c r="J621" s="3" t="s">
        <v>4421</v>
      </c>
      <c r="K621" s="15" t="s">
        <v>145</v>
      </c>
      <c r="L621" s="16" t="s">
        <v>7</v>
      </c>
      <c r="M621" s="15" t="s">
        <v>68</v>
      </c>
      <c r="N621" s="15" t="s">
        <v>87</v>
      </c>
      <c r="O621" s="15" t="s">
        <v>87</v>
      </c>
      <c r="P621" s="15" t="s">
        <v>185</v>
      </c>
      <c r="Q621" s="15" t="s">
        <v>129</v>
      </c>
      <c r="R621" s="15" t="s">
        <v>135</v>
      </c>
      <c r="S621" s="15"/>
      <c r="T621" s="15"/>
      <c r="U621" s="3" t="s">
        <v>4426</v>
      </c>
      <c r="V621" s="3" t="s">
        <v>4427</v>
      </c>
      <c r="W621" s="3"/>
      <c r="X621" s="3" t="s">
        <v>4428</v>
      </c>
      <c r="Y621" s="15" t="n">
        <v>0</v>
      </c>
      <c r="Z621" s="15" t="n">
        <v>0</v>
      </c>
      <c r="AA621" s="15" t="n">
        <v>0</v>
      </c>
      <c r="AB621" s="15" t="n">
        <v>0</v>
      </c>
      <c r="AC621" s="15" t="n">
        <v>0</v>
      </c>
      <c r="AD621" s="15" t="n">
        <v>0</v>
      </c>
      <c r="AE621" s="15" t="n">
        <v>1</v>
      </c>
      <c r="AF621" s="15" t="n">
        <v>0</v>
      </c>
      <c r="AG621" s="15" t="n">
        <v>0</v>
      </c>
      <c r="AH621" s="15" t="n">
        <v>0</v>
      </c>
    </row>
    <row r="622" customFormat="false" ht="46.25" hidden="false" customHeight="false" outlineLevel="0" collapsed="false">
      <c r="A622" s="15" t="s">
        <v>4429</v>
      </c>
      <c r="B622" s="15" t="s">
        <v>38</v>
      </c>
      <c r="C622" s="15" t="s">
        <v>811</v>
      </c>
      <c r="D622" s="15" t="n">
        <v>103</v>
      </c>
      <c r="E622" s="15" t="s">
        <v>1048</v>
      </c>
      <c r="F622" s="15" t="n">
        <v>2</v>
      </c>
      <c r="G622" s="15" t="s">
        <v>141</v>
      </c>
      <c r="H622" s="15" t="s">
        <v>142</v>
      </c>
      <c r="I622" s="3" t="s">
        <v>4430</v>
      </c>
      <c r="J622" s="3" t="s">
        <v>4431</v>
      </c>
      <c r="K622" s="15" t="s">
        <v>133</v>
      </c>
      <c r="L622" s="16" t="s">
        <v>7</v>
      </c>
      <c r="M622" s="15" t="s">
        <v>68</v>
      </c>
      <c r="N622" s="15" t="s">
        <v>83</v>
      </c>
      <c r="O622" s="15" t="s">
        <v>4432</v>
      </c>
      <c r="P622" s="15" t="s">
        <v>185</v>
      </c>
      <c r="Q622" s="15" t="s">
        <v>141</v>
      </c>
      <c r="R622" s="15" t="s">
        <v>135</v>
      </c>
      <c r="S622" s="15"/>
      <c r="T622" s="15"/>
      <c r="U622" s="3" t="s">
        <v>4433</v>
      </c>
      <c r="V622" s="3" t="s">
        <v>4434</v>
      </c>
      <c r="W622" s="3"/>
      <c r="X622" s="3" t="s">
        <v>4435</v>
      </c>
      <c r="Y622" s="15" t="n">
        <v>0</v>
      </c>
      <c r="Z622" s="15" t="n">
        <v>0</v>
      </c>
      <c r="AA622" s="15" t="n">
        <v>1</v>
      </c>
      <c r="AB622" s="15" t="n">
        <v>0</v>
      </c>
      <c r="AC622" s="15" t="n">
        <v>0</v>
      </c>
      <c r="AD622" s="15" t="n">
        <v>0</v>
      </c>
      <c r="AE622" s="15" t="n">
        <v>0</v>
      </c>
      <c r="AF622" s="15" t="n">
        <v>0</v>
      </c>
      <c r="AG622" s="15" t="n">
        <v>1</v>
      </c>
      <c r="AH622" s="15" t="n">
        <v>0</v>
      </c>
    </row>
    <row r="623" customFormat="false" ht="46.25" hidden="false" customHeight="false" outlineLevel="0" collapsed="false">
      <c r="A623" s="15" t="s">
        <v>4436</v>
      </c>
      <c r="B623" s="15" t="s">
        <v>38</v>
      </c>
      <c r="C623" s="15" t="s">
        <v>811</v>
      </c>
      <c r="D623" s="15" t="n">
        <v>122</v>
      </c>
      <c r="E623" s="15" t="s">
        <v>1070</v>
      </c>
      <c r="F623" s="15" t="n">
        <v>0</v>
      </c>
      <c r="G623" s="15" t="s">
        <v>129</v>
      </c>
      <c r="H623" s="15" t="s">
        <v>130</v>
      </c>
      <c r="I623" s="3" t="s">
        <v>4437</v>
      </c>
      <c r="J623" s="3" t="s">
        <v>4438</v>
      </c>
      <c r="K623" s="15" t="s">
        <v>133</v>
      </c>
      <c r="L623" s="16" t="s">
        <v>7</v>
      </c>
      <c r="M623" s="15" t="s">
        <v>66</v>
      </c>
      <c r="N623" s="15" t="s">
        <v>90</v>
      </c>
      <c r="O623" s="15" t="s">
        <v>90</v>
      </c>
      <c r="P623" s="15" t="s">
        <v>185</v>
      </c>
      <c r="Q623" s="15" t="s">
        <v>129</v>
      </c>
      <c r="R623" s="15" t="s">
        <v>185</v>
      </c>
      <c r="S623" s="15"/>
      <c r="T623" s="15"/>
      <c r="U623" s="3" t="s">
        <v>4439</v>
      </c>
      <c r="V623" s="3" t="s">
        <v>4440</v>
      </c>
      <c r="W623" s="3" t="s">
        <v>4441</v>
      </c>
      <c r="X623" s="3" t="s">
        <v>4442</v>
      </c>
      <c r="Y623" s="15" t="n">
        <v>0</v>
      </c>
      <c r="Z623" s="15" t="n">
        <v>0</v>
      </c>
      <c r="AA623" s="15" t="n">
        <v>0</v>
      </c>
      <c r="AB623" s="15" t="n">
        <v>0</v>
      </c>
      <c r="AC623" s="15" t="n">
        <v>0</v>
      </c>
      <c r="AD623" s="15" t="n">
        <v>0</v>
      </c>
      <c r="AE623" s="15" t="n">
        <v>0</v>
      </c>
      <c r="AF623" s="15" t="n">
        <v>0</v>
      </c>
      <c r="AG623" s="15" t="n">
        <v>0</v>
      </c>
      <c r="AH623" s="15" t="n">
        <v>1</v>
      </c>
    </row>
    <row r="624" customFormat="false" ht="23.85" hidden="false" customHeight="false" outlineLevel="0" collapsed="false">
      <c r="A624" s="15" t="s">
        <v>4443</v>
      </c>
      <c r="B624" s="15" t="s">
        <v>38</v>
      </c>
      <c r="C624" s="15" t="s">
        <v>811</v>
      </c>
      <c r="D624" s="15" t="n">
        <v>122</v>
      </c>
      <c r="E624" s="15" t="s">
        <v>1070</v>
      </c>
      <c r="F624" s="15" t="n">
        <v>1</v>
      </c>
      <c r="G624" s="15" t="s">
        <v>197</v>
      </c>
      <c r="H624" s="15" t="s">
        <v>142</v>
      </c>
      <c r="I624" s="3" t="s">
        <v>4444</v>
      </c>
      <c r="J624" s="3" t="s">
        <v>4445</v>
      </c>
      <c r="K624" s="15" t="s">
        <v>145</v>
      </c>
      <c r="L624" s="18" t="s">
        <v>5</v>
      </c>
      <c r="M624" s="15" t="s">
        <v>426</v>
      </c>
      <c r="N624" s="15" t="s">
        <v>426</v>
      </c>
      <c r="O624" s="15"/>
      <c r="P624" s="15" t="s">
        <v>185</v>
      </c>
      <c r="Q624" s="15" t="s">
        <v>197</v>
      </c>
      <c r="R624" s="15" t="s">
        <v>185</v>
      </c>
      <c r="S624" s="15"/>
      <c r="T624" s="15"/>
      <c r="U624" s="3" t="s">
        <v>4446</v>
      </c>
      <c r="V624" s="3" t="s">
        <v>4447</v>
      </c>
      <c r="W624" s="3"/>
      <c r="X624" s="3"/>
      <c r="Y624" s="15" t="n">
        <v>0</v>
      </c>
      <c r="Z624" s="15" t="n">
        <v>0</v>
      </c>
      <c r="AA624" s="15" t="n">
        <v>0</v>
      </c>
      <c r="AB624" s="15" t="n">
        <v>0</v>
      </c>
      <c r="AC624" s="15" t="n">
        <v>0</v>
      </c>
      <c r="AD624" s="15" t="n">
        <v>0</v>
      </c>
      <c r="AE624" s="15" t="n">
        <v>0</v>
      </c>
      <c r="AF624" s="15" t="n">
        <v>0</v>
      </c>
      <c r="AG624" s="15" t="n">
        <v>0</v>
      </c>
      <c r="AH624" s="15" t="n">
        <v>0</v>
      </c>
    </row>
    <row r="625" customFormat="false" ht="46.25" hidden="false" customHeight="false" outlineLevel="0" collapsed="false">
      <c r="A625" s="15" t="s">
        <v>4448</v>
      </c>
      <c r="B625" s="15" t="s">
        <v>38</v>
      </c>
      <c r="C625" s="15" t="s">
        <v>811</v>
      </c>
      <c r="D625" s="15" t="n">
        <v>122</v>
      </c>
      <c r="E625" s="15" t="s">
        <v>1070</v>
      </c>
      <c r="F625" s="15" t="n">
        <v>2</v>
      </c>
      <c r="G625" s="15" t="s">
        <v>141</v>
      </c>
      <c r="H625" s="15" t="s">
        <v>142</v>
      </c>
      <c r="I625" s="3" t="s">
        <v>4449</v>
      </c>
      <c r="J625" s="3" t="s">
        <v>4450</v>
      </c>
      <c r="K625" s="15" t="s">
        <v>145</v>
      </c>
      <c r="L625" s="16" t="s">
        <v>7</v>
      </c>
      <c r="M625" s="15" t="s">
        <v>66</v>
      </c>
      <c r="N625" s="15" t="s">
        <v>88</v>
      </c>
      <c r="O625" s="15" t="s">
        <v>88</v>
      </c>
      <c r="P625" s="15" t="s">
        <v>135</v>
      </c>
      <c r="Q625" s="15" t="s">
        <v>129</v>
      </c>
      <c r="R625" s="15" t="s">
        <v>185</v>
      </c>
      <c r="S625" s="15"/>
      <c r="T625" s="15"/>
      <c r="U625" s="3" t="s">
        <v>4451</v>
      </c>
      <c r="V625" s="3" t="s">
        <v>4452</v>
      </c>
      <c r="W625" s="3"/>
      <c r="X625" s="3"/>
      <c r="Y625" s="15" t="n">
        <v>0</v>
      </c>
      <c r="Z625" s="15" t="n">
        <v>0</v>
      </c>
      <c r="AA625" s="15" t="n">
        <v>0</v>
      </c>
      <c r="AB625" s="15" t="n">
        <v>0</v>
      </c>
      <c r="AC625" s="15" t="n">
        <v>0</v>
      </c>
      <c r="AD625" s="15" t="n">
        <v>0</v>
      </c>
      <c r="AE625" s="15" t="n">
        <v>0</v>
      </c>
      <c r="AF625" s="15" t="n">
        <v>1</v>
      </c>
      <c r="AG625" s="15" t="n">
        <v>0</v>
      </c>
      <c r="AH625" s="15" t="n">
        <v>0</v>
      </c>
    </row>
    <row r="626" customFormat="false" ht="46.25" hidden="false" customHeight="false" outlineLevel="0" collapsed="false">
      <c r="A626" s="15" t="s">
        <v>4453</v>
      </c>
      <c r="B626" s="15" t="s">
        <v>38</v>
      </c>
      <c r="C626" s="15" t="s">
        <v>811</v>
      </c>
      <c r="D626" s="15" t="n">
        <v>124</v>
      </c>
      <c r="E626" s="15" t="s">
        <v>1090</v>
      </c>
      <c r="F626" s="15" t="n">
        <v>0</v>
      </c>
      <c r="G626" s="15" t="s">
        <v>129</v>
      </c>
      <c r="H626" s="15" t="s">
        <v>130</v>
      </c>
      <c r="I626" s="3" t="s">
        <v>4454</v>
      </c>
      <c r="J626" s="3" t="s">
        <v>4455</v>
      </c>
      <c r="K626" s="15" t="s">
        <v>133</v>
      </c>
      <c r="L626" s="16" t="s">
        <v>7</v>
      </c>
      <c r="M626" s="15" t="s">
        <v>68</v>
      </c>
      <c r="N626" s="15" t="s">
        <v>82</v>
      </c>
      <c r="O626" s="15" t="s">
        <v>271</v>
      </c>
      <c r="P626" s="15" t="s">
        <v>185</v>
      </c>
      <c r="Q626" s="15" t="s">
        <v>129</v>
      </c>
      <c r="R626" s="15" t="s">
        <v>135</v>
      </c>
      <c r="S626" s="15"/>
      <c r="T626" s="15"/>
      <c r="U626" s="3" t="s">
        <v>4456</v>
      </c>
      <c r="V626" s="3" t="s">
        <v>4457</v>
      </c>
      <c r="W626" s="3" t="s">
        <v>4458</v>
      </c>
      <c r="X626" s="3" t="s">
        <v>4459</v>
      </c>
      <c r="Y626" s="15" t="n">
        <v>0</v>
      </c>
      <c r="Z626" s="15" t="n">
        <v>1</v>
      </c>
      <c r="AA626" s="15" t="n">
        <v>0</v>
      </c>
      <c r="AB626" s="15" t="n">
        <v>1</v>
      </c>
      <c r="AC626" s="15" t="n">
        <v>0</v>
      </c>
      <c r="AD626" s="15" t="n">
        <v>0</v>
      </c>
      <c r="AE626" s="15" t="n">
        <v>0</v>
      </c>
      <c r="AF626" s="15" t="n">
        <v>0</v>
      </c>
      <c r="AG626" s="15" t="n">
        <v>0</v>
      </c>
      <c r="AH626" s="15" t="n">
        <v>0</v>
      </c>
    </row>
    <row r="627" customFormat="false" ht="23.85" hidden="false" customHeight="false" outlineLevel="0" collapsed="false">
      <c r="A627" s="15" t="s">
        <v>4460</v>
      </c>
      <c r="B627" s="15" t="s">
        <v>38</v>
      </c>
      <c r="C627" s="15" t="s">
        <v>811</v>
      </c>
      <c r="D627" s="15" t="n">
        <v>124</v>
      </c>
      <c r="E627" s="15" t="s">
        <v>1090</v>
      </c>
      <c r="F627" s="15" t="n">
        <v>1</v>
      </c>
      <c r="G627" s="15" t="s">
        <v>307</v>
      </c>
      <c r="H627" s="15" t="s">
        <v>308</v>
      </c>
      <c r="I627" s="3" t="s">
        <v>4461</v>
      </c>
      <c r="J627" s="3" t="s">
        <v>4462</v>
      </c>
      <c r="K627" s="15" t="s">
        <v>145</v>
      </c>
      <c r="L627" s="16" t="s">
        <v>7</v>
      </c>
      <c r="M627" s="15" t="s">
        <v>66</v>
      </c>
      <c r="N627" s="15" t="s">
        <v>88</v>
      </c>
      <c r="O627" s="15" t="s">
        <v>4158</v>
      </c>
      <c r="P627" s="15" t="s">
        <v>135</v>
      </c>
      <c r="Q627" s="15" t="s">
        <v>136</v>
      </c>
      <c r="R627" s="15" t="s">
        <v>135</v>
      </c>
      <c r="S627" s="15"/>
      <c r="T627" s="15"/>
      <c r="U627" s="3" t="s">
        <v>4463</v>
      </c>
      <c r="V627" s="3" t="s">
        <v>4464</v>
      </c>
      <c r="W627" s="3"/>
      <c r="X627" s="3" t="s">
        <v>4465</v>
      </c>
      <c r="Y627" s="15" t="n">
        <v>0</v>
      </c>
      <c r="Z627" s="15" t="n">
        <v>0</v>
      </c>
      <c r="AA627" s="15" t="n">
        <v>0</v>
      </c>
      <c r="AB627" s="15" t="n">
        <v>0</v>
      </c>
      <c r="AC627" s="15" t="n">
        <v>0</v>
      </c>
      <c r="AD627" s="15" t="n">
        <v>1</v>
      </c>
      <c r="AE627" s="15" t="n">
        <v>0</v>
      </c>
      <c r="AF627" s="15" t="n">
        <v>1</v>
      </c>
      <c r="AG627" s="15" t="n">
        <v>0</v>
      </c>
      <c r="AH627" s="15" t="n">
        <v>0</v>
      </c>
    </row>
    <row r="628" customFormat="false" ht="35.05" hidden="false" customHeight="false" outlineLevel="0" collapsed="false">
      <c r="A628" s="15" t="s">
        <v>4466</v>
      </c>
      <c r="B628" s="15" t="s">
        <v>38</v>
      </c>
      <c r="C628" s="15" t="s">
        <v>811</v>
      </c>
      <c r="D628" s="15" t="n">
        <v>124</v>
      </c>
      <c r="E628" s="15" t="s">
        <v>1090</v>
      </c>
      <c r="F628" s="15" t="n">
        <v>2</v>
      </c>
      <c r="G628" s="15" t="s">
        <v>197</v>
      </c>
      <c r="H628" s="15" t="s">
        <v>142</v>
      </c>
      <c r="I628" s="3" t="s">
        <v>4467</v>
      </c>
      <c r="J628" s="3" t="s">
        <v>4468</v>
      </c>
      <c r="K628" s="15" t="s">
        <v>133</v>
      </c>
      <c r="L628" s="16" t="s">
        <v>7</v>
      </c>
      <c r="M628" s="15" t="s">
        <v>68</v>
      </c>
      <c r="N628" s="15" t="s">
        <v>85</v>
      </c>
      <c r="O628" s="15" t="s">
        <v>733</v>
      </c>
      <c r="P628" s="15" t="s">
        <v>135</v>
      </c>
      <c r="Q628" s="15" t="s">
        <v>136</v>
      </c>
      <c r="R628" s="15" t="s">
        <v>135</v>
      </c>
      <c r="S628" s="15"/>
      <c r="T628" s="15"/>
      <c r="U628" s="3" t="s">
        <v>4469</v>
      </c>
      <c r="V628" s="3" t="s">
        <v>4470</v>
      </c>
      <c r="W628" s="3"/>
      <c r="X628" s="3" t="s">
        <v>4471</v>
      </c>
      <c r="Y628" s="15" t="n">
        <v>0</v>
      </c>
      <c r="Z628" s="15" t="n">
        <v>1</v>
      </c>
      <c r="AA628" s="15" t="n">
        <v>0</v>
      </c>
      <c r="AB628" s="15" t="n">
        <v>0</v>
      </c>
      <c r="AC628" s="15" t="n">
        <v>1</v>
      </c>
      <c r="AD628" s="15" t="n">
        <v>0</v>
      </c>
      <c r="AE628" s="15" t="n">
        <v>0</v>
      </c>
      <c r="AF628" s="15" t="n">
        <v>1</v>
      </c>
      <c r="AG628" s="15" t="n">
        <v>0</v>
      </c>
      <c r="AH628" s="15" t="n">
        <v>0</v>
      </c>
    </row>
    <row r="629" customFormat="false" ht="23.85" hidden="false" customHeight="false" outlineLevel="0" collapsed="false">
      <c r="A629" s="15" t="s">
        <v>4472</v>
      </c>
      <c r="B629" s="15" t="s">
        <v>38</v>
      </c>
      <c r="C629" s="15" t="s">
        <v>811</v>
      </c>
      <c r="D629" s="15" t="n">
        <v>125</v>
      </c>
      <c r="E629" s="15" t="s">
        <v>1113</v>
      </c>
      <c r="F629" s="15" t="n">
        <v>0</v>
      </c>
      <c r="G629" s="15" t="s">
        <v>197</v>
      </c>
      <c r="H629" s="15" t="s">
        <v>142</v>
      </c>
      <c r="I629" s="3" t="s">
        <v>4473</v>
      </c>
      <c r="J629" s="3" t="s">
        <v>4474</v>
      </c>
      <c r="K629" s="15" t="s">
        <v>133</v>
      </c>
      <c r="L629" s="16" t="s">
        <v>7</v>
      </c>
      <c r="M629" s="15" t="s">
        <v>66</v>
      </c>
      <c r="N629" s="15" t="s">
        <v>88</v>
      </c>
      <c r="O629" s="15" t="s">
        <v>88</v>
      </c>
      <c r="P629" s="15" t="s">
        <v>135</v>
      </c>
      <c r="Q629" s="15" t="s">
        <v>136</v>
      </c>
      <c r="R629" s="15" t="s">
        <v>185</v>
      </c>
      <c r="S629" s="15"/>
      <c r="T629" s="15"/>
      <c r="U629" s="3" t="s">
        <v>4475</v>
      </c>
      <c r="V629" s="3" t="s">
        <v>4476</v>
      </c>
      <c r="W629" s="3"/>
      <c r="X629" s="3" t="s">
        <v>4477</v>
      </c>
      <c r="Y629" s="15" t="n">
        <v>0</v>
      </c>
      <c r="Z629" s="15" t="n">
        <v>0</v>
      </c>
      <c r="AA629" s="15" t="n">
        <v>0</v>
      </c>
      <c r="AB629" s="15" t="n">
        <v>0</v>
      </c>
      <c r="AC629" s="15" t="n">
        <v>0</v>
      </c>
      <c r="AD629" s="15" t="n">
        <v>0</v>
      </c>
      <c r="AE629" s="15" t="n">
        <v>0</v>
      </c>
      <c r="AF629" s="15" t="n">
        <v>1</v>
      </c>
      <c r="AG629" s="15" t="n">
        <v>0</v>
      </c>
      <c r="AH629" s="15" t="n">
        <v>0</v>
      </c>
    </row>
    <row r="630" customFormat="false" ht="23.85" hidden="false" customHeight="false" outlineLevel="0" collapsed="false">
      <c r="A630" s="15" t="s">
        <v>4478</v>
      </c>
      <c r="B630" s="15" t="s">
        <v>38</v>
      </c>
      <c r="C630" s="15" t="s">
        <v>811</v>
      </c>
      <c r="D630" s="15" t="n">
        <v>125</v>
      </c>
      <c r="E630" s="15" t="s">
        <v>1113</v>
      </c>
      <c r="F630" s="15" t="n">
        <v>1</v>
      </c>
      <c r="G630" s="15" t="s">
        <v>129</v>
      </c>
      <c r="H630" s="15" t="s">
        <v>130</v>
      </c>
      <c r="I630" s="3" t="s">
        <v>4479</v>
      </c>
      <c r="J630" s="3" t="s">
        <v>4480</v>
      </c>
      <c r="K630" s="15" t="s">
        <v>145</v>
      </c>
      <c r="L630" s="16" t="s">
        <v>7</v>
      </c>
      <c r="M630" s="15" t="s">
        <v>66</v>
      </c>
      <c r="N630" s="15" t="s">
        <v>88</v>
      </c>
      <c r="O630" s="15" t="s">
        <v>88</v>
      </c>
      <c r="P630" s="15" t="s">
        <v>135</v>
      </c>
      <c r="Q630" s="15" t="s">
        <v>136</v>
      </c>
      <c r="R630" s="15" t="s">
        <v>185</v>
      </c>
      <c r="S630" s="15"/>
      <c r="T630" s="15"/>
      <c r="U630" s="3" t="s">
        <v>4481</v>
      </c>
      <c r="V630" s="3" t="s">
        <v>4482</v>
      </c>
      <c r="W630" s="3"/>
      <c r="X630" s="3" t="s">
        <v>4483</v>
      </c>
      <c r="Y630" s="15" t="n">
        <v>0</v>
      </c>
      <c r="Z630" s="15" t="n">
        <v>0</v>
      </c>
      <c r="AA630" s="15" t="n">
        <v>0</v>
      </c>
      <c r="AB630" s="15" t="n">
        <v>0</v>
      </c>
      <c r="AC630" s="15" t="n">
        <v>0</v>
      </c>
      <c r="AD630" s="15" t="n">
        <v>0</v>
      </c>
      <c r="AE630" s="15" t="n">
        <v>0</v>
      </c>
      <c r="AF630" s="15" t="n">
        <v>1</v>
      </c>
      <c r="AG630" s="15" t="n">
        <v>0</v>
      </c>
      <c r="AH630" s="15" t="n">
        <v>0</v>
      </c>
    </row>
    <row r="631" customFormat="false" ht="23.85" hidden="false" customHeight="false" outlineLevel="0" collapsed="false">
      <c r="A631" s="15" t="s">
        <v>4484</v>
      </c>
      <c r="B631" s="15" t="s">
        <v>38</v>
      </c>
      <c r="C631" s="15" t="s">
        <v>811</v>
      </c>
      <c r="D631" s="15" t="n">
        <v>125</v>
      </c>
      <c r="E631" s="15" t="s">
        <v>1113</v>
      </c>
      <c r="F631" s="15" t="n">
        <v>2</v>
      </c>
      <c r="G631" s="15" t="s">
        <v>141</v>
      </c>
      <c r="H631" s="15" t="s">
        <v>142</v>
      </c>
      <c r="I631" s="3" t="s">
        <v>4485</v>
      </c>
      <c r="J631" s="3" t="s">
        <v>4486</v>
      </c>
      <c r="K631" s="15" t="s">
        <v>133</v>
      </c>
      <c r="L631" s="16" t="s">
        <v>7</v>
      </c>
      <c r="M631" s="15" t="s">
        <v>66</v>
      </c>
      <c r="N631" s="15" t="s">
        <v>88</v>
      </c>
      <c r="O631" s="15" t="s">
        <v>88</v>
      </c>
      <c r="P631" s="15" t="s">
        <v>135</v>
      </c>
      <c r="Q631" s="15" t="s">
        <v>136</v>
      </c>
      <c r="R631" s="15" t="s">
        <v>185</v>
      </c>
      <c r="S631" s="15"/>
      <c r="T631" s="15"/>
      <c r="U631" s="3" t="s">
        <v>4487</v>
      </c>
      <c r="V631" s="3" t="s">
        <v>4488</v>
      </c>
      <c r="W631" s="3"/>
      <c r="X631" s="3" t="s">
        <v>4489</v>
      </c>
      <c r="Y631" s="15" t="n">
        <v>0</v>
      </c>
      <c r="Z631" s="15" t="n">
        <v>0</v>
      </c>
      <c r="AA631" s="15" t="n">
        <v>0</v>
      </c>
      <c r="AB631" s="15" t="n">
        <v>0</v>
      </c>
      <c r="AC631" s="15" t="n">
        <v>0</v>
      </c>
      <c r="AD631" s="15" t="n">
        <v>0</v>
      </c>
      <c r="AE631" s="15" t="n">
        <v>0</v>
      </c>
      <c r="AF631" s="15" t="n">
        <v>1</v>
      </c>
      <c r="AG631" s="15" t="n">
        <v>0</v>
      </c>
      <c r="AH631" s="15" t="n">
        <v>0</v>
      </c>
    </row>
    <row r="632" customFormat="false" ht="35.05" hidden="false" customHeight="false" outlineLevel="0" collapsed="false">
      <c r="A632" s="15" t="s">
        <v>4490</v>
      </c>
      <c r="B632" s="15" t="s">
        <v>38</v>
      </c>
      <c r="C632" s="15" t="s">
        <v>1135</v>
      </c>
      <c r="D632" s="15" t="n">
        <v>13</v>
      </c>
      <c r="E632" s="15" t="s">
        <v>1136</v>
      </c>
      <c r="F632" s="15" t="n">
        <v>0</v>
      </c>
      <c r="G632" s="15" t="s">
        <v>129</v>
      </c>
      <c r="H632" s="15" t="s">
        <v>130</v>
      </c>
      <c r="I632" s="3" t="s">
        <v>4491</v>
      </c>
      <c r="J632" s="3" t="s">
        <v>4492</v>
      </c>
      <c r="K632" s="15" t="s">
        <v>133</v>
      </c>
      <c r="L632" s="18" t="s">
        <v>5</v>
      </c>
      <c r="M632" s="15" t="s">
        <v>426</v>
      </c>
      <c r="N632" s="15" t="s">
        <v>426</v>
      </c>
      <c r="O632" s="15"/>
      <c r="P632" s="15" t="s">
        <v>185</v>
      </c>
      <c r="Q632" s="15" t="s">
        <v>129</v>
      </c>
      <c r="R632" s="15" t="s">
        <v>185</v>
      </c>
      <c r="S632" s="15"/>
      <c r="T632" s="15"/>
      <c r="U632" s="3" t="s">
        <v>4493</v>
      </c>
      <c r="V632" s="3" t="s">
        <v>4494</v>
      </c>
      <c r="W632" s="3"/>
      <c r="X632" s="3"/>
      <c r="Y632" s="15" t="n">
        <v>0</v>
      </c>
      <c r="Z632" s="15" t="n">
        <v>0</v>
      </c>
      <c r="AA632" s="15" t="n">
        <v>0</v>
      </c>
      <c r="AB632" s="15" t="n">
        <v>0</v>
      </c>
      <c r="AC632" s="15" t="n">
        <v>0</v>
      </c>
      <c r="AD632" s="15" t="n">
        <v>0</v>
      </c>
      <c r="AE632" s="15" t="n">
        <v>0</v>
      </c>
      <c r="AF632" s="15" t="n">
        <v>0</v>
      </c>
      <c r="AG632" s="15" t="n">
        <v>0</v>
      </c>
      <c r="AH632" s="15" t="n">
        <v>0</v>
      </c>
    </row>
    <row r="633" customFormat="false" ht="23.85" hidden="false" customHeight="false" outlineLevel="0" collapsed="false">
      <c r="A633" s="15" t="s">
        <v>4495</v>
      </c>
      <c r="B633" s="15" t="s">
        <v>38</v>
      </c>
      <c r="C633" s="15" t="s">
        <v>1135</v>
      </c>
      <c r="D633" s="15" t="n">
        <v>13</v>
      </c>
      <c r="E633" s="15" t="s">
        <v>1136</v>
      </c>
      <c r="F633" s="15" t="n">
        <v>1</v>
      </c>
      <c r="G633" s="15" t="s">
        <v>197</v>
      </c>
      <c r="H633" s="15" t="s">
        <v>142</v>
      </c>
      <c r="I633" s="3" t="s">
        <v>4496</v>
      </c>
      <c r="J633" s="3" t="s">
        <v>2929</v>
      </c>
      <c r="K633" s="15" t="s">
        <v>133</v>
      </c>
      <c r="L633" s="16" t="s">
        <v>7</v>
      </c>
      <c r="M633" s="15" t="s">
        <v>66</v>
      </c>
      <c r="N633" s="15" t="s">
        <v>89</v>
      </c>
      <c r="O633" s="15" t="s">
        <v>815</v>
      </c>
      <c r="P633" s="15" t="s">
        <v>185</v>
      </c>
      <c r="Q633" s="15" t="s">
        <v>197</v>
      </c>
      <c r="R633" s="15" t="s">
        <v>135</v>
      </c>
      <c r="S633" s="15"/>
      <c r="T633" s="15"/>
      <c r="U633" s="3" t="s">
        <v>4497</v>
      </c>
      <c r="V633" s="3" t="s">
        <v>4498</v>
      </c>
      <c r="W633" s="3"/>
      <c r="X633" s="3" t="s">
        <v>4499</v>
      </c>
      <c r="Y633" s="15" t="n">
        <v>0</v>
      </c>
      <c r="Z633" s="15" t="n">
        <v>0</v>
      </c>
      <c r="AA633" s="15" t="n">
        <v>0</v>
      </c>
      <c r="AB633" s="15" t="n">
        <v>0</v>
      </c>
      <c r="AC633" s="15" t="n">
        <v>0</v>
      </c>
      <c r="AD633" s="15" t="n">
        <v>1</v>
      </c>
      <c r="AE633" s="15" t="n">
        <v>0</v>
      </c>
      <c r="AF633" s="15" t="n">
        <v>0</v>
      </c>
      <c r="AG633" s="15" t="n">
        <v>1</v>
      </c>
      <c r="AH633" s="15" t="n">
        <v>0</v>
      </c>
    </row>
    <row r="634" customFormat="false" ht="35.05" hidden="false" customHeight="false" outlineLevel="0" collapsed="false">
      <c r="A634" s="15" t="s">
        <v>4500</v>
      </c>
      <c r="B634" s="15" t="s">
        <v>38</v>
      </c>
      <c r="C634" s="15" t="s">
        <v>1135</v>
      </c>
      <c r="D634" s="15" t="n">
        <v>13</v>
      </c>
      <c r="E634" s="15" t="s">
        <v>1136</v>
      </c>
      <c r="F634" s="15" t="n">
        <v>2</v>
      </c>
      <c r="G634" s="15" t="s">
        <v>141</v>
      </c>
      <c r="H634" s="15" t="s">
        <v>142</v>
      </c>
      <c r="I634" s="3" t="s">
        <v>4501</v>
      </c>
      <c r="J634" s="3" t="s">
        <v>4502</v>
      </c>
      <c r="K634" s="15" t="s">
        <v>145</v>
      </c>
      <c r="L634" s="16" t="s">
        <v>7</v>
      </c>
      <c r="M634" s="15" t="s">
        <v>66</v>
      </c>
      <c r="N634" s="15" t="s">
        <v>88</v>
      </c>
      <c r="O634" s="15" t="s">
        <v>1790</v>
      </c>
      <c r="P634" s="15" t="s">
        <v>135</v>
      </c>
      <c r="Q634" s="15" t="s">
        <v>152</v>
      </c>
      <c r="R634" s="15" t="s">
        <v>135</v>
      </c>
      <c r="S634" s="15"/>
      <c r="T634" s="15"/>
      <c r="U634" s="3" t="s">
        <v>4503</v>
      </c>
      <c r="V634" s="3" t="s">
        <v>4504</v>
      </c>
      <c r="W634" s="3"/>
      <c r="X634" s="3" t="s">
        <v>4505</v>
      </c>
      <c r="Y634" s="15" t="n">
        <v>0</v>
      </c>
      <c r="Z634" s="15" t="n">
        <v>0</v>
      </c>
      <c r="AA634" s="15" t="n">
        <v>0</v>
      </c>
      <c r="AB634" s="15" t="n">
        <v>0</v>
      </c>
      <c r="AC634" s="15" t="n">
        <v>0</v>
      </c>
      <c r="AD634" s="15" t="n">
        <v>0</v>
      </c>
      <c r="AE634" s="15" t="n">
        <v>1</v>
      </c>
      <c r="AF634" s="15" t="n">
        <v>1</v>
      </c>
      <c r="AG634" s="15" t="n">
        <v>0</v>
      </c>
      <c r="AH634" s="15" t="n">
        <v>0</v>
      </c>
    </row>
    <row r="635" customFormat="false" ht="23.85" hidden="false" customHeight="false" outlineLevel="0" collapsed="false">
      <c r="A635" s="15" t="s">
        <v>4506</v>
      </c>
      <c r="B635" s="15" t="s">
        <v>38</v>
      </c>
      <c r="C635" s="15" t="s">
        <v>1135</v>
      </c>
      <c r="D635" s="15" t="n">
        <v>18</v>
      </c>
      <c r="E635" s="15" t="s">
        <v>1157</v>
      </c>
      <c r="F635" s="15" t="n">
        <v>0</v>
      </c>
      <c r="G635" s="15" t="s">
        <v>129</v>
      </c>
      <c r="H635" s="15" t="s">
        <v>130</v>
      </c>
      <c r="I635" s="3" t="s">
        <v>4507</v>
      </c>
      <c r="J635" s="3" t="s">
        <v>3838</v>
      </c>
      <c r="K635" s="15" t="s">
        <v>133</v>
      </c>
      <c r="L635" s="18" t="s">
        <v>5</v>
      </c>
      <c r="M635" s="15" t="s">
        <v>426</v>
      </c>
      <c r="N635" s="15" t="s">
        <v>426</v>
      </c>
      <c r="O635" s="15"/>
      <c r="P635" s="15" t="s">
        <v>185</v>
      </c>
      <c r="Q635" s="15" t="s">
        <v>129</v>
      </c>
      <c r="R635" s="15" t="s">
        <v>185</v>
      </c>
      <c r="S635" s="15"/>
      <c r="T635" s="15"/>
      <c r="U635" s="3" t="s">
        <v>4508</v>
      </c>
      <c r="V635" s="3" t="s">
        <v>4313</v>
      </c>
      <c r="W635" s="3"/>
      <c r="X635" s="3"/>
      <c r="Y635" s="15" t="n">
        <v>0</v>
      </c>
      <c r="Z635" s="15" t="n">
        <v>0</v>
      </c>
      <c r="AA635" s="15" t="n">
        <v>0</v>
      </c>
      <c r="AB635" s="15" t="n">
        <v>0</v>
      </c>
      <c r="AC635" s="15" t="n">
        <v>0</v>
      </c>
      <c r="AD635" s="15" t="n">
        <v>0</v>
      </c>
      <c r="AE635" s="15" t="n">
        <v>0</v>
      </c>
      <c r="AF635" s="15" t="n">
        <v>0</v>
      </c>
      <c r="AG635" s="15" t="n">
        <v>0</v>
      </c>
      <c r="AH635" s="15" t="n">
        <v>0</v>
      </c>
    </row>
    <row r="636" customFormat="false" ht="35.05" hidden="false" customHeight="false" outlineLevel="0" collapsed="false">
      <c r="A636" s="15" t="s">
        <v>4509</v>
      </c>
      <c r="B636" s="15" t="s">
        <v>38</v>
      </c>
      <c r="C636" s="15" t="s">
        <v>1135</v>
      </c>
      <c r="D636" s="15" t="n">
        <v>18</v>
      </c>
      <c r="E636" s="15" t="s">
        <v>1157</v>
      </c>
      <c r="F636" s="15" t="n">
        <v>1</v>
      </c>
      <c r="G636" s="15" t="s">
        <v>141</v>
      </c>
      <c r="H636" s="15" t="s">
        <v>142</v>
      </c>
      <c r="I636" s="3" t="s">
        <v>4510</v>
      </c>
      <c r="J636" s="3" t="s">
        <v>4511</v>
      </c>
      <c r="K636" s="15" t="s">
        <v>145</v>
      </c>
      <c r="L636" s="16" t="s">
        <v>7</v>
      </c>
      <c r="M636" s="15" t="s">
        <v>66</v>
      </c>
      <c r="N636" s="15" t="s">
        <v>88</v>
      </c>
      <c r="O636" s="15" t="s">
        <v>88</v>
      </c>
      <c r="P636" s="15" t="s">
        <v>135</v>
      </c>
      <c r="Q636" s="15" t="s">
        <v>129</v>
      </c>
      <c r="R636" s="15" t="s">
        <v>185</v>
      </c>
      <c r="S636" s="15"/>
      <c r="T636" s="15"/>
      <c r="U636" s="3" t="s">
        <v>4512</v>
      </c>
      <c r="V636" s="3" t="s">
        <v>4513</v>
      </c>
      <c r="W636" s="3"/>
      <c r="X636" s="3" t="s">
        <v>4514</v>
      </c>
      <c r="Y636" s="15" t="n">
        <v>0</v>
      </c>
      <c r="Z636" s="15" t="n">
        <v>0</v>
      </c>
      <c r="AA636" s="15" t="n">
        <v>0</v>
      </c>
      <c r="AB636" s="15" t="n">
        <v>0</v>
      </c>
      <c r="AC636" s="15" t="n">
        <v>0</v>
      </c>
      <c r="AD636" s="15" t="n">
        <v>0</v>
      </c>
      <c r="AE636" s="15" t="n">
        <v>0</v>
      </c>
      <c r="AF636" s="15" t="n">
        <v>1</v>
      </c>
      <c r="AG636" s="15" t="n">
        <v>0</v>
      </c>
      <c r="AH636" s="15" t="n">
        <v>0</v>
      </c>
    </row>
    <row r="637" customFormat="false" ht="23.85" hidden="false" customHeight="false" outlineLevel="0" collapsed="false">
      <c r="A637" s="15" t="s">
        <v>4515</v>
      </c>
      <c r="B637" s="15" t="s">
        <v>38</v>
      </c>
      <c r="C637" s="15" t="s">
        <v>1135</v>
      </c>
      <c r="D637" s="15" t="n">
        <v>18</v>
      </c>
      <c r="E637" s="15" t="s">
        <v>1157</v>
      </c>
      <c r="F637" s="15" t="n">
        <v>2</v>
      </c>
      <c r="G637" s="15" t="s">
        <v>307</v>
      </c>
      <c r="H637" s="15" t="s">
        <v>308</v>
      </c>
      <c r="I637" s="3" t="s">
        <v>4516</v>
      </c>
      <c r="J637" s="3" t="s">
        <v>4517</v>
      </c>
      <c r="K637" s="15" t="s">
        <v>145</v>
      </c>
      <c r="L637" s="18" t="s">
        <v>5</v>
      </c>
      <c r="M637" s="15" t="s">
        <v>426</v>
      </c>
      <c r="N637" s="15" t="s">
        <v>426</v>
      </c>
      <c r="O637" s="15"/>
      <c r="P637" s="15" t="s">
        <v>185</v>
      </c>
      <c r="Q637" s="15" t="s">
        <v>307</v>
      </c>
      <c r="R637" s="15" t="s">
        <v>185</v>
      </c>
      <c r="S637" s="15"/>
      <c r="T637" s="15"/>
      <c r="U637" s="3" t="s">
        <v>4518</v>
      </c>
      <c r="V637" s="3" t="s">
        <v>4519</v>
      </c>
      <c r="W637" s="3"/>
      <c r="X637" s="3"/>
      <c r="Y637" s="15" t="n">
        <v>0</v>
      </c>
      <c r="Z637" s="15" t="n">
        <v>0</v>
      </c>
      <c r="AA637" s="15" t="n">
        <v>0</v>
      </c>
      <c r="AB637" s="15" t="n">
        <v>0</v>
      </c>
      <c r="AC637" s="15" t="n">
        <v>0</v>
      </c>
      <c r="AD637" s="15" t="n">
        <v>0</v>
      </c>
      <c r="AE637" s="15" t="n">
        <v>0</v>
      </c>
      <c r="AF637" s="15" t="n">
        <v>0</v>
      </c>
      <c r="AG637" s="15" t="n">
        <v>0</v>
      </c>
      <c r="AH637" s="15" t="n">
        <v>0</v>
      </c>
    </row>
    <row r="638" customFormat="false" ht="46.25" hidden="false" customHeight="false" outlineLevel="0" collapsed="false">
      <c r="A638" s="15" t="s">
        <v>4520</v>
      </c>
      <c r="B638" s="15" t="s">
        <v>38</v>
      </c>
      <c r="C638" s="15" t="s">
        <v>1135</v>
      </c>
      <c r="D638" s="15" t="n">
        <v>21</v>
      </c>
      <c r="E638" s="15" t="s">
        <v>1177</v>
      </c>
      <c r="F638" s="15" t="n">
        <v>0</v>
      </c>
      <c r="G638" s="15" t="s">
        <v>129</v>
      </c>
      <c r="H638" s="15" t="s">
        <v>130</v>
      </c>
      <c r="I638" s="3" t="s">
        <v>4521</v>
      </c>
      <c r="J638" s="3" t="s">
        <v>4522</v>
      </c>
      <c r="K638" s="15" t="s">
        <v>133</v>
      </c>
      <c r="L638" s="18" t="s">
        <v>5</v>
      </c>
      <c r="M638" s="15" t="s">
        <v>426</v>
      </c>
      <c r="N638" s="15" t="s">
        <v>426</v>
      </c>
      <c r="O638" s="15"/>
      <c r="P638" s="15" t="s">
        <v>185</v>
      </c>
      <c r="Q638" s="15" t="s">
        <v>129</v>
      </c>
      <c r="R638" s="15" t="s">
        <v>185</v>
      </c>
      <c r="S638" s="15"/>
      <c r="T638" s="15"/>
      <c r="U638" s="3" t="s">
        <v>4523</v>
      </c>
      <c r="V638" s="3" t="s">
        <v>4524</v>
      </c>
      <c r="W638" s="3"/>
      <c r="X638" s="3"/>
      <c r="Y638" s="15" t="n">
        <v>0</v>
      </c>
      <c r="Z638" s="15" t="n">
        <v>0</v>
      </c>
      <c r="AA638" s="15" t="n">
        <v>0</v>
      </c>
      <c r="AB638" s="15" t="n">
        <v>0</v>
      </c>
      <c r="AC638" s="15" t="n">
        <v>0</v>
      </c>
      <c r="AD638" s="15" t="n">
        <v>0</v>
      </c>
      <c r="AE638" s="15" t="n">
        <v>0</v>
      </c>
      <c r="AF638" s="15" t="n">
        <v>0</v>
      </c>
      <c r="AG638" s="15" t="n">
        <v>0</v>
      </c>
      <c r="AH638" s="15" t="n">
        <v>0</v>
      </c>
    </row>
    <row r="639" customFormat="false" ht="46.25" hidden="false" customHeight="false" outlineLevel="0" collapsed="false">
      <c r="A639" s="15" t="s">
        <v>4525</v>
      </c>
      <c r="B639" s="15" t="s">
        <v>38</v>
      </c>
      <c r="C639" s="15" t="s">
        <v>1135</v>
      </c>
      <c r="D639" s="15" t="n">
        <v>21</v>
      </c>
      <c r="E639" s="15" t="s">
        <v>1177</v>
      </c>
      <c r="F639" s="15" t="n">
        <v>1</v>
      </c>
      <c r="G639" s="15" t="s">
        <v>197</v>
      </c>
      <c r="H639" s="15" t="s">
        <v>142</v>
      </c>
      <c r="I639" s="3" t="s">
        <v>4526</v>
      </c>
      <c r="J639" s="3" t="s">
        <v>4527</v>
      </c>
      <c r="K639" s="15" t="s">
        <v>145</v>
      </c>
      <c r="L639" s="16" t="s">
        <v>7</v>
      </c>
      <c r="M639" s="15" t="s">
        <v>68</v>
      </c>
      <c r="N639" s="15" t="s">
        <v>87</v>
      </c>
      <c r="O639" s="15" t="s">
        <v>3737</v>
      </c>
      <c r="P639" s="15" t="s">
        <v>135</v>
      </c>
      <c r="Q639" s="15" t="s">
        <v>307</v>
      </c>
      <c r="R639" s="15" t="s">
        <v>135</v>
      </c>
      <c r="S639" s="15"/>
      <c r="T639" s="15"/>
      <c r="U639" s="3" t="s">
        <v>4528</v>
      </c>
      <c r="V639" s="3" t="s">
        <v>4529</v>
      </c>
      <c r="W639" s="3" t="s">
        <v>4530</v>
      </c>
      <c r="X639" s="3" t="s">
        <v>4531</v>
      </c>
      <c r="Y639" s="15" t="n">
        <v>0</v>
      </c>
      <c r="Z639" s="15" t="n">
        <v>0</v>
      </c>
      <c r="AA639" s="15" t="n">
        <v>0</v>
      </c>
      <c r="AB639" s="15" t="n">
        <v>0</v>
      </c>
      <c r="AC639" s="15" t="n">
        <v>0</v>
      </c>
      <c r="AD639" s="15" t="n">
        <v>0</v>
      </c>
      <c r="AE639" s="15" t="n">
        <v>1</v>
      </c>
      <c r="AF639" s="15" t="n">
        <v>1</v>
      </c>
      <c r="AG639" s="15" t="n">
        <v>0</v>
      </c>
      <c r="AH639" s="15" t="n">
        <v>0</v>
      </c>
    </row>
    <row r="640" customFormat="false" ht="46.25" hidden="false" customHeight="false" outlineLevel="0" collapsed="false">
      <c r="A640" s="15" t="s">
        <v>4532</v>
      </c>
      <c r="B640" s="15" t="s">
        <v>38</v>
      </c>
      <c r="C640" s="15" t="s">
        <v>1135</v>
      </c>
      <c r="D640" s="15" t="n">
        <v>21</v>
      </c>
      <c r="E640" s="15" t="s">
        <v>1177</v>
      </c>
      <c r="F640" s="15" t="n">
        <v>2</v>
      </c>
      <c r="G640" s="15" t="s">
        <v>307</v>
      </c>
      <c r="H640" s="15" t="s">
        <v>308</v>
      </c>
      <c r="I640" s="3" t="s">
        <v>4533</v>
      </c>
      <c r="J640" s="3" t="s">
        <v>4534</v>
      </c>
      <c r="K640" s="15" t="s">
        <v>133</v>
      </c>
      <c r="L640" s="16" t="s">
        <v>7</v>
      </c>
      <c r="M640" s="15" t="s">
        <v>68</v>
      </c>
      <c r="N640" s="15" t="s">
        <v>83</v>
      </c>
      <c r="O640" s="15" t="s">
        <v>4535</v>
      </c>
      <c r="P640" s="15" t="s">
        <v>185</v>
      </c>
      <c r="Q640" s="15" t="s">
        <v>307</v>
      </c>
      <c r="R640" s="15" t="s">
        <v>135</v>
      </c>
      <c r="S640" s="15"/>
      <c r="T640" s="15"/>
      <c r="U640" s="3" t="s">
        <v>4536</v>
      </c>
      <c r="V640" s="3" t="s">
        <v>4537</v>
      </c>
      <c r="W640" s="3" t="s">
        <v>4538</v>
      </c>
      <c r="X640" s="3" t="s">
        <v>4539</v>
      </c>
      <c r="Y640" s="15" t="n">
        <v>0</v>
      </c>
      <c r="Z640" s="15" t="n">
        <v>0</v>
      </c>
      <c r="AA640" s="15" t="n">
        <v>1</v>
      </c>
      <c r="AB640" s="15" t="n">
        <v>0</v>
      </c>
      <c r="AC640" s="15" t="n">
        <v>1</v>
      </c>
      <c r="AD640" s="15" t="n">
        <v>0</v>
      </c>
      <c r="AE640" s="15" t="n">
        <v>1</v>
      </c>
      <c r="AF640" s="15" t="n">
        <v>0</v>
      </c>
      <c r="AG640" s="15" t="n">
        <v>0</v>
      </c>
      <c r="AH640" s="15" t="n">
        <v>0</v>
      </c>
    </row>
    <row r="641" customFormat="false" ht="35.05" hidden="false" customHeight="false" outlineLevel="0" collapsed="false">
      <c r="A641" s="15" t="s">
        <v>4540</v>
      </c>
      <c r="B641" s="15" t="s">
        <v>38</v>
      </c>
      <c r="C641" s="15" t="s">
        <v>1135</v>
      </c>
      <c r="D641" s="15" t="n">
        <v>36</v>
      </c>
      <c r="E641" s="15" t="s">
        <v>1200</v>
      </c>
      <c r="F641" s="15" t="n">
        <v>0</v>
      </c>
      <c r="G641" s="15" t="s">
        <v>129</v>
      </c>
      <c r="H641" s="15" t="s">
        <v>130</v>
      </c>
      <c r="I641" s="3" t="s">
        <v>4541</v>
      </c>
      <c r="J641" s="3" t="s">
        <v>4542</v>
      </c>
      <c r="K641" s="15" t="s">
        <v>133</v>
      </c>
      <c r="L641" s="18" t="s">
        <v>5</v>
      </c>
      <c r="M641" s="15" t="s">
        <v>426</v>
      </c>
      <c r="N641" s="15" t="s">
        <v>426</v>
      </c>
      <c r="O641" s="15"/>
      <c r="P641" s="15" t="s">
        <v>185</v>
      </c>
      <c r="Q641" s="15" t="s">
        <v>129</v>
      </c>
      <c r="R641" s="15" t="s">
        <v>185</v>
      </c>
      <c r="S641" s="15"/>
      <c r="T641" s="15"/>
      <c r="U641" s="3" t="s">
        <v>4543</v>
      </c>
      <c r="V641" s="3" t="s">
        <v>4544</v>
      </c>
      <c r="W641" s="3"/>
      <c r="X641" s="3"/>
      <c r="Y641" s="15" t="n">
        <v>0</v>
      </c>
      <c r="Z641" s="15" t="n">
        <v>0</v>
      </c>
      <c r="AA641" s="15" t="n">
        <v>0</v>
      </c>
      <c r="AB641" s="15" t="n">
        <v>0</v>
      </c>
      <c r="AC641" s="15" t="n">
        <v>0</v>
      </c>
      <c r="AD641" s="15" t="n">
        <v>0</v>
      </c>
      <c r="AE641" s="15" t="n">
        <v>0</v>
      </c>
      <c r="AF641" s="15" t="n">
        <v>0</v>
      </c>
      <c r="AG641" s="15" t="n">
        <v>0</v>
      </c>
      <c r="AH641" s="15" t="n">
        <v>0</v>
      </c>
    </row>
    <row r="642" customFormat="false" ht="46.25" hidden="false" customHeight="false" outlineLevel="0" collapsed="false">
      <c r="A642" s="15" t="s">
        <v>4545</v>
      </c>
      <c r="B642" s="15" t="s">
        <v>38</v>
      </c>
      <c r="C642" s="15" t="s">
        <v>1135</v>
      </c>
      <c r="D642" s="15" t="n">
        <v>36</v>
      </c>
      <c r="E642" s="15" t="s">
        <v>1200</v>
      </c>
      <c r="F642" s="15" t="n">
        <v>1</v>
      </c>
      <c r="G642" s="15" t="s">
        <v>197</v>
      </c>
      <c r="H642" s="15" t="s">
        <v>142</v>
      </c>
      <c r="I642" s="3" t="s">
        <v>4546</v>
      </c>
      <c r="J642" s="3" t="s">
        <v>4547</v>
      </c>
      <c r="K642" s="15" t="s">
        <v>145</v>
      </c>
      <c r="L642" s="16" t="s">
        <v>7</v>
      </c>
      <c r="M642" s="15" t="s">
        <v>68</v>
      </c>
      <c r="N642" s="15" t="s">
        <v>87</v>
      </c>
      <c r="O642" s="15" t="s">
        <v>4548</v>
      </c>
      <c r="P642" s="15" t="s">
        <v>135</v>
      </c>
      <c r="Q642" s="15" t="s">
        <v>136</v>
      </c>
      <c r="R642" s="15" t="s">
        <v>135</v>
      </c>
      <c r="S642" s="15"/>
      <c r="T642" s="15"/>
      <c r="U642" s="3" t="s">
        <v>4549</v>
      </c>
      <c r="V642" s="3" t="s">
        <v>4550</v>
      </c>
      <c r="W642" s="3"/>
      <c r="X642" s="3" t="s">
        <v>4551</v>
      </c>
      <c r="Y642" s="15" t="n">
        <v>0</v>
      </c>
      <c r="Z642" s="15" t="n">
        <v>0</v>
      </c>
      <c r="AA642" s="15" t="n">
        <v>0</v>
      </c>
      <c r="AB642" s="15" t="n">
        <v>0</v>
      </c>
      <c r="AC642" s="15" t="n">
        <v>0</v>
      </c>
      <c r="AD642" s="15" t="n">
        <v>0</v>
      </c>
      <c r="AE642" s="15" t="n">
        <v>1</v>
      </c>
      <c r="AF642" s="15" t="n">
        <v>1</v>
      </c>
      <c r="AG642" s="15" t="n">
        <v>0</v>
      </c>
      <c r="AH642" s="15" t="n">
        <v>1</v>
      </c>
    </row>
    <row r="643" customFormat="false" ht="35.05" hidden="false" customHeight="false" outlineLevel="0" collapsed="false">
      <c r="A643" s="15" t="s">
        <v>4552</v>
      </c>
      <c r="B643" s="15" t="s">
        <v>38</v>
      </c>
      <c r="C643" s="15" t="s">
        <v>1135</v>
      </c>
      <c r="D643" s="15" t="n">
        <v>36</v>
      </c>
      <c r="E643" s="15" t="s">
        <v>1200</v>
      </c>
      <c r="F643" s="15" t="n">
        <v>2</v>
      </c>
      <c r="G643" s="15" t="s">
        <v>141</v>
      </c>
      <c r="H643" s="15" t="s">
        <v>142</v>
      </c>
      <c r="I643" s="3" t="s">
        <v>4553</v>
      </c>
      <c r="J643" s="3" t="s">
        <v>4554</v>
      </c>
      <c r="K643" s="15" t="s">
        <v>133</v>
      </c>
      <c r="L643" s="16" t="s">
        <v>7</v>
      </c>
      <c r="M643" s="15" t="s">
        <v>66</v>
      </c>
      <c r="N643" s="15" t="s">
        <v>88</v>
      </c>
      <c r="O643" s="15" t="s">
        <v>4555</v>
      </c>
      <c r="P643" s="15" t="s">
        <v>135</v>
      </c>
      <c r="Q643" s="15" t="s">
        <v>129</v>
      </c>
      <c r="R643" s="15" t="s">
        <v>135</v>
      </c>
      <c r="S643" s="15"/>
      <c r="T643" s="15"/>
      <c r="U643" s="3" t="s">
        <v>4556</v>
      </c>
      <c r="V643" s="3" t="s">
        <v>4557</v>
      </c>
      <c r="W643" s="3"/>
      <c r="X643" s="3" t="s">
        <v>4558</v>
      </c>
      <c r="Y643" s="15" t="n">
        <v>0</v>
      </c>
      <c r="Z643" s="15" t="n">
        <v>0</v>
      </c>
      <c r="AA643" s="15" t="n">
        <v>1</v>
      </c>
      <c r="AB643" s="15" t="n">
        <v>0</v>
      </c>
      <c r="AC643" s="15" t="n">
        <v>0</v>
      </c>
      <c r="AD643" s="15" t="n">
        <v>0</v>
      </c>
      <c r="AE643" s="15" t="n">
        <v>0</v>
      </c>
      <c r="AF643" s="15" t="n">
        <v>1</v>
      </c>
      <c r="AG643" s="15" t="n">
        <v>0</v>
      </c>
      <c r="AH643" s="15" t="n">
        <v>1</v>
      </c>
    </row>
    <row r="644" customFormat="false" ht="46.25" hidden="false" customHeight="false" outlineLevel="0" collapsed="false">
      <c r="A644" s="15" t="s">
        <v>4559</v>
      </c>
      <c r="B644" s="15" t="s">
        <v>38</v>
      </c>
      <c r="C644" s="15" t="s">
        <v>1135</v>
      </c>
      <c r="D644" s="15" t="n">
        <v>40</v>
      </c>
      <c r="E644" s="15" t="s">
        <v>1223</v>
      </c>
      <c r="F644" s="15" t="n">
        <v>0</v>
      </c>
      <c r="G644" s="15" t="s">
        <v>129</v>
      </c>
      <c r="H644" s="15" t="s">
        <v>130</v>
      </c>
      <c r="I644" s="3" t="s">
        <v>4560</v>
      </c>
      <c r="J644" s="3" t="s">
        <v>4561</v>
      </c>
      <c r="K644" s="15" t="s">
        <v>133</v>
      </c>
      <c r="L644" s="16" t="s">
        <v>7</v>
      </c>
      <c r="M644" s="15" t="s">
        <v>66</v>
      </c>
      <c r="N644" s="15" t="s">
        <v>87</v>
      </c>
      <c r="O644" s="15" t="s">
        <v>87</v>
      </c>
      <c r="P644" s="15" t="s">
        <v>185</v>
      </c>
      <c r="Q644" s="15" t="s">
        <v>129</v>
      </c>
      <c r="R644" s="15" t="s">
        <v>135</v>
      </c>
      <c r="S644" s="15"/>
      <c r="T644" s="15"/>
      <c r="U644" s="3" t="s">
        <v>4562</v>
      </c>
      <c r="V644" s="3" t="s">
        <v>4563</v>
      </c>
      <c r="W644" s="3" t="s">
        <v>4564</v>
      </c>
      <c r="X644" s="3" t="s">
        <v>4565</v>
      </c>
      <c r="Y644" s="15" t="n">
        <v>0</v>
      </c>
      <c r="Z644" s="15" t="n">
        <v>0</v>
      </c>
      <c r="AA644" s="15" t="n">
        <v>0</v>
      </c>
      <c r="AB644" s="15" t="n">
        <v>0</v>
      </c>
      <c r="AC644" s="15" t="n">
        <v>0</v>
      </c>
      <c r="AD644" s="15" t="n">
        <v>0</v>
      </c>
      <c r="AE644" s="15" t="n">
        <v>1</v>
      </c>
      <c r="AF644" s="15" t="n">
        <v>0</v>
      </c>
      <c r="AG644" s="15" t="n">
        <v>0</v>
      </c>
      <c r="AH644" s="15" t="n">
        <v>0</v>
      </c>
    </row>
    <row r="645" customFormat="false" ht="35.05" hidden="false" customHeight="false" outlineLevel="0" collapsed="false">
      <c r="A645" s="15" t="s">
        <v>4566</v>
      </c>
      <c r="B645" s="15" t="s">
        <v>38</v>
      </c>
      <c r="C645" s="15" t="s">
        <v>1135</v>
      </c>
      <c r="D645" s="15" t="n">
        <v>40</v>
      </c>
      <c r="E645" s="15" t="s">
        <v>1223</v>
      </c>
      <c r="F645" s="15" t="n">
        <v>1</v>
      </c>
      <c r="G645" s="15" t="s">
        <v>197</v>
      </c>
      <c r="H645" s="15" t="s">
        <v>142</v>
      </c>
      <c r="I645" s="3" t="s">
        <v>4567</v>
      </c>
      <c r="J645" s="3" t="s">
        <v>4568</v>
      </c>
      <c r="K645" s="15" t="s">
        <v>145</v>
      </c>
      <c r="L645" s="16" t="s">
        <v>7</v>
      </c>
      <c r="M645" s="15" t="s">
        <v>66</v>
      </c>
      <c r="N645" s="15" t="s">
        <v>87</v>
      </c>
      <c r="O645" s="15" t="s">
        <v>87</v>
      </c>
      <c r="P645" s="15" t="s">
        <v>185</v>
      </c>
      <c r="Q645" s="15" t="s">
        <v>197</v>
      </c>
      <c r="R645" s="15" t="s">
        <v>135</v>
      </c>
      <c r="S645" s="15"/>
      <c r="T645" s="15"/>
      <c r="U645" s="3" t="s">
        <v>4569</v>
      </c>
      <c r="V645" s="3" t="s">
        <v>4570</v>
      </c>
      <c r="W645" s="3"/>
      <c r="X645" s="3" t="s">
        <v>4571</v>
      </c>
      <c r="Y645" s="15" t="n">
        <v>0</v>
      </c>
      <c r="Z645" s="15" t="n">
        <v>0</v>
      </c>
      <c r="AA645" s="15" t="n">
        <v>0</v>
      </c>
      <c r="AB645" s="15" t="n">
        <v>0</v>
      </c>
      <c r="AC645" s="15" t="n">
        <v>0</v>
      </c>
      <c r="AD645" s="15" t="n">
        <v>0</v>
      </c>
      <c r="AE645" s="15" t="n">
        <v>1</v>
      </c>
      <c r="AF645" s="15" t="n">
        <v>0</v>
      </c>
      <c r="AG645" s="15" t="n">
        <v>0</v>
      </c>
      <c r="AH645" s="15" t="n">
        <v>0</v>
      </c>
    </row>
    <row r="646" customFormat="false" ht="23.85" hidden="false" customHeight="false" outlineLevel="0" collapsed="false">
      <c r="A646" s="15" t="s">
        <v>4572</v>
      </c>
      <c r="B646" s="15" t="s">
        <v>38</v>
      </c>
      <c r="C646" s="15" t="s">
        <v>1135</v>
      </c>
      <c r="D646" s="15" t="n">
        <v>40</v>
      </c>
      <c r="E646" s="15" t="s">
        <v>1223</v>
      </c>
      <c r="F646" s="15" t="n">
        <v>2</v>
      </c>
      <c r="G646" s="15" t="s">
        <v>141</v>
      </c>
      <c r="H646" s="15" t="s">
        <v>142</v>
      </c>
      <c r="I646" s="3" t="s">
        <v>4573</v>
      </c>
      <c r="J646" s="3" t="s">
        <v>4574</v>
      </c>
      <c r="K646" s="15" t="s">
        <v>133</v>
      </c>
      <c r="L646" s="16" t="s">
        <v>7</v>
      </c>
      <c r="M646" s="15" t="s">
        <v>66</v>
      </c>
      <c r="N646" s="15" t="s">
        <v>88</v>
      </c>
      <c r="O646" s="15" t="s">
        <v>4158</v>
      </c>
      <c r="P646" s="15" t="s">
        <v>135</v>
      </c>
      <c r="Q646" s="15" t="s">
        <v>129</v>
      </c>
      <c r="R646" s="15" t="s">
        <v>135</v>
      </c>
      <c r="S646" s="15"/>
      <c r="T646" s="15"/>
      <c r="U646" s="3" t="s">
        <v>4575</v>
      </c>
      <c r="V646" s="3" t="s">
        <v>4576</v>
      </c>
      <c r="W646" s="3"/>
      <c r="X646" s="3" t="s">
        <v>4577</v>
      </c>
      <c r="Y646" s="15" t="n">
        <v>0</v>
      </c>
      <c r="Z646" s="15" t="n">
        <v>0</v>
      </c>
      <c r="AA646" s="15" t="n">
        <v>0</v>
      </c>
      <c r="AB646" s="15" t="n">
        <v>0</v>
      </c>
      <c r="AC646" s="15" t="n">
        <v>0</v>
      </c>
      <c r="AD646" s="15" t="n">
        <v>1</v>
      </c>
      <c r="AE646" s="15" t="n">
        <v>0</v>
      </c>
      <c r="AF646" s="15" t="n">
        <v>1</v>
      </c>
      <c r="AG646" s="15" t="n">
        <v>0</v>
      </c>
      <c r="AH646" s="15" t="n">
        <v>0</v>
      </c>
    </row>
    <row r="647" customFormat="false" ht="46.25" hidden="false" customHeight="false" outlineLevel="0" collapsed="false">
      <c r="A647" s="15" t="s">
        <v>4578</v>
      </c>
      <c r="B647" s="15" t="s">
        <v>38</v>
      </c>
      <c r="C647" s="15" t="s">
        <v>1135</v>
      </c>
      <c r="D647" s="15" t="n">
        <v>43</v>
      </c>
      <c r="E647" s="15" t="s">
        <v>1244</v>
      </c>
      <c r="F647" s="15" t="n">
        <v>0</v>
      </c>
      <c r="G647" s="15" t="s">
        <v>129</v>
      </c>
      <c r="H647" s="15" t="s">
        <v>130</v>
      </c>
      <c r="I647" s="3" t="s">
        <v>4579</v>
      </c>
      <c r="J647" s="3" t="s">
        <v>4580</v>
      </c>
      <c r="K647" s="15" t="s">
        <v>145</v>
      </c>
      <c r="L647" s="16" t="s">
        <v>7</v>
      </c>
      <c r="M647" s="15" t="s">
        <v>68</v>
      </c>
      <c r="N647" s="15" t="s">
        <v>82</v>
      </c>
      <c r="O647" s="15" t="s">
        <v>239</v>
      </c>
      <c r="P647" s="15" t="s">
        <v>135</v>
      </c>
      <c r="Q647" s="15" t="s">
        <v>136</v>
      </c>
      <c r="R647" s="15" t="s">
        <v>135</v>
      </c>
      <c r="S647" s="15"/>
      <c r="T647" s="15"/>
      <c r="U647" s="3" t="s">
        <v>4581</v>
      </c>
      <c r="V647" s="3" t="s">
        <v>4582</v>
      </c>
      <c r="W647" s="3" t="s">
        <v>4583</v>
      </c>
      <c r="X647" s="3" t="s">
        <v>4584</v>
      </c>
      <c r="Y647" s="15" t="n">
        <v>0</v>
      </c>
      <c r="Z647" s="15" t="n">
        <v>1</v>
      </c>
      <c r="AA647" s="15" t="n">
        <v>0</v>
      </c>
      <c r="AB647" s="15" t="n">
        <v>0</v>
      </c>
      <c r="AC647" s="15" t="n">
        <v>0</v>
      </c>
      <c r="AD647" s="15" t="n">
        <v>0</v>
      </c>
      <c r="AE647" s="15" t="n">
        <v>0</v>
      </c>
      <c r="AF647" s="15" t="n">
        <v>1</v>
      </c>
      <c r="AG647" s="15" t="n">
        <v>0</v>
      </c>
      <c r="AH647" s="15" t="n">
        <v>1</v>
      </c>
    </row>
    <row r="648" customFormat="false" ht="35.05" hidden="false" customHeight="false" outlineLevel="0" collapsed="false">
      <c r="A648" s="15" t="s">
        <v>4585</v>
      </c>
      <c r="B648" s="15" t="s">
        <v>38</v>
      </c>
      <c r="C648" s="15" t="s">
        <v>1135</v>
      </c>
      <c r="D648" s="15" t="n">
        <v>43</v>
      </c>
      <c r="E648" s="15" t="s">
        <v>1244</v>
      </c>
      <c r="F648" s="15" t="n">
        <v>1</v>
      </c>
      <c r="G648" s="15" t="s">
        <v>307</v>
      </c>
      <c r="H648" s="15" t="s">
        <v>308</v>
      </c>
      <c r="I648" s="3" t="s">
        <v>4586</v>
      </c>
      <c r="J648" s="3" t="s">
        <v>4587</v>
      </c>
      <c r="K648" s="15" t="s">
        <v>145</v>
      </c>
      <c r="L648" s="17" t="s">
        <v>9</v>
      </c>
      <c r="M648" s="15" t="s">
        <v>70</v>
      </c>
      <c r="N648" s="15" t="s">
        <v>81</v>
      </c>
      <c r="O648" s="15" t="s">
        <v>389</v>
      </c>
      <c r="P648" s="15" t="s">
        <v>135</v>
      </c>
      <c r="Q648" s="15" t="s">
        <v>129</v>
      </c>
      <c r="R648" s="15" t="s">
        <v>135</v>
      </c>
      <c r="S648" s="15" t="s">
        <v>326</v>
      </c>
      <c r="T648" s="15" t="s">
        <v>390</v>
      </c>
      <c r="U648" s="3" t="s">
        <v>4588</v>
      </c>
      <c r="V648" s="3" t="s">
        <v>4589</v>
      </c>
      <c r="W648" s="3"/>
      <c r="X648" s="3"/>
      <c r="Y648" s="15" t="n">
        <v>1</v>
      </c>
      <c r="Z648" s="15" t="n">
        <v>0</v>
      </c>
      <c r="AA648" s="15" t="n">
        <v>0</v>
      </c>
      <c r="AB648" s="15" t="n">
        <v>0</v>
      </c>
      <c r="AC648" s="15" t="n">
        <v>1</v>
      </c>
      <c r="AD648" s="15" t="n">
        <v>0</v>
      </c>
      <c r="AE648" s="15" t="n">
        <v>0</v>
      </c>
      <c r="AF648" s="15" t="n">
        <v>0</v>
      </c>
      <c r="AG648" s="15" t="n">
        <v>0</v>
      </c>
      <c r="AH648" s="15" t="n">
        <v>0</v>
      </c>
    </row>
    <row r="649" customFormat="false" ht="35.05" hidden="false" customHeight="false" outlineLevel="0" collapsed="false">
      <c r="A649" s="15" t="s">
        <v>4590</v>
      </c>
      <c r="B649" s="15" t="s">
        <v>38</v>
      </c>
      <c r="C649" s="15" t="s">
        <v>1135</v>
      </c>
      <c r="D649" s="15" t="n">
        <v>43</v>
      </c>
      <c r="E649" s="15" t="s">
        <v>1244</v>
      </c>
      <c r="F649" s="15" t="n">
        <v>2</v>
      </c>
      <c r="G649" s="15" t="s">
        <v>197</v>
      </c>
      <c r="H649" s="15" t="s">
        <v>142</v>
      </c>
      <c r="I649" s="3" t="s">
        <v>4591</v>
      </c>
      <c r="J649" s="3" t="s">
        <v>4592</v>
      </c>
      <c r="K649" s="15" t="s">
        <v>145</v>
      </c>
      <c r="L649" s="16" t="s">
        <v>7</v>
      </c>
      <c r="M649" s="15" t="s">
        <v>68</v>
      </c>
      <c r="N649" s="15" t="s">
        <v>82</v>
      </c>
      <c r="O649" s="15" t="s">
        <v>215</v>
      </c>
      <c r="P649" s="15" t="s">
        <v>135</v>
      </c>
      <c r="Q649" s="15" t="s">
        <v>136</v>
      </c>
      <c r="R649" s="15" t="s">
        <v>135</v>
      </c>
      <c r="S649" s="15"/>
      <c r="T649" s="15"/>
      <c r="U649" s="3" t="s">
        <v>4593</v>
      </c>
      <c r="V649" s="3" t="s">
        <v>4594</v>
      </c>
      <c r="W649" s="3" t="s">
        <v>4595</v>
      </c>
      <c r="X649" s="3" t="s">
        <v>4596</v>
      </c>
      <c r="Y649" s="15" t="n">
        <v>0</v>
      </c>
      <c r="Z649" s="15" t="n">
        <v>1</v>
      </c>
      <c r="AA649" s="15" t="n">
        <v>0</v>
      </c>
      <c r="AB649" s="15" t="n">
        <v>0</v>
      </c>
      <c r="AC649" s="15" t="n">
        <v>0</v>
      </c>
      <c r="AD649" s="15" t="n">
        <v>0</v>
      </c>
      <c r="AE649" s="15" t="n">
        <v>0</v>
      </c>
      <c r="AF649" s="15" t="n">
        <v>1</v>
      </c>
      <c r="AG649" s="15" t="n">
        <v>0</v>
      </c>
      <c r="AH649" s="15" t="n">
        <v>0</v>
      </c>
    </row>
    <row r="650" customFormat="false" ht="35.05" hidden="false" customHeight="false" outlineLevel="0" collapsed="false">
      <c r="A650" s="15" t="s">
        <v>4597</v>
      </c>
      <c r="B650" s="15" t="s">
        <v>38</v>
      </c>
      <c r="C650" s="15" t="s">
        <v>1135</v>
      </c>
      <c r="D650" s="15" t="n">
        <v>44</v>
      </c>
      <c r="E650" s="15" t="s">
        <v>1268</v>
      </c>
      <c r="F650" s="15" t="n">
        <v>0</v>
      </c>
      <c r="G650" s="15" t="s">
        <v>129</v>
      </c>
      <c r="H650" s="15" t="s">
        <v>130</v>
      </c>
      <c r="I650" s="3" t="s">
        <v>4598</v>
      </c>
      <c r="J650" s="3" t="s">
        <v>4599</v>
      </c>
      <c r="K650" s="15" t="s">
        <v>133</v>
      </c>
      <c r="L650" s="18" t="s">
        <v>5</v>
      </c>
      <c r="M650" s="15" t="s">
        <v>426</v>
      </c>
      <c r="N650" s="15" t="s">
        <v>426</v>
      </c>
      <c r="O650" s="15"/>
      <c r="P650" s="15" t="s">
        <v>185</v>
      </c>
      <c r="Q650" s="15" t="s">
        <v>129</v>
      </c>
      <c r="R650" s="15" t="s">
        <v>185</v>
      </c>
      <c r="S650" s="15"/>
      <c r="T650" s="15"/>
      <c r="U650" s="3" t="s">
        <v>4600</v>
      </c>
      <c r="V650" s="3" t="s">
        <v>4601</v>
      </c>
      <c r="W650" s="3"/>
      <c r="X650" s="3"/>
      <c r="Y650" s="15" t="n">
        <v>0</v>
      </c>
      <c r="Z650" s="15" t="n">
        <v>0</v>
      </c>
      <c r="AA650" s="15" t="n">
        <v>0</v>
      </c>
      <c r="AB650" s="15" t="n">
        <v>0</v>
      </c>
      <c r="AC650" s="15" t="n">
        <v>0</v>
      </c>
      <c r="AD650" s="15" t="n">
        <v>0</v>
      </c>
      <c r="AE650" s="15" t="n">
        <v>0</v>
      </c>
      <c r="AF650" s="15" t="n">
        <v>0</v>
      </c>
      <c r="AG650" s="15" t="n">
        <v>0</v>
      </c>
      <c r="AH650" s="15" t="n">
        <v>0</v>
      </c>
    </row>
    <row r="651" customFormat="false" ht="35.05" hidden="false" customHeight="false" outlineLevel="0" collapsed="false">
      <c r="A651" s="15" t="s">
        <v>4602</v>
      </c>
      <c r="B651" s="15" t="s">
        <v>38</v>
      </c>
      <c r="C651" s="15" t="s">
        <v>1135</v>
      </c>
      <c r="D651" s="15" t="n">
        <v>44</v>
      </c>
      <c r="E651" s="15" t="s">
        <v>1268</v>
      </c>
      <c r="F651" s="15" t="n">
        <v>1</v>
      </c>
      <c r="G651" s="15" t="s">
        <v>197</v>
      </c>
      <c r="H651" s="15" t="s">
        <v>142</v>
      </c>
      <c r="I651" s="3" t="s">
        <v>4603</v>
      </c>
      <c r="J651" s="3" t="s">
        <v>4604</v>
      </c>
      <c r="K651" s="15" t="s">
        <v>145</v>
      </c>
      <c r="L651" s="16" t="s">
        <v>7</v>
      </c>
      <c r="M651" s="15" t="s">
        <v>66</v>
      </c>
      <c r="N651" s="15" t="s">
        <v>88</v>
      </c>
      <c r="O651" s="15" t="s">
        <v>88</v>
      </c>
      <c r="P651" s="15" t="s">
        <v>135</v>
      </c>
      <c r="Q651" s="15" t="s">
        <v>129</v>
      </c>
      <c r="R651" s="15" t="s">
        <v>185</v>
      </c>
      <c r="S651" s="15"/>
      <c r="T651" s="15"/>
      <c r="U651" s="3" t="s">
        <v>4605</v>
      </c>
      <c r="V651" s="3" t="s">
        <v>3867</v>
      </c>
      <c r="W651" s="3"/>
      <c r="X651" s="3" t="s">
        <v>4604</v>
      </c>
      <c r="Y651" s="15" t="n">
        <v>0</v>
      </c>
      <c r="Z651" s="15" t="n">
        <v>0</v>
      </c>
      <c r="AA651" s="15" t="n">
        <v>0</v>
      </c>
      <c r="AB651" s="15" t="n">
        <v>0</v>
      </c>
      <c r="AC651" s="15" t="n">
        <v>0</v>
      </c>
      <c r="AD651" s="15" t="n">
        <v>0</v>
      </c>
      <c r="AE651" s="15" t="n">
        <v>0</v>
      </c>
      <c r="AF651" s="15" t="n">
        <v>1</v>
      </c>
      <c r="AG651" s="15" t="n">
        <v>0</v>
      </c>
      <c r="AH651" s="15" t="n">
        <v>0</v>
      </c>
    </row>
    <row r="652" customFormat="false" ht="46.25" hidden="false" customHeight="false" outlineLevel="0" collapsed="false">
      <c r="A652" s="15" t="s">
        <v>4606</v>
      </c>
      <c r="B652" s="15" t="s">
        <v>38</v>
      </c>
      <c r="C652" s="15" t="s">
        <v>1135</v>
      </c>
      <c r="D652" s="15" t="n">
        <v>44</v>
      </c>
      <c r="E652" s="15" t="s">
        <v>1268</v>
      </c>
      <c r="F652" s="15" t="n">
        <v>2</v>
      </c>
      <c r="G652" s="15" t="s">
        <v>141</v>
      </c>
      <c r="H652" s="15" t="s">
        <v>142</v>
      </c>
      <c r="I652" s="3" t="s">
        <v>4607</v>
      </c>
      <c r="J652" s="3" t="s">
        <v>4608</v>
      </c>
      <c r="K652" s="15" t="s">
        <v>133</v>
      </c>
      <c r="L652" s="16" t="s">
        <v>7</v>
      </c>
      <c r="M652" s="15" t="s">
        <v>66</v>
      </c>
      <c r="N652" s="15" t="s">
        <v>88</v>
      </c>
      <c r="O652" s="15" t="s">
        <v>2045</v>
      </c>
      <c r="P652" s="15" t="s">
        <v>135</v>
      </c>
      <c r="Q652" s="15" t="s">
        <v>129</v>
      </c>
      <c r="R652" s="15" t="s">
        <v>135</v>
      </c>
      <c r="S652" s="15"/>
      <c r="T652" s="15"/>
      <c r="U652" s="3" t="s">
        <v>4609</v>
      </c>
      <c r="V652" s="3" t="s">
        <v>4610</v>
      </c>
      <c r="W652" s="3" t="s">
        <v>4611</v>
      </c>
      <c r="X652" s="3" t="s">
        <v>4612</v>
      </c>
      <c r="Y652" s="15" t="n">
        <v>0</v>
      </c>
      <c r="Z652" s="15" t="n">
        <v>0</v>
      </c>
      <c r="AA652" s="15" t="n">
        <v>0</v>
      </c>
      <c r="AB652" s="15" t="n">
        <v>0</v>
      </c>
      <c r="AC652" s="15" t="n">
        <v>1</v>
      </c>
      <c r="AD652" s="15" t="n">
        <v>0</v>
      </c>
      <c r="AE652" s="15" t="n">
        <v>0</v>
      </c>
      <c r="AF652" s="15" t="n">
        <v>1</v>
      </c>
      <c r="AG652" s="15" t="n">
        <v>0</v>
      </c>
      <c r="AH652" s="15" t="n">
        <v>0</v>
      </c>
    </row>
    <row r="653" customFormat="false" ht="35.05" hidden="false" customHeight="false" outlineLevel="0" collapsed="false">
      <c r="A653" s="15" t="s">
        <v>4613</v>
      </c>
      <c r="B653" s="15" t="s">
        <v>38</v>
      </c>
      <c r="C653" s="15" t="s">
        <v>1135</v>
      </c>
      <c r="D653" s="15" t="n">
        <v>47</v>
      </c>
      <c r="E653" s="15" t="s">
        <v>1286</v>
      </c>
      <c r="F653" s="15" t="n">
        <v>0</v>
      </c>
      <c r="G653" s="15" t="s">
        <v>129</v>
      </c>
      <c r="H653" s="15" t="s">
        <v>130</v>
      </c>
      <c r="I653" s="3" t="s">
        <v>4614</v>
      </c>
      <c r="J653" s="3" t="s">
        <v>4615</v>
      </c>
      <c r="K653" s="15" t="s">
        <v>133</v>
      </c>
      <c r="L653" s="18" t="s">
        <v>5</v>
      </c>
      <c r="M653" s="15" t="s">
        <v>426</v>
      </c>
      <c r="N653" s="15" t="s">
        <v>426</v>
      </c>
      <c r="O653" s="15"/>
      <c r="P653" s="15" t="s">
        <v>185</v>
      </c>
      <c r="Q653" s="15" t="s">
        <v>129</v>
      </c>
      <c r="R653" s="15" t="s">
        <v>185</v>
      </c>
      <c r="S653" s="15"/>
      <c r="T653" s="15"/>
      <c r="U653" s="3" t="s">
        <v>4616</v>
      </c>
      <c r="V653" s="3" t="s">
        <v>4617</v>
      </c>
      <c r="W653" s="3"/>
      <c r="X653" s="3"/>
      <c r="Y653" s="15" t="n">
        <v>0</v>
      </c>
      <c r="Z653" s="15" t="n">
        <v>0</v>
      </c>
      <c r="AA653" s="15" t="n">
        <v>0</v>
      </c>
      <c r="AB653" s="15" t="n">
        <v>0</v>
      </c>
      <c r="AC653" s="15" t="n">
        <v>0</v>
      </c>
      <c r="AD653" s="15" t="n">
        <v>0</v>
      </c>
      <c r="AE653" s="15" t="n">
        <v>0</v>
      </c>
      <c r="AF653" s="15" t="n">
        <v>0</v>
      </c>
      <c r="AG653" s="15" t="n">
        <v>0</v>
      </c>
      <c r="AH653" s="15" t="n">
        <v>0</v>
      </c>
    </row>
    <row r="654" customFormat="false" ht="23.85" hidden="false" customHeight="false" outlineLevel="0" collapsed="false">
      <c r="A654" s="15" t="s">
        <v>4618</v>
      </c>
      <c r="B654" s="15" t="s">
        <v>38</v>
      </c>
      <c r="C654" s="15" t="s">
        <v>1135</v>
      </c>
      <c r="D654" s="15" t="n">
        <v>47</v>
      </c>
      <c r="E654" s="15" t="s">
        <v>1286</v>
      </c>
      <c r="F654" s="15" t="n">
        <v>1</v>
      </c>
      <c r="G654" s="15" t="s">
        <v>197</v>
      </c>
      <c r="H654" s="15" t="s">
        <v>142</v>
      </c>
      <c r="I654" s="3" t="s">
        <v>4619</v>
      </c>
      <c r="J654" s="3" t="s">
        <v>4620</v>
      </c>
      <c r="K654" s="15" t="s">
        <v>145</v>
      </c>
      <c r="L654" s="18" t="s">
        <v>5</v>
      </c>
      <c r="M654" s="15" t="s">
        <v>426</v>
      </c>
      <c r="N654" s="15" t="s">
        <v>426</v>
      </c>
      <c r="O654" s="15"/>
      <c r="P654" s="15" t="s">
        <v>185</v>
      </c>
      <c r="Q654" s="15" t="s">
        <v>197</v>
      </c>
      <c r="R654" s="15" t="s">
        <v>185</v>
      </c>
      <c r="S654" s="15"/>
      <c r="T654" s="15"/>
      <c r="U654" s="3" t="s">
        <v>4621</v>
      </c>
      <c r="V654" s="3" t="s">
        <v>4622</v>
      </c>
      <c r="W654" s="3"/>
      <c r="X654" s="3"/>
      <c r="Y654" s="15" t="n">
        <v>0</v>
      </c>
      <c r="Z654" s="15" t="n">
        <v>0</v>
      </c>
      <c r="AA654" s="15" t="n">
        <v>0</v>
      </c>
      <c r="AB654" s="15" t="n">
        <v>0</v>
      </c>
      <c r="AC654" s="15" t="n">
        <v>0</v>
      </c>
      <c r="AD654" s="15" t="n">
        <v>0</v>
      </c>
      <c r="AE654" s="15" t="n">
        <v>0</v>
      </c>
      <c r="AF654" s="15" t="n">
        <v>0</v>
      </c>
      <c r="AG654" s="15" t="n">
        <v>0</v>
      </c>
      <c r="AH654" s="15" t="n">
        <v>0</v>
      </c>
    </row>
    <row r="655" customFormat="false" ht="46.25" hidden="false" customHeight="false" outlineLevel="0" collapsed="false">
      <c r="A655" s="15" t="s">
        <v>4623</v>
      </c>
      <c r="B655" s="15" t="s">
        <v>38</v>
      </c>
      <c r="C655" s="15" t="s">
        <v>1135</v>
      </c>
      <c r="D655" s="15" t="n">
        <v>47</v>
      </c>
      <c r="E655" s="15" t="s">
        <v>1286</v>
      </c>
      <c r="F655" s="15" t="n">
        <v>2</v>
      </c>
      <c r="G655" s="15" t="s">
        <v>141</v>
      </c>
      <c r="H655" s="15" t="s">
        <v>142</v>
      </c>
      <c r="I655" s="3" t="s">
        <v>4624</v>
      </c>
      <c r="J655" s="3" t="s">
        <v>4625</v>
      </c>
      <c r="K655" s="15" t="s">
        <v>133</v>
      </c>
      <c r="L655" s="16" t="s">
        <v>7</v>
      </c>
      <c r="M655" s="15" t="s">
        <v>66</v>
      </c>
      <c r="N655" s="15" t="s">
        <v>88</v>
      </c>
      <c r="O655" s="15" t="s">
        <v>88</v>
      </c>
      <c r="P655" s="15" t="s">
        <v>135</v>
      </c>
      <c r="Q655" s="15" t="s">
        <v>129</v>
      </c>
      <c r="R655" s="15" t="s">
        <v>185</v>
      </c>
      <c r="S655" s="15"/>
      <c r="T655" s="15"/>
      <c r="U655" s="3" t="s">
        <v>4626</v>
      </c>
      <c r="V655" s="3" t="s">
        <v>4627</v>
      </c>
      <c r="W655" s="3"/>
      <c r="X655" s="3" t="s">
        <v>4628</v>
      </c>
      <c r="Y655" s="15" t="n">
        <v>0</v>
      </c>
      <c r="Z655" s="15" t="n">
        <v>0</v>
      </c>
      <c r="AA655" s="15" t="n">
        <v>0</v>
      </c>
      <c r="AB655" s="15" t="n">
        <v>0</v>
      </c>
      <c r="AC655" s="15" t="n">
        <v>0</v>
      </c>
      <c r="AD655" s="15" t="n">
        <v>0</v>
      </c>
      <c r="AE655" s="15" t="n">
        <v>0</v>
      </c>
      <c r="AF655" s="15" t="n">
        <v>1</v>
      </c>
      <c r="AG655" s="15" t="n">
        <v>0</v>
      </c>
      <c r="AH655" s="15" t="n">
        <v>0</v>
      </c>
    </row>
    <row r="656" customFormat="false" ht="46.25" hidden="false" customHeight="false" outlineLevel="0" collapsed="false">
      <c r="A656" s="15" t="s">
        <v>4629</v>
      </c>
      <c r="B656" s="15" t="s">
        <v>38</v>
      </c>
      <c r="C656" s="15" t="s">
        <v>1135</v>
      </c>
      <c r="D656" s="15" t="n">
        <v>48</v>
      </c>
      <c r="E656" s="15" t="s">
        <v>1309</v>
      </c>
      <c r="F656" s="15" t="n">
        <v>0</v>
      </c>
      <c r="G656" s="15" t="s">
        <v>129</v>
      </c>
      <c r="H656" s="15" t="s">
        <v>130</v>
      </c>
      <c r="I656" s="3" t="s">
        <v>4630</v>
      </c>
      <c r="J656" s="3" t="s">
        <v>4631</v>
      </c>
      <c r="K656" s="15" t="s">
        <v>145</v>
      </c>
      <c r="L656" s="16" t="s">
        <v>7</v>
      </c>
      <c r="M656" s="15" t="s">
        <v>66</v>
      </c>
      <c r="N656" s="15" t="s">
        <v>85</v>
      </c>
      <c r="O656" s="15" t="s">
        <v>85</v>
      </c>
      <c r="P656" s="15" t="s">
        <v>185</v>
      </c>
      <c r="Q656" s="15" t="s">
        <v>129</v>
      </c>
      <c r="R656" s="15" t="s">
        <v>135</v>
      </c>
      <c r="S656" s="15"/>
      <c r="T656" s="15"/>
      <c r="U656" s="3" t="s">
        <v>4632</v>
      </c>
      <c r="V656" s="3" t="s">
        <v>4633</v>
      </c>
      <c r="W656" s="3" t="s">
        <v>4634</v>
      </c>
      <c r="X656" s="3" t="s">
        <v>4635</v>
      </c>
      <c r="Y656" s="15" t="n">
        <v>0</v>
      </c>
      <c r="Z656" s="15" t="n">
        <v>0</v>
      </c>
      <c r="AA656" s="15" t="n">
        <v>0</v>
      </c>
      <c r="AB656" s="15" t="n">
        <v>0</v>
      </c>
      <c r="AC656" s="15" t="n">
        <v>1</v>
      </c>
      <c r="AD656" s="15" t="n">
        <v>0</v>
      </c>
      <c r="AE656" s="15" t="n">
        <v>0</v>
      </c>
      <c r="AF656" s="15" t="n">
        <v>0</v>
      </c>
      <c r="AG656" s="15" t="n">
        <v>0</v>
      </c>
      <c r="AH656" s="15" t="n">
        <v>0</v>
      </c>
    </row>
    <row r="657" customFormat="false" ht="46.25" hidden="false" customHeight="false" outlineLevel="0" collapsed="false">
      <c r="A657" s="15" t="s">
        <v>4636</v>
      </c>
      <c r="B657" s="15" t="s">
        <v>38</v>
      </c>
      <c r="C657" s="15" t="s">
        <v>1135</v>
      </c>
      <c r="D657" s="15" t="n">
        <v>48</v>
      </c>
      <c r="E657" s="15" t="s">
        <v>1309</v>
      </c>
      <c r="F657" s="15" t="n">
        <v>1</v>
      </c>
      <c r="G657" s="15" t="s">
        <v>197</v>
      </c>
      <c r="H657" s="15" t="s">
        <v>142</v>
      </c>
      <c r="I657" s="3" t="s">
        <v>4637</v>
      </c>
      <c r="J657" s="3" t="s">
        <v>4638</v>
      </c>
      <c r="K657" s="15" t="s">
        <v>133</v>
      </c>
      <c r="L657" s="16" t="s">
        <v>7</v>
      </c>
      <c r="M657" s="15" t="s">
        <v>68</v>
      </c>
      <c r="N657" s="15" t="s">
        <v>84</v>
      </c>
      <c r="O657" s="15" t="s">
        <v>256</v>
      </c>
      <c r="P657" s="15" t="s">
        <v>135</v>
      </c>
      <c r="Q657" s="15" t="s">
        <v>136</v>
      </c>
      <c r="R657" s="15" t="s">
        <v>135</v>
      </c>
      <c r="S657" s="15"/>
      <c r="T657" s="15"/>
      <c r="U657" s="3" t="s">
        <v>4639</v>
      </c>
      <c r="V657" s="3" t="s">
        <v>4640</v>
      </c>
      <c r="W657" s="3"/>
      <c r="X657" s="3" t="s">
        <v>4641</v>
      </c>
      <c r="Y657" s="15" t="n">
        <v>0</v>
      </c>
      <c r="Z657" s="15" t="n">
        <v>1</v>
      </c>
      <c r="AA657" s="15" t="n">
        <v>0</v>
      </c>
      <c r="AB657" s="15" t="n">
        <v>1</v>
      </c>
      <c r="AC657" s="15" t="n">
        <v>0</v>
      </c>
      <c r="AD657" s="15" t="n">
        <v>0</v>
      </c>
      <c r="AE657" s="15" t="n">
        <v>0</v>
      </c>
      <c r="AF657" s="15" t="n">
        <v>1</v>
      </c>
      <c r="AG657" s="15" t="n">
        <v>0</v>
      </c>
      <c r="AH657" s="15" t="n">
        <v>0</v>
      </c>
    </row>
    <row r="658" customFormat="false" ht="57.45" hidden="false" customHeight="false" outlineLevel="0" collapsed="false">
      <c r="A658" s="15" t="s">
        <v>4642</v>
      </c>
      <c r="B658" s="15" t="s">
        <v>38</v>
      </c>
      <c r="C658" s="15" t="s">
        <v>1135</v>
      </c>
      <c r="D658" s="15" t="n">
        <v>48</v>
      </c>
      <c r="E658" s="15" t="s">
        <v>1309</v>
      </c>
      <c r="F658" s="15" t="n">
        <v>2</v>
      </c>
      <c r="G658" s="15" t="s">
        <v>141</v>
      </c>
      <c r="H658" s="15" t="s">
        <v>142</v>
      </c>
      <c r="I658" s="3" t="s">
        <v>4643</v>
      </c>
      <c r="J658" s="3" t="s">
        <v>4644</v>
      </c>
      <c r="K658" s="15" t="s">
        <v>133</v>
      </c>
      <c r="L658" s="16" t="s">
        <v>7</v>
      </c>
      <c r="M658" s="15" t="s">
        <v>68</v>
      </c>
      <c r="N658" s="15" t="s">
        <v>84</v>
      </c>
      <c r="O658" s="15" t="s">
        <v>3165</v>
      </c>
      <c r="P658" s="15" t="s">
        <v>135</v>
      </c>
      <c r="Q658" s="15" t="s">
        <v>129</v>
      </c>
      <c r="R658" s="15" t="s">
        <v>135</v>
      </c>
      <c r="S658" s="15"/>
      <c r="T658" s="15"/>
      <c r="U658" s="3" t="s">
        <v>4645</v>
      </c>
      <c r="V658" s="3" t="s">
        <v>4646</v>
      </c>
      <c r="W658" s="3"/>
      <c r="X658" s="3" t="s">
        <v>4647</v>
      </c>
      <c r="Y658" s="15" t="n">
        <v>0</v>
      </c>
      <c r="Z658" s="15" t="n">
        <v>0</v>
      </c>
      <c r="AA658" s="15" t="n">
        <v>0</v>
      </c>
      <c r="AB658" s="15" t="n">
        <v>1</v>
      </c>
      <c r="AC658" s="15" t="n">
        <v>0</v>
      </c>
      <c r="AD658" s="15" t="n">
        <v>0</v>
      </c>
      <c r="AE658" s="15" t="n">
        <v>0</v>
      </c>
      <c r="AF658" s="15" t="n">
        <v>1</v>
      </c>
      <c r="AG658" s="15" t="n">
        <v>0</v>
      </c>
      <c r="AH658" s="15" t="n">
        <v>0</v>
      </c>
    </row>
    <row r="659" customFormat="false" ht="35.05" hidden="false" customHeight="false" outlineLevel="0" collapsed="false">
      <c r="A659" s="15" t="s">
        <v>4648</v>
      </c>
      <c r="B659" s="15" t="s">
        <v>38</v>
      </c>
      <c r="C659" s="15" t="s">
        <v>1135</v>
      </c>
      <c r="D659" s="15" t="n">
        <v>49</v>
      </c>
      <c r="E659" s="15" t="s">
        <v>1330</v>
      </c>
      <c r="F659" s="15" t="n">
        <v>0</v>
      </c>
      <c r="G659" s="15" t="s">
        <v>129</v>
      </c>
      <c r="H659" s="15" t="s">
        <v>130</v>
      </c>
      <c r="I659" s="3" t="s">
        <v>4649</v>
      </c>
      <c r="J659" s="3" t="s">
        <v>4650</v>
      </c>
      <c r="K659" s="15" t="s">
        <v>133</v>
      </c>
      <c r="L659" s="18" t="s">
        <v>5</v>
      </c>
      <c r="M659" s="15" t="s">
        <v>426</v>
      </c>
      <c r="N659" s="15" t="s">
        <v>426</v>
      </c>
      <c r="O659" s="15"/>
      <c r="P659" s="15" t="s">
        <v>185</v>
      </c>
      <c r="Q659" s="15" t="s">
        <v>129</v>
      </c>
      <c r="R659" s="15" t="s">
        <v>185</v>
      </c>
      <c r="S659" s="15"/>
      <c r="T659" s="15"/>
      <c r="U659" s="3" t="s">
        <v>4651</v>
      </c>
      <c r="V659" s="3" t="s">
        <v>4652</v>
      </c>
      <c r="W659" s="3"/>
      <c r="X659" s="3"/>
      <c r="Y659" s="15" t="n">
        <v>0</v>
      </c>
      <c r="Z659" s="15" t="n">
        <v>0</v>
      </c>
      <c r="AA659" s="15" t="n">
        <v>0</v>
      </c>
      <c r="AB659" s="15" t="n">
        <v>0</v>
      </c>
      <c r="AC659" s="15" t="n">
        <v>0</v>
      </c>
      <c r="AD659" s="15" t="n">
        <v>0</v>
      </c>
      <c r="AE659" s="15" t="n">
        <v>0</v>
      </c>
      <c r="AF659" s="15" t="n">
        <v>0</v>
      </c>
      <c r="AG659" s="15" t="n">
        <v>0</v>
      </c>
      <c r="AH659" s="15" t="n">
        <v>0</v>
      </c>
    </row>
    <row r="660" customFormat="false" ht="35.05" hidden="false" customHeight="false" outlineLevel="0" collapsed="false">
      <c r="A660" s="15" t="s">
        <v>4653</v>
      </c>
      <c r="B660" s="15" t="s">
        <v>38</v>
      </c>
      <c r="C660" s="15" t="s">
        <v>1135</v>
      </c>
      <c r="D660" s="15" t="n">
        <v>49</v>
      </c>
      <c r="E660" s="15" t="s">
        <v>1330</v>
      </c>
      <c r="F660" s="15" t="n">
        <v>1</v>
      </c>
      <c r="G660" s="15" t="s">
        <v>197</v>
      </c>
      <c r="H660" s="15" t="s">
        <v>142</v>
      </c>
      <c r="I660" s="3" t="s">
        <v>4654</v>
      </c>
      <c r="J660" s="3" t="s">
        <v>4655</v>
      </c>
      <c r="K660" s="15" t="s">
        <v>145</v>
      </c>
      <c r="L660" s="16" t="s">
        <v>7</v>
      </c>
      <c r="M660" s="15" t="s">
        <v>66</v>
      </c>
      <c r="N660" s="15" t="s">
        <v>88</v>
      </c>
      <c r="O660" s="15" t="s">
        <v>88</v>
      </c>
      <c r="P660" s="15" t="s">
        <v>135</v>
      </c>
      <c r="Q660" s="15" t="s">
        <v>129</v>
      </c>
      <c r="R660" s="15" t="s">
        <v>185</v>
      </c>
      <c r="S660" s="15"/>
      <c r="T660" s="15"/>
      <c r="U660" s="3" t="s">
        <v>4656</v>
      </c>
      <c r="V660" s="3" t="s">
        <v>4657</v>
      </c>
      <c r="W660" s="3"/>
      <c r="X660" s="3" t="s">
        <v>4655</v>
      </c>
      <c r="Y660" s="15" t="n">
        <v>0</v>
      </c>
      <c r="Z660" s="15" t="n">
        <v>0</v>
      </c>
      <c r="AA660" s="15" t="n">
        <v>0</v>
      </c>
      <c r="AB660" s="15" t="n">
        <v>0</v>
      </c>
      <c r="AC660" s="15" t="n">
        <v>0</v>
      </c>
      <c r="AD660" s="15" t="n">
        <v>0</v>
      </c>
      <c r="AE660" s="15" t="n">
        <v>0</v>
      </c>
      <c r="AF660" s="15" t="n">
        <v>1</v>
      </c>
      <c r="AG660" s="15" t="n">
        <v>0</v>
      </c>
      <c r="AH660" s="15" t="n">
        <v>0</v>
      </c>
    </row>
    <row r="661" customFormat="false" ht="35.05" hidden="false" customHeight="false" outlineLevel="0" collapsed="false">
      <c r="A661" s="15" t="s">
        <v>4658</v>
      </c>
      <c r="B661" s="15" t="s">
        <v>38</v>
      </c>
      <c r="C661" s="15" t="s">
        <v>1135</v>
      </c>
      <c r="D661" s="15" t="n">
        <v>49</v>
      </c>
      <c r="E661" s="15" t="s">
        <v>1330</v>
      </c>
      <c r="F661" s="15" t="n">
        <v>2</v>
      </c>
      <c r="G661" s="15" t="s">
        <v>141</v>
      </c>
      <c r="H661" s="15" t="s">
        <v>142</v>
      </c>
      <c r="I661" s="3" t="s">
        <v>4659</v>
      </c>
      <c r="J661" s="3" t="s">
        <v>4660</v>
      </c>
      <c r="K661" s="15" t="s">
        <v>133</v>
      </c>
      <c r="L661" s="16" t="s">
        <v>7</v>
      </c>
      <c r="M661" s="15" t="s">
        <v>66</v>
      </c>
      <c r="N661" s="15" t="s">
        <v>88</v>
      </c>
      <c r="O661" s="15" t="s">
        <v>231</v>
      </c>
      <c r="P661" s="15" t="s">
        <v>135</v>
      </c>
      <c r="Q661" s="15" t="s">
        <v>129</v>
      </c>
      <c r="R661" s="15" t="s">
        <v>185</v>
      </c>
      <c r="S661" s="15"/>
      <c r="T661" s="15"/>
      <c r="U661" s="3" t="s">
        <v>4661</v>
      </c>
      <c r="V661" s="3" t="s">
        <v>4662</v>
      </c>
      <c r="W661" s="3" t="s">
        <v>4663</v>
      </c>
      <c r="X661" s="3" t="s">
        <v>4664</v>
      </c>
      <c r="Y661" s="15" t="n">
        <v>0</v>
      </c>
      <c r="Z661" s="15" t="n">
        <v>0</v>
      </c>
      <c r="AA661" s="15" t="n">
        <v>0</v>
      </c>
      <c r="AB661" s="15" t="n">
        <v>0</v>
      </c>
      <c r="AC661" s="15" t="n">
        <v>0</v>
      </c>
      <c r="AD661" s="15" t="n">
        <v>0</v>
      </c>
      <c r="AE661" s="15" t="n">
        <v>0</v>
      </c>
      <c r="AF661" s="15" t="n">
        <v>1</v>
      </c>
      <c r="AG661" s="15" t="n">
        <v>0</v>
      </c>
      <c r="AH661" s="15" t="n">
        <v>1</v>
      </c>
    </row>
    <row r="662" customFormat="false" ht="35.05" hidden="false" customHeight="false" outlineLevel="0" collapsed="false">
      <c r="A662" s="15" t="s">
        <v>4665</v>
      </c>
      <c r="B662" s="15" t="s">
        <v>38</v>
      </c>
      <c r="C662" s="15" t="s">
        <v>1135</v>
      </c>
      <c r="D662" s="15" t="n">
        <v>52</v>
      </c>
      <c r="E662" s="15" t="s">
        <v>1352</v>
      </c>
      <c r="F662" s="15" t="n">
        <v>0</v>
      </c>
      <c r="G662" s="15" t="s">
        <v>129</v>
      </c>
      <c r="H662" s="15" t="s">
        <v>130</v>
      </c>
      <c r="I662" s="3" t="s">
        <v>4666</v>
      </c>
      <c r="J662" s="3" t="s">
        <v>4667</v>
      </c>
      <c r="K662" s="15" t="s">
        <v>133</v>
      </c>
      <c r="L662" s="16" t="s">
        <v>7</v>
      </c>
      <c r="M662" s="15" t="s">
        <v>66</v>
      </c>
      <c r="N662" s="15" t="s">
        <v>90</v>
      </c>
      <c r="O662" s="15" t="s">
        <v>293</v>
      </c>
      <c r="P662" s="15" t="s">
        <v>185</v>
      </c>
      <c r="Q662" s="15" t="s">
        <v>129</v>
      </c>
      <c r="R662" s="15" t="s">
        <v>135</v>
      </c>
      <c r="S662" s="15"/>
      <c r="T662" s="15"/>
      <c r="U662" s="3" t="s">
        <v>4668</v>
      </c>
      <c r="V662" s="3" t="s">
        <v>4669</v>
      </c>
      <c r="W662" s="3" t="s">
        <v>4670</v>
      </c>
      <c r="X662" s="3" t="s">
        <v>4671</v>
      </c>
      <c r="Y662" s="15" t="n">
        <v>0</v>
      </c>
      <c r="Z662" s="15" t="n">
        <v>0</v>
      </c>
      <c r="AA662" s="15" t="n">
        <v>0</v>
      </c>
      <c r="AB662" s="15" t="n">
        <v>0</v>
      </c>
      <c r="AC662" s="15" t="n">
        <v>0</v>
      </c>
      <c r="AD662" s="15" t="n">
        <v>0</v>
      </c>
      <c r="AE662" s="15" t="n">
        <v>1</v>
      </c>
      <c r="AF662" s="15" t="n">
        <v>0</v>
      </c>
      <c r="AG662" s="15" t="n">
        <v>0</v>
      </c>
      <c r="AH662" s="15" t="n">
        <v>1</v>
      </c>
    </row>
    <row r="663" customFormat="false" ht="35.05" hidden="false" customHeight="false" outlineLevel="0" collapsed="false">
      <c r="A663" s="15" t="s">
        <v>4672</v>
      </c>
      <c r="B663" s="15" t="s">
        <v>38</v>
      </c>
      <c r="C663" s="15" t="s">
        <v>1135</v>
      </c>
      <c r="D663" s="15" t="n">
        <v>52</v>
      </c>
      <c r="E663" s="15" t="s">
        <v>1352</v>
      </c>
      <c r="F663" s="15" t="n">
        <v>1</v>
      </c>
      <c r="G663" s="15" t="s">
        <v>197</v>
      </c>
      <c r="H663" s="15" t="s">
        <v>142</v>
      </c>
      <c r="I663" s="3" t="s">
        <v>4673</v>
      </c>
      <c r="J663" s="3" t="s">
        <v>4674</v>
      </c>
      <c r="K663" s="15" t="s">
        <v>145</v>
      </c>
      <c r="L663" s="16" t="s">
        <v>7</v>
      </c>
      <c r="M663" s="15" t="s">
        <v>66</v>
      </c>
      <c r="N663" s="15" t="s">
        <v>88</v>
      </c>
      <c r="O663" s="15" t="s">
        <v>231</v>
      </c>
      <c r="P663" s="15" t="s">
        <v>135</v>
      </c>
      <c r="Q663" s="15" t="s">
        <v>129</v>
      </c>
      <c r="R663" s="15" t="s">
        <v>185</v>
      </c>
      <c r="S663" s="15"/>
      <c r="T663" s="15"/>
      <c r="U663" s="3" t="s">
        <v>4675</v>
      </c>
      <c r="V663" s="3" t="s">
        <v>4676</v>
      </c>
      <c r="W663" s="3" t="s">
        <v>4677</v>
      </c>
      <c r="X663" s="3" t="s">
        <v>4678</v>
      </c>
      <c r="Y663" s="15" t="n">
        <v>0</v>
      </c>
      <c r="Z663" s="15" t="n">
        <v>0</v>
      </c>
      <c r="AA663" s="15" t="n">
        <v>0</v>
      </c>
      <c r="AB663" s="15" t="n">
        <v>0</v>
      </c>
      <c r="AC663" s="15" t="n">
        <v>0</v>
      </c>
      <c r="AD663" s="15" t="n">
        <v>0</v>
      </c>
      <c r="AE663" s="15" t="n">
        <v>0</v>
      </c>
      <c r="AF663" s="15" t="n">
        <v>1</v>
      </c>
      <c r="AG663" s="15" t="n">
        <v>0</v>
      </c>
      <c r="AH663" s="15" t="n">
        <v>1</v>
      </c>
    </row>
    <row r="664" customFormat="false" ht="35.05" hidden="false" customHeight="false" outlineLevel="0" collapsed="false">
      <c r="A664" s="15" t="s">
        <v>4679</v>
      </c>
      <c r="B664" s="15" t="s">
        <v>38</v>
      </c>
      <c r="C664" s="15" t="s">
        <v>1135</v>
      </c>
      <c r="D664" s="15" t="n">
        <v>52</v>
      </c>
      <c r="E664" s="15" t="s">
        <v>1352</v>
      </c>
      <c r="F664" s="15" t="n">
        <v>2</v>
      </c>
      <c r="G664" s="15" t="s">
        <v>141</v>
      </c>
      <c r="H664" s="15" t="s">
        <v>142</v>
      </c>
      <c r="I664" s="3" t="s">
        <v>4673</v>
      </c>
      <c r="J664" s="3" t="s">
        <v>4674</v>
      </c>
      <c r="K664" s="15" t="s">
        <v>145</v>
      </c>
      <c r="L664" s="16" t="s">
        <v>7</v>
      </c>
      <c r="M664" s="15" t="s">
        <v>66</v>
      </c>
      <c r="N664" s="15" t="s">
        <v>88</v>
      </c>
      <c r="O664" s="15" t="s">
        <v>231</v>
      </c>
      <c r="P664" s="15" t="s">
        <v>135</v>
      </c>
      <c r="Q664" s="15" t="s">
        <v>129</v>
      </c>
      <c r="R664" s="15" t="s">
        <v>185</v>
      </c>
      <c r="S664" s="15"/>
      <c r="T664" s="15"/>
      <c r="U664" s="3" t="s">
        <v>4680</v>
      </c>
      <c r="V664" s="3" t="s">
        <v>4681</v>
      </c>
      <c r="W664" s="3" t="s">
        <v>4682</v>
      </c>
      <c r="X664" s="3" t="s">
        <v>4683</v>
      </c>
      <c r="Y664" s="15" t="n">
        <v>0</v>
      </c>
      <c r="Z664" s="15" t="n">
        <v>0</v>
      </c>
      <c r="AA664" s="15" t="n">
        <v>0</v>
      </c>
      <c r="AB664" s="15" t="n">
        <v>0</v>
      </c>
      <c r="AC664" s="15" t="n">
        <v>0</v>
      </c>
      <c r="AD664" s="15" t="n">
        <v>0</v>
      </c>
      <c r="AE664" s="15" t="n">
        <v>0</v>
      </c>
      <c r="AF664" s="15" t="n">
        <v>1</v>
      </c>
      <c r="AG664" s="15" t="n">
        <v>0</v>
      </c>
      <c r="AH664" s="15" t="n">
        <v>1</v>
      </c>
    </row>
    <row r="665" customFormat="false" ht="68.65" hidden="false" customHeight="false" outlineLevel="0" collapsed="false">
      <c r="A665" s="15" t="s">
        <v>4684</v>
      </c>
      <c r="B665" s="15" t="s">
        <v>38</v>
      </c>
      <c r="C665" s="15" t="s">
        <v>1135</v>
      </c>
      <c r="D665" s="15" t="n">
        <v>55</v>
      </c>
      <c r="E665" s="15" t="s">
        <v>1374</v>
      </c>
      <c r="F665" s="15" t="n">
        <v>0</v>
      </c>
      <c r="G665" s="15" t="s">
        <v>152</v>
      </c>
      <c r="H665" s="15" t="s">
        <v>142</v>
      </c>
      <c r="I665" s="3" t="s">
        <v>4685</v>
      </c>
      <c r="J665" s="3" t="s">
        <v>4686</v>
      </c>
      <c r="K665" s="15" t="s">
        <v>133</v>
      </c>
      <c r="L665" s="16" t="s">
        <v>7</v>
      </c>
      <c r="M665" s="15" t="s">
        <v>68</v>
      </c>
      <c r="N665" s="15" t="s">
        <v>87</v>
      </c>
      <c r="O665" s="15" t="s">
        <v>2234</v>
      </c>
      <c r="P665" s="15" t="s">
        <v>185</v>
      </c>
      <c r="Q665" s="15" t="s">
        <v>152</v>
      </c>
      <c r="R665" s="15" t="s">
        <v>135</v>
      </c>
      <c r="S665" s="15"/>
      <c r="T665" s="15"/>
      <c r="U665" s="3" t="s">
        <v>4687</v>
      </c>
      <c r="V665" s="3" t="s">
        <v>4688</v>
      </c>
      <c r="W665" s="3" t="s">
        <v>4689</v>
      </c>
      <c r="X665" s="3" t="s">
        <v>4690</v>
      </c>
      <c r="Y665" s="15" t="n">
        <v>0</v>
      </c>
      <c r="Z665" s="15" t="n">
        <v>0</v>
      </c>
      <c r="AA665" s="15" t="n">
        <v>0</v>
      </c>
      <c r="AB665" s="15" t="n">
        <v>0</v>
      </c>
      <c r="AC665" s="15" t="n">
        <v>0</v>
      </c>
      <c r="AD665" s="15" t="n">
        <v>0</v>
      </c>
      <c r="AE665" s="15" t="n">
        <v>1</v>
      </c>
      <c r="AF665" s="15" t="n">
        <v>0</v>
      </c>
      <c r="AG665" s="15" t="n">
        <v>0</v>
      </c>
      <c r="AH665" s="15" t="n">
        <v>1</v>
      </c>
    </row>
    <row r="666" customFormat="false" ht="46.25" hidden="false" customHeight="false" outlineLevel="0" collapsed="false">
      <c r="A666" s="15" t="s">
        <v>4691</v>
      </c>
      <c r="B666" s="15" t="s">
        <v>38</v>
      </c>
      <c r="C666" s="15" t="s">
        <v>1135</v>
      </c>
      <c r="D666" s="15" t="n">
        <v>55</v>
      </c>
      <c r="E666" s="15" t="s">
        <v>1374</v>
      </c>
      <c r="F666" s="15" t="n">
        <v>1</v>
      </c>
      <c r="G666" s="15" t="s">
        <v>129</v>
      </c>
      <c r="H666" s="15" t="s">
        <v>130</v>
      </c>
      <c r="I666" s="3" t="s">
        <v>4692</v>
      </c>
      <c r="J666" s="3" t="s">
        <v>4693</v>
      </c>
      <c r="K666" s="15" t="s">
        <v>145</v>
      </c>
      <c r="L666" s="16" t="s">
        <v>7</v>
      </c>
      <c r="M666" s="15" t="s">
        <v>66</v>
      </c>
      <c r="N666" s="15" t="s">
        <v>90</v>
      </c>
      <c r="O666" s="15" t="s">
        <v>90</v>
      </c>
      <c r="P666" s="15" t="s">
        <v>185</v>
      </c>
      <c r="Q666" s="15" t="s">
        <v>129</v>
      </c>
      <c r="R666" s="15" t="s">
        <v>185</v>
      </c>
      <c r="S666" s="15"/>
      <c r="T666" s="15"/>
      <c r="U666" s="3" t="s">
        <v>4694</v>
      </c>
      <c r="V666" s="3" t="s">
        <v>4695</v>
      </c>
      <c r="W666" s="3" t="s">
        <v>4696</v>
      </c>
      <c r="X666" s="3" t="s">
        <v>4697</v>
      </c>
      <c r="Y666" s="15" t="n">
        <v>0</v>
      </c>
      <c r="Z666" s="15" t="n">
        <v>0</v>
      </c>
      <c r="AA666" s="15" t="n">
        <v>0</v>
      </c>
      <c r="AB666" s="15" t="n">
        <v>0</v>
      </c>
      <c r="AC666" s="15" t="n">
        <v>0</v>
      </c>
      <c r="AD666" s="15" t="n">
        <v>0</v>
      </c>
      <c r="AE666" s="15" t="n">
        <v>0</v>
      </c>
      <c r="AF666" s="15" t="n">
        <v>0</v>
      </c>
      <c r="AG666" s="15" t="n">
        <v>0</v>
      </c>
      <c r="AH666" s="15" t="n">
        <v>1</v>
      </c>
    </row>
    <row r="667" customFormat="false" ht="35.05" hidden="false" customHeight="false" outlineLevel="0" collapsed="false">
      <c r="A667" s="15" t="s">
        <v>4698</v>
      </c>
      <c r="B667" s="15" t="s">
        <v>38</v>
      </c>
      <c r="C667" s="15" t="s">
        <v>1135</v>
      </c>
      <c r="D667" s="15" t="n">
        <v>55</v>
      </c>
      <c r="E667" s="15" t="s">
        <v>1374</v>
      </c>
      <c r="F667" s="15" t="n">
        <v>2</v>
      </c>
      <c r="G667" s="15" t="s">
        <v>197</v>
      </c>
      <c r="H667" s="15" t="s">
        <v>142</v>
      </c>
      <c r="I667" s="3" t="s">
        <v>4699</v>
      </c>
      <c r="J667" s="3" t="s">
        <v>4700</v>
      </c>
      <c r="K667" s="15" t="s">
        <v>133</v>
      </c>
      <c r="L667" s="16" t="s">
        <v>7</v>
      </c>
      <c r="M667" s="15" t="s">
        <v>66</v>
      </c>
      <c r="N667" s="15" t="s">
        <v>90</v>
      </c>
      <c r="O667" s="15" t="s">
        <v>90</v>
      </c>
      <c r="P667" s="15" t="s">
        <v>185</v>
      </c>
      <c r="Q667" s="15" t="s">
        <v>197</v>
      </c>
      <c r="R667" s="15" t="s">
        <v>185</v>
      </c>
      <c r="S667" s="15"/>
      <c r="T667" s="15"/>
      <c r="U667" s="3" t="s">
        <v>4701</v>
      </c>
      <c r="V667" s="3" t="s">
        <v>4702</v>
      </c>
      <c r="W667" s="3" t="s">
        <v>4703</v>
      </c>
      <c r="X667" s="3" t="s">
        <v>4704</v>
      </c>
      <c r="Y667" s="15" t="n">
        <v>0</v>
      </c>
      <c r="Z667" s="15" t="n">
        <v>0</v>
      </c>
      <c r="AA667" s="15" t="n">
        <v>0</v>
      </c>
      <c r="AB667" s="15" t="n">
        <v>0</v>
      </c>
      <c r="AC667" s="15" t="n">
        <v>0</v>
      </c>
      <c r="AD667" s="15" t="n">
        <v>0</v>
      </c>
      <c r="AE667" s="15" t="n">
        <v>0</v>
      </c>
      <c r="AF667" s="15" t="n">
        <v>0</v>
      </c>
      <c r="AG667" s="15" t="n">
        <v>0</v>
      </c>
      <c r="AH667" s="15" t="n">
        <v>1</v>
      </c>
    </row>
    <row r="668" customFormat="false" ht="23.85" hidden="false" customHeight="false" outlineLevel="0" collapsed="false">
      <c r="A668" s="15" t="s">
        <v>4705</v>
      </c>
      <c r="B668" s="15" t="s">
        <v>38</v>
      </c>
      <c r="C668" s="15" t="s">
        <v>1135</v>
      </c>
      <c r="D668" s="15" t="n">
        <v>66</v>
      </c>
      <c r="E668" s="15" t="s">
        <v>1398</v>
      </c>
      <c r="F668" s="15" t="n">
        <v>0</v>
      </c>
      <c r="G668" s="15" t="s">
        <v>129</v>
      </c>
      <c r="H668" s="15" t="s">
        <v>130</v>
      </c>
      <c r="I668" s="3" t="s">
        <v>4706</v>
      </c>
      <c r="J668" s="3" t="s">
        <v>3838</v>
      </c>
      <c r="K668" s="15" t="s">
        <v>133</v>
      </c>
      <c r="L668" s="18" t="s">
        <v>5</v>
      </c>
      <c r="M668" s="15" t="s">
        <v>426</v>
      </c>
      <c r="N668" s="15" t="s">
        <v>426</v>
      </c>
      <c r="O668" s="15"/>
      <c r="P668" s="15" t="s">
        <v>185</v>
      </c>
      <c r="Q668" s="15" t="s">
        <v>129</v>
      </c>
      <c r="R668" s="15" t="s">
        <v>185</v>
      </c>
      <c r="S668" s="15"/>
      <c r="T668" s="15"/>
      <c r="U668" s="3" t="s">
        <v>4707</v>
      </c>
      <c r="V668" s="3" t="s">
        <v>4313</v>
      </c>
      <c r="W668" s="3"/>
      <c r="X668" s="3"/>
      <c r="Y668" s="15" t="n">
        <v>0</v>
      </c>
      <c r="Z668" s="15" t="n">
        <v>0</v>
      </c>
      <c r="AA668" s="15" t="n">
        <v>0</v>
      </c>
      <c r="AB668" s="15" t="n">
        <v>0</v>
      </c>
      <c r="AC668" s="15" t="n">
        <v>0</v>
      </c>
      <c r="AD668" s="15" t="n">
        <v>0</v>
      </c>
      <c r="AE668" s="15" t="n">
        <v>0</v>
      </c>
      <c r="AF668" s="15" t="n">
        <v>0</v>
      </c>
      <c r="AG668" s="15" t="n">
        <v>0</v>
      </c>
      <c r="AH668" s="15" t="n">
        <v>0</v>
      </c>
    </row>
    <row r="669" customFormat="false" ht="35.05" hidden="false" customHeight="false" outlineLevel="0" collapsed="false">
      <c r="A669" s="15" t="s">
        <v>4708</v>
      </c>
      <c r="B669" s="15" t="s">
        <v>38</v>
      </c>
      <c r="C669" s="15" t="s">
        <v>1135</v>
      </c>
      <c r="D669" s="15" t="n">
        <v>66</v>
      </c>
      <c r="E669" s="15" t="s">
        <v>1398</v>
      </c>
      <c r="F669" s="15" t="n">
        <v>1</v>
      </c>
      <c r="G669" s="15" t="s">
        <v>197</v>
      </c>
      <c r="H669" s="15" t="s">
        <v>142</v>
      </c>
      <c r="I669" s="3" t="s">
        <v>4709</v>
      </c>
      <c r="J669" s="3" t="s">
        <v>4183</v>
      </c>
      <c r="K669" s="15" t="s">
        <v>145</v>
      </c>
      <c r="L669" s="16" t="s">
        <v>7</v>
      </c>
      <c r="M669" s="15" t="s">
        <v>66</v>
      </c>
      <c r="N669" s="15" t="s">
        <v>87</v>
      </c>
      <c r="O669" s="15" t="s">
        <v>3737</v>
      </c>
      <c r="P669" s="15" t="s">
        <v>135</v>
      </c>
      <c r="Q669" s="15" t="s">
        <v>129</v>
      </c>
      <c r="R669" s="15" t="s">
        <v>135</v>
      </c>
      <c r="S669" s="15"/>
      <c r="T669" s="15"/>
      <c r="U669" s="3" t="s">
        <v>4710</v>
      </c>
      <c r="V669" s="3" t="s">
        <v>4711</v>
      </c>
      <c r="W669" s="3" t="s">
        <v>4712</v>
      </c>
      <c r="X669" s="3" t="s">
        <v>4713</v>
      </c>
      <c r="Y669" s="15" t="n">
        <v>0</v>
      </c>
      <c r="Z669" s="15" t="n">
        <v>0</v>
      </c>
      <c r="AA669" s="15" t="n">
        <v>0</v>
      </c>
      <c r="AB669" s="15" t="n">
        <v>0</v>
      </c>
      <c r="AC669" s="15" t="n">
        <v>0</v>
      </c>
      <c r="AD669" s="15" t="n">
        <v>0</v>
      </c>
      <c r="AE669" s="15" t="n">
        <v>1</v>
      </c>
      <c r="AF669" s="15" t="n">
        <v>1</v>
      </c>
      <c r="AG669" s="15" t="n">
        <v>0</v>
      </c>
      <c r="AH669" s="15" t="n">
        <v>0</v>
      </c>
    </row>
    <row r="670" customFormat="false" ht="35.05" hidden="false" customHeight="false" outlineLevel="0" collapsed="false">
      <c r="A670" s="15" t="s">
        <v>4714</v>
      </c>
      <c r="B670" s="15" t="s">
        <v>38</v>
      </c>
      <c r="C670" s="15" t="s">
        <v>1135</v>
      </c>
      <c r="D670" s="15" t="n">
        <v>66</v>
      </c>
      <c r="E670" s="15" t="s">
        <v>1398</v>
      </c>
      <c r="F670" s="15" t="n">
        <v>2</v>
      </c>
      <c r="G670" s="15" t="s">
        <v>141</v>
      </c>
      <c r="H670" s="15" t="s">
        <v>142</v>
      </c>
      <c r="I670" s="3" t="s">
        <v>4715</v>
      </c>
      <c r="J670" s="3" t="s">
        <v>3838</v>
      </c>
      <c r="K670" s="15" t="s">
        <v>133</v>
      </c>
      <c r="L670" s="16" t="s">
        <v>7</v>
      </c>
      <c r="M670" s="15" t="s">
        <v>66</v>
      </c>
      <c r="N670" s="15" t="s">
        <v>88</v>
      </c>
      <c r="O670" s="15" t="s">
        <v>1790</v>
      </c>
      <c r="P670" s="15" t="s">
        <v>135</v>
      </c>
      <c r="Q670" s="15" t="s">
        <v>129</v>
      </c>
      <c r="R670" s="15" t="s">
        <v>135</v>
      </c>
      <c r="S670" s="15"/>
      <c r="T670" s="15"/>
      <c r="U670" s="3" t="s">
        <v>4716</v>
      </c>
      <c r="V670" s="3" t="s">
        <v>4717</v>
      </c>
      <c r="W670" s="3" t="s">
        <v>4718</v>
      </c>
      <c r="X670" s="3" t="s">
        <v>4719</v>
      </c>
      <c r="Y670" s="15" t="n">
        <v>0</v>
      </c>
      <c r="Z670" s="15" t="n">
        <v>0</v>
      </c>
      <c r="AA670" s="15" t="n">
        <v>0</v>
      </c>
      <c r="AB670" s="15" t="n">
        <v>0</v>
      </c>
      <c r="AC670" s="15" t="n">
        <v>0</v>
      </c>
      <c r="AD670" s="15" t="n">
        <v>0</v>
      </c>
      <c r="AE670" s="15" t="n">
        <v>1</v>
      </c>
      <c r="AF670" s="15" t="n">
        <v>1</v>
      </c>
      <c r="AG670" s="15" t="n">
        <v>0</v>
      </c>
      <c r="AH670" s="15" t="n">
        <v>0</v>
      </c>
    </row>
    <row r="671" customFormat="false" ht="35.05" hidden="false" customHeight="false" outlineLevel="0" collapsed="false">
      <c r="A671" s="15" t="s">
        <v>4720</v>
      </c>
      <c r="B671" s="15" t="s">
        <v>38</v>
      </c>
      <c r="C671" s="15" t="s">
        <v>1135</v>
      </c>
      <c r="D671" s="15" t="n">
        <v>67</v>
      </c>
      <c r="E671" s="15" t="s">
        <v>1419</v>
      </c>
      <c r="F671" s="15" t="n">
        <v>0</v>
      </c>
      <c r="G671" s="15" t="s">
        <v>129</v>
      </c>
      <c r="H671" s="15" t="s">
        <v>130</v>
      </c>
      <c r="I671" s="3" t="s">
        <v>4721</v>
      </c>
      <c r="J671" s="3" t="s">
        <v>4722</v>
      </c>
      <c r="K671" s="15" t="s">
        <v>133</v>
      </c>
      <c r="L671" s="16" t="s">
        <v>7</v>
      </c>
      <c r="M671" s="15" t="s">
        <v>68</v>
      </c>
      <c r="N671" s="15" t="s">
        <v>82</v>
      </c>
      <c r="O671" s="15" t="s">
        <v>82</v>
      </c>
      <c r="P671" s="15" t="s">
        <v>185</v>
      </c>
      <c r="Q671" s="15" t="s">
        <v>129</v>
      </c>
      <c r="R671" s="15" t="s">
        <v>135</v>
      </c>
      <c r="S671" s="15"/>
      <c r="T671" s="15"/>
      <c r="U671" s="3" t="s">
        <v>4723</v>
      </c>
      <c r="V671" s="3" t="s">
        <v>4724</v>
      </c>
      <c r="W671" s="3"/>
      <c r="X671" s="3" t="s">
        <v>4725</v>
      </c>
      <c r="Y671" s="15" t="n">
        <v>0</v>
      </c>
      <c r="Z671" s="15" t="n">
        <v>1</v>
      </c>
      <c r="AA671" s="15" t="n">
        <v>0</v>
      </c>
      <c r="AB671" s="15" t="n">
        <v>0</v>
      </c>
      <c r="AC671" s="15" t="n">
        <v>0</v>
      </c>
      <c r="AD671" s="15" t="n">
        <v>0</v>
      </c>
      <c r="AE671" s="15" t="n">
        <v>0</v>
      </c>
      <c r="AF671" s="15" t="n">
        <v>0</v>
      </c>
      <c r="AG671" s="15" t="n">
        <v>0</v>
      </c>
      <c r="AH671" s="15" t="n">
        <v>0</v>
      </c>
    </row>
    <row r="672" customFormat="false" ht="35.05" hidden="false" customHeight="false" outlineLevel="0" collapsed="false">
      <c r="A672" s="15" t="s">
        <v>4726</v>
      </c>
      <c r="B672" s="15" t="s">
        <v>38</v>
      </c>
      <c r="C672" s="15" t="s">
        <v>1135</v>
      </c>
      <c r="D672" s="15" t="n">
        <v>67</v>
      </c>
      <c r="E672" s="15" t="s">
        <v>1419</v>
      </c>
      <c r="F672" s="15" t="n">
        <v>1</v>
      </c>
      <c r="G672" s="15" t="s">
        <v>197</v>
      </c>
      <c r="H672" s="15" t="s">
        <v>142</v>
      </c>
      <c r="I672" s="3" t="s">
        <v>4721</v>
      </c>
      <c r="J672" s="3" t="s">
        <v>4722</v>
      </c>
      <c r="K672" s="15" t="s">
        <v>145</v>
      </c>
      <c r="L672" s="16" t="s">
        <v>7</v>
      </c>
      <c r="M672" s="15" t="s">
        <v>68</v>
      </c>
      <c r="N672" s="15" t="s">
        <v>82</v>
      </c>
      <c r="O672" s="15" t="s">
        <v>215</v>
      </c>
      <c r="P672" s="15" t="s">
        <v>135</v>
      </c>
      <c r="Q672" s="15" t="s">
        <v>129</v>
      </c>
      <c r="R672" s="15" t="s">
        <v>135</v>
      </c>
      <c r="S672" s="15"/>
      <c r="T672" s="15"/>
      <c r="U672" s="3" t="s">
        <v>4727</v>
      </c>
      <c r="V672" s="3" t="s">
        <v>4728</v>
      </c>
      <c r="W672" s="3"/>
      <c r="X672" s="3" t="s">
        <v>4729</v>
      </c>
      <c r="Y672" s="15" t="n">
        <v>0</v>
      </c>
      <c r="Z672" s="15" t="n">
        <v>1</v>
      </c>
      <c r="AA672" s="15" t="n">
        <v>0</v>
      </c>
      <c r="AB672" s="15" t="n">
        <v>0</v>
      </c>
      <c r="AC672" s="15" t="n">
        <v>0</v>
      </c>
      <c r="AD672" s="15" t="n">
        <v>0</v>
      </c>
      <c r="AE672" s="15" t="n">
        <v>0</v>
      </c>
      <c r="AF672" s="15" t="n">
        <v>1</v>
      </c>
      <c r="AG672" s="15" t="n">
        <v>0</v>
      </c>
      <c r="AH672" s="15" t="n">
        <v>0</v>
      </c>
    </row>
    <row r="673" customFormat="false" ht="35.05" hidden="false" customHeight="false" outlineLevel="0" collapsed="false">
      <c r="A673" s="15" t="s">
        <v>4730</v>
      </c>
      <c r="B673" s="15" t="s">
        <v>38</v>
      </c>
      <c r="C673" s="15" t="s">
        <v>1135</v>
      </c>
      <c r="D673" s="15" t="n">
        <v>67</v>
      </c>
      <c r="E673" s="15" t="s">
        <v>1419</v>
      </c>
      <c r="F673" s="15" t="n">
        <v>2</v>
      </c>
      <c r="G673" s="15" t="s">
        <v>141</v>
      </c>
      <c r="H673" s="15" t="s">
        <v>142</v>
      </c>
      <c r="I673" s="3" t="s">
        <v>4721</v>
      </c>
      <c r="J673" s="3" t="s">
        <v>4722</v>
      </c>
      <c r="K673" s="15" t="s">
        <v>133</v>
      </c>
      <c r="L673" s="16" t="s">
        <v>7</v>
      </c>
      <c r="M673" s="15" t="s">
        <v>68</v>
      </c>
      <c r="N673" s="15" t="s">
        <v>82</v>
      </c>
      <c r="O673" s="15" t="s">
        <v>215</v>
      </c>
      <c r="P673" s="15" t="s">
        <v>135</v>
      </c>
      <c r="Q673" s="15" t="s">
        <v>129</v>
      </c>
      <c r="R673" s="15" t="s">
        <v>135</v>
      </c>
      <c r="S673" s="15"/>
      <c r="T673" s="15"/>
      <c r="U673" s="3" t="s">
        <v>4731</v>
      </c>
      <c r="V673" s="3" t="s">
        <v>4732</v>
      </c>
      <c r="W673" s="3"/>
      <c r="X673" s="3" t="s">
        <v>4733</v>
      </c>
      <c r="Y673" s="15" t="n">
        <v>0</v>
      </c>
      <c r="Z673" s="15" t="n">
        <v>1</v>
      </c>
      <c r="AA673" s="15" t="n">
        <v>0</v>
      </c>
      <c r="AB673" s="15" t="n">
        <v>0</v>
      </c>
      <c r="AC673" s="15" t="n">
        <v>0</v>
      </c>
      <c r="AD673" s="15" t="n">
        <v>0</v>
      </c>
      <c r="AE673" s="15" t="n">
        <v>0</v>
      </c>
      <c r="AF673" s="15" t="n">
        <v>1</v>
      </c>
      <c r="AG673" s="15" t="n">
        <v>0</v>
      </c>
      <c r="AH673" s="15" t="n">
        <v>0</v>
      </c>
    </row>
    <row r="674" customFormat="false" ht="35.05" hidden="false" customHeight="false" outlineLevel="0" collapsed="false">
      <c r="A674" s="15" t="s">
        <v>4734</v>
      </c>
      <c r="B674" s="15" t="s">
        <v>38</v>
      </c>
      <c r="C674" s="15" t="s">
        <v>1440</v>
      </c>
      <c r="D674" s="15" t="n">
        <v>31</v>
      </c>
      <c r="E674" s="15" t="s">
        <v>1441</v>
      </c>
      <c r="F674" s="15" t="n">
        <v>0</v>
      </c>
      <c r="G674" s="15" t="s">
        <v>129</v>
      </c>
      <c r="H674" s="15" t="s">
        <v>130</v>
      </c>
      <c r="I674" s="3" t="s">
        <v>4735</v>
      </c>
      <c r="J674" s="3" t="s">
        <v>4736</v>
      </c>
      <c r="K674" s="15" t="s">
        <v>133</v>
      </c>
      <c r="L674" s="18" t="s">
        <v>5</v>
      </c>
      <c r="M674" s="15" t="s">
        <v>426</v>
      </c>
      <c r="N674" s="15" t="s">
        <v>426</v>
      </c>
      <c r="O674" s="15"/>
      <c r="P674" s="15" t="s">
        <v>185</v>
      </c>
      <c r="Q674" s="15" t="s">
        <v>129</v>
      </c>
      <c r="R674" s="15" t="s">
        <v>185</v>
      </c>
      <c r="S674" s="15"/>
      <c r="T674" s="15"/>
      <c r="U674" s="3" t="s">
        <v>4737</v>
      </c>
      <c r="V674" s="3" t="s">
        <v>4738</v>
      </c>
      <c r="W674" s="3"/>
      <c r="X674" s="3"/>
      <c r="Y674" s="15" t="n">
        <v>0</v>
      </c>
      <c r="Z674" s="15" t="n">
        <v>0</v>
      </c>
      <c r="AA674" s="15" t="n">
        <v>0</v>
      </c>
      <c r="AB674" s="15" t="n">
        <v>0</v>
      </c>
      <c r="AC674" s="15" t="n">
        <v>0</v>
      </c>
      <c r="AD674" s="15" t="n">
        <v>0</v>
      </c>
      <c r="AE674" s="15" t="n">
        <v>0</v>
      </c>
      <c r="AF674" s="15" t="n">
        <v>0</v>
      </c>
      <c r="AG674" s="15" t="n">
        <v>0</v>
      </c>
      <c r="AH674" s="15" t="n">
        <v>0</v>
      </c>
    </row>
    <row r="675" customFormat="false" ht="46.25" hidden="false" customHeight="false" outlineLevel="0" collapsed="false">
      <c r="A675" s="15" t="s">
        <v>4739</v>
      </c>
      <c r="B675" s="15" t="s">
        <v>38</v>
      </c>
      <c r="C675" s="15" t="s">
        <v>1440</v>
      </c>
      <c r="D675" s="15" t="n">
        <v>31</v>
      </c>
      <c r="E675" s="15" t="s">
        <v>1441</v>
      </c>
      <c r="F675" s="15" t="n">
        <v>1</v>
      </c>
      <c r="G675" s="15" t="s">
        <v>141</v>
      </c>
      <c r="H675" s="15" t="s">
        <v>142</v>
      </c>
      <c r="I675" s="3" t="s">
        <v>4740</v>
      </c>
      <c r="J675" s="3" t="s">
        <v>4741</v>
      </c>
      <c r="K675" s="15" t="s">
        <v>145</v>
      </c>
      <c r="L675" s="16" t="s">
        <v>7</v>
      </c>
      <c r="M675" s="15" t="s">
        <v>66</v>
      </c>
      <c r="N675" s="15" t="s">
        <v>88</v>
      </c>
      <c r="O675" s="15" t="s">
        <v>88</v>
      </c>
      <c r="P675" s="15" t="s">
        <v>135</v>
      </c>
      <c r="Q675" s="15" t="s">
        <v>129</v>
      </c>
      <c r="R675" s="15" t="s">
        <v>185</v>
      </c>
      <c r="S675" s="15"/>
      <c r="T675" s="15"/>
      <c r="U675" s="3" t="s">
        <v>4742</v>
      </c>
      <c r="V675" s="3" t="s">
        <v>4743</v>
      </c>
      <c r="W675" s="3"/>
      <c r="X675" s="3" t="s">
        <v>4744</v>
      </c>
      <c r="Y675" s="15" t="n">
        <v>0</v>
      </c>
      <c r="Z675" s="15" t="n">
        <v>0</v>
      </c>
      <c r="AA675" s="15" t="n">
        <v>0</v>
      </c>
      <c r="AB675" s="15" t="n">
        <v>0</v>
      </c>
      <c r="AC675" s="15" t="n">
        <v>0</v>
      </c>
      <c r="AD675" s="15" t="n">
        <v>0</v>
      </c>
      <c r="AE675" s="15" t="n">
        <v>0</v>
      </c>
      <c r="AF675" s="15" t="n">
        <v>1</v>
      </c>
      <c r="AG675" s="15" t="n">
        <v>0</v>
      </c>
      <c r="AH675" s="15" t="n">
        <v>0</v>
      </c>
    </row>
    <row r="676" customFormat="false" ht="46.25" hidden="false" customHeight="false" outlineLevel="0" collapsed="false">
      <c r="A676" s="15" t="s">
        <v>4745</v>
      </c>
      <c r="B676" s="15" t="s">
        <v>38</v>
      </c>
      <c r="C676" s="15" t="s">
        <v>1440</v>
      </c>
      <c r="D676" s="15" t="n">
        <v>31</v>
      </c>
      <c r="E676" s="15" t="s">
        <v>1441</v>
      </c>
      <c r="F676" s="15" t="n">
        <v>2</v>
      </c>
      <c r="G676" s="15" t="s">
        <v>197</v>
      </c>
      <c r="H676" s="15" t="s">
        <v>142</v>
      </c>
      <c r="I676" s="3" t="s">
        <v>4746</v>
      </c>
      <c r="J676" s="3" t="s">
        <v>4747</v>
      </c>
      <c r="K676" s="15" t="s">
        <v>133</v>
      </c>
      <c r="L676" s="17" t="s">
        <v>9</v>
      </c>
      <c r="M676" s="15" t="s">
        <v>70</v>
      </c>
      <c r="N676" s="15" t="s">
        <v>81</v>
      </c>
      <c r="O676" s="15" t="s">
        <v>81</v>
      </c>
      <c r="P676" s="15" t="s">
        <v>135</v>
      </c>
      <c r="Q676" s="15" t="s">
        <v>197</v>
      </c>
      <c r="R676" s="15" t="s">
        <v>135</v>
      </c>
      <c r="S676" s="15" t="s">
        <v>405</v>
      </c>
      <c r="T676" s="15" t="s">
        <v>327</v>
      </c>
      <c r="U676" s="3" t="s">
        <v>4748</v>
      </c>
      <c r="V676" s="3" t="s">
        <v>4749</v>
      </c>
      <c r="W676" s="3"/>
      <c r="X676" s="3"/>
      <c r="Y676" s="15" t="n">
        <v>1</v>
      </c>
      <c r="Z676" s="15" t="n">
        <v>0</v>
      </c>
      <c r="AA676" s="15" t="n">
        <v>0</v>
      </c>
      <c r="AB676" s="15" t="n">
        <v>0</v>
      </c>
      <c r="AC676" s="15" t="n">
        <v>0</v>
      </c>
      <c r="AD676" s="15" t="n">
        <v>0</v>
      </c>
      <c r="AE676" s="15" t="n">
        <v>0</v>
      </c>
      <c r="AF676" s="15" t="n">
        <v>0</v>
      </c>
      <c r="AG676" s="15" t="n">
        <v>0</v>
      </c>
      <c r="AH676" s="15" t="n">
        <v>0</v>
      </c>
    </row>
    <row r="677" customFormat="false" ht="35.05" hidden="false" customHeight="false" outlineLevel="0" collapsed="false">
      <c r="A677" s="15" t="s">
        <v>4750</v>
      </c>
      <c r="B677" s="15" t="s">
        <v>38</v>
      </c>
      <c r="C677" s="15" t="s">
        <v>1440</v>
      </c>
      <c r="D677" s="15" t="n">
        <v>33</v>
      </c>
      <c r="E677" s="15" t="s">
        <v>1456</v>
      </c>
      <c r="F677" s="15" t="n">
        <v>0</v>
      </c>
      <c r="G677" s="15" t="s">
        <v>129</v>
      </c>
      <c r="H677" s="15" t="s">
        <v>130</v>
      </c>
      <c r="I677" s="3" t="s">
        <v>4751</v>
      </c>
      <c r="J677" s="3" t="s">
        <v>4752</v>
      </c>
      <c r="K677" s="15" t="s">
        <v>145</v>
      </c>
      <c r="L677" s="16" t="s">
        <v>7</v>
      </c>
      <c r="M677" s="15" t="s">
        <v>68</v>
      </c>
      <c r="N677" s="15" t="s">
        <v>82</v>
      </c>
      <c r="O677" s="15" t="s">
        <v>82</v>
      </c>
      <c r="P677" s="15" t="s">
        <v>185</v>
      </c>
      <c r="Q677" s="15" t="s">
        <v>129</v>
      </c>
      <c r="R677" s="15" t="s">
        <v>135</v>
      </c>
      <c r="S677" s="15"/>
      <c r="T677" s="15"/>
      <c r="U677" s="3" t="s">
        <v>4753</v>
      </c>
      <c r="V677" s="3" t="s">
        <v>4754</v>
      </c>
      <c r="W677" s="3" t="s">
        <v>4755</v>
      </c>
      <c r="X677" s="3" t="s">
        <v>4756</v>
      </c>
      <c r="Y677" s="15" t="n">
        <v>0</v>
      </c>
      <c r="Z677" s="15" t="n">
        <v>1</v>
      </c>
      <c r="AA677" s="15" t="n">
        <v>0</v>
      </c>
      <c r="AB677" s="15" t="n">
        <v>0</v>
      </c>
      <c r="AC677" s="15" t="n">
        <v>0</v>
      </c>
      <c r="AD677" s="15" t="n">
        <v>0</v>
      </c>
      <c r="AE677" s="15" t="n">
        <v>0</v>
      </c>
      <c r="AF677" s="15" t="n">
        <v>0</v>
      </c>
      <c r="AG677" s="15" t="n">
        <v>0</v>
      </c>
      <c r="AH677" s="15" t="n">
        <v>0</v>
      </c>
    </row>
    <row r="678" customFormat="false" ht="46.25" hidden="false" customHeight="false" outlineLevel="0" collapsed="false">
      <c r="A678" s="15" t="s">
        <v>4757</v>
      </c>
      <c r="B678" s="15" t="s">
        <v>38</v>
      </c>
      <c r="C678" s="15" t="s">
        <v>1440</v>
      </c>
      <c r="D678" s="15" t="n">
        <v>33</v>
      </c>
      <c r="E678" s="15" t="s">
        <v>1456</v>
      </c>
      <c r="F678" s="15" t="n">
        <v>1</v>
      </c>
      <c r="G678" s="15" t="s">
        <v>307</v>
      </c>
      <c r="H678" s="15" t="s">
        <v>308</v>
      </c>
      <c r="I678" s="3" t="s">
        <v>4758</v>
      </c>
      <c r="J678" s="3" t="s">
        <v>4759</v>
      </c>
      <c r="K678" s="15" t="s">
        <v>145</v>
      </c>
      <c r="L678" s="16" t="s">
        <v>7</v>
      </c>
      <c r="M678" s="15" t="s">
        <v>68</v>
      </c>
      <c r="N678" s="15" t="s">
        <v>82</v>
      </c>
      <c r="O678" s="15" t="s">
        <v>215</v>
      </c>
      <c r="P678" s="15" t="s">
        <v>135</v>
      </c>
      <c r="Q678" s="15" t="s">
        <v>129</v>
      </c>
      <c r="R678" s="15" t="s">
        <v>135</v>
      </c>
      <c r="S678" s="15"/>
      <c r="T678" s="15"/>
      <c r="U678" s="3" t="s">
        <v>4760</v>
      </c>
      <c r="V678" s="3" t="s">
        <v>4761</v>
      </c>
      <c r="W678" s="3" t="s">
        <v>4762</v>
      </c>
      <c r="X678" s="3" t="s">
        <v>4763</v>
      </c>
      <c r="Y678" s="15" t="n">
        <v>0</v>
      </c>
      <c r="Z678" s="15" t="n">
        <v>1</v>
      </c>
      <c r="AA678" s="15" t="n">
        <v>0</v>
      </c>
      <c r="AB678" s="15" t="n">
        <v>0</v>
      </c>
      <c r="AC678" s="15" t="n">
        <v>0</v>
      </c>
      <c r="AD678" s="15" t="n">
        <v>0</v>
      </c>
      <c r="AE678" s="15" t="n">
        <v>0</v>
      </c>
      <c r="AF678" s="15" t="n">
        <v>1</v>
      </c>
      <c r="AG678" s="15" t="n">
        <v>0</v>
      </c>
      <c r="AH678" s="15" t="n">
        <v>0</v>
      </c>
    </row>
    <row r="679" customFormat="false" ht="46.25" hidden="false" customHeight="false" outlineLevel="0" collapsed="false">
      <c r="A679" s="15" t="s">
        <v>4764</v>
      </c>
      <c r="B679" s="15" t="s">
        <v>38</v>
      </c>
      <c r="C679" s="15" t="s">
        <v>1440</v>
      </c>
      <c r="D679" s="15" t="n">
        <v>33</v>
      </c>
      <c r="E679" s="15" t="s">
        <v>1456</v>
      </c>
      <c r="F679" s="15" t="n">
        <v>2</v>
      </c>
      <c r="G679" s="15" t="s">
        <v>197</v>
      </c>
      <c r="H679" s="15" t="s">
        <v>142</v>
      </c>
      <c r="I679" s="3" t="s">
        <v>4765</v>
      </c>
      <c r="J679" s="3" t="s">
        <v>4766</v>
      </c>
      <c r="K679" s="15" t="s">
        <v>133</v>
      </c>
      <c r="L679" s="17" t="s">
        <v>9</v>
      </c>
      <c r="M679" s="15" t="s">
        <v>70</v>
      </c>
      <c r="N679" s="15" t="s">
        <v>81</v>
      </c>
      <c r="O679" s="15" t="s">
        <v>81</v>
      </c>
      <c r="P679" s="15" t="s">
        <v>135</v>
      </c>
      <c r="Q679" s="15" t="s">
        <v>129</v>
      </c>
      <c r="R679" s="15" t="s">
        <v>135</v>
      </c>
      <c r="S679" s="15" t="s">
        <v>405</v>
      </c>
      <c r="T679" s="15" t="s">
        <v>390</v>
      </c>
      <c r="U679" s="3" t="s">
        <v>4767</v>
      </c>
      <c r="V679" s="3" t="s">
        <v>4768</v>
      </c>
      <c r="W679" s="3"/>
      <c r="X679" s="3"/>
      <c r="Y679" s="15" t="n">
        <v>1</v>
      </c>
      <c r="Z679" s="15" t="n">
        <v>0</v>
      </c>
      <c r="AA679" s="15" t="n">
        <v>0</v>
      </c>
      <c r="AB679" s="15" t="n">
        <v>0</v>
      </c>
      <c r="AC679" s="15" t="n">
        <v>0</v>
      </c>
      <c r="AD679" s="15" t="n">
        <v>0</v>
      </c>
      <c r="AE679" s="15" t="n">
        <v>0</v>
      </c>
      <c r="AF679" s="15" t="n">
        <v>0</v>
      </c>
      <c r="AG679" s="15" t="n">
        <v>0</v>
      </c>
      <c r="AH679" s="15" t="n">
        <v>0</v>
      </c>
    </row>
    <row r="680" customFormat="false" ht="35.05" hidden="false" customHeight="false" outlineLevel="0" collapsed="false">
      <c r="A680" s="15" t="s">
        <v>4769</v>
      </c>
      <c r="B680" s="15" t="s">
        <v>38</v>
      </c>
      <c r="C680" s="15" t="s">
        <v>1440</v>
      </c>
      <c r="D680" s="15" t="n">
        <v>41</v>
      </c>
      <c r="E680" s="15" t="s">
        <v>1480</v>
      </c>
      <c r="F680" s="15" t="n">
        <v>0</v>
      </c>
      <c r="G680" s="15" t="s">
        <v>129</v>
      </c>
      <c r="H680" s="15" t="s">
        <v>130</v>
      </c>
      <c r="I680" s="3" t="s">
        <v>4770</v>
      </c>
      <c r="J680" s="3" t="s">
        <v>4771</v>
      </c>
      <c r="K680" s="15" t="s">
        <v>133</v>
      </c>
      <c r="L680" s="16" t="s">
        <v>7</v>
      </c>
      <c r="M680" s="15" t="s">
        <v>66</v>
      </c>
      <c r="N680" s="15" t="s">
        <v>90</v>
      </c>
      <c r="O680" s="15" t="s">
        <v>513</v>
      </c>
      <c r="P680" s="15" t="s">
        <v>135</v>
      </c>
      <c r="Q680" s="15" t="s">
        <v>136</v>
      </c>
      <c r="R680" s="15" t="s">
        <v>185</v>
      </c>
      <c r="S680" s="15"/>
      <c r="T680" s="15"/>
      <c r="U680" s="3" t="s">
        <v>4772</v>
      </c>
      <c r="V680" s="3" t="s">
        <v>4773</v>
      </c>
      <c r="W680" s="3" t="s">
        <v>4774</v>
      </c>
      <c r="X680" s="3" t="s">
        <v>4775</v>
      </c>
      <c r="Y680" s="15" t="n">
        <v>0</v>
      </c>
      <c r="Z680" s="15" t="n">
        <v>0</v>
      </c>
      <c r="AA680" s="15" t="n">
        <v>0</v>
      </c>
      <c r="AB680" s="15" t="n">
        <v>0</v>
      </c>
      <c r="AC680" s="15" t="n">
        <v>0</v>
      </c>
      <c r="AD680" s="15" t="n">
        <v>0</v>
      </c>
      <c r="AE680" s="15" t="n">
        <v>0</v>
      </c>
      <c r="AF680" s="15" t="n">
        <v>1</v>
      </c>
      <c r="AG680" s="15" t="n">
        <v>0</v>
      </c>
      <c r="AH680" s="15" t="n">
        <v>1</v>
      </c>
    </row>
    <row r="681" customFormat="false" ht="35.05" hidden="false" customHeight="false" outlineLevel="0" collapsed="false">
      <c r="A681" s="15" t="s">
        <v>4776</v>
      </c>
      <c r="B681" s="15" t="s">
        <v>38</v>
      </c>
      <c r="C681" s="15" t="s">
        <v>1440</v>
      </c>
      <c r="D681" s="15" t="n">
        <v>41</v>
      </c>
      <c r="E681" s="15" t="s">
        <v>1480</v>
      </c>
      <c r="F681" s="15" t="n">
        <v>1</v>
      </c>
      <c r="G681" s="15" t="s">
        <v>197</v>
      </c>
      <c r="H681" s="15" t="s">
        <v>142</v>
      </c>
      <c r="I681" s="3" t="s">
        <v>4777</v>
      </c>
      <c r="J681" s="3" t="s">
        <v>4778</v>
      </c>
      <c r="K681" s="15" t="s">
        <v>145</v>
      </c>
      <c r="L681" s="16" t="s">
        <v>7</v>
      </c>
      <c r="M681" s="15" t="s">
        <v>68</v>
      </c>
      <c r="N681" s="15" t="s">
        <v>82</v>
      </c>
      <c r="O681" s="15" t="s">
        <v>134</v>
      </c>
      <c r="P681" s="15" t="s">
        <v>135</v>
      </c>
      <c r="Q681" s="15" t="s">
        <v>136</v>
      </c>
      <c r="R681" s="15" t="s">
        <v>135</v>
      </c>
      <c r="S681" s="15"/>
      <c r="T681" s="15"/>
      <c r="U681" s="3" t="s">
        <v>4779</v>
      </c>
      <c r="V681" s="3" t="s">
        <v>4780</v>
      </c>
      <c r="W681" s="3"/>
      <c r="X681" s="3" t="s">
        <v>4781</v>
      </c>
      <c r="Y681" s="15" t="n">
        <v>0</v>
      </c>
      <c r="Z681" s="15" t="n">
        <v>1</v>
      </c>
      <c r="AA681" s="15" t="n">
        <v>0</v>
      </c>
      <c r="AB681" s="15" t="n">
        <v>0</v>
      </c>
      <c r="AC681" s="15" t="n">
        <v>0</v>
      </c>
      <c r="AD681" s="15" t="n">
        <v>1</v>
      </c>
      <c r="AE681" s="15" t="n">
        <v>0</v>
      </c>
      <c r="AF681" s="15" t="n">
        <v>1</v>
      </c>
      <c r="AG681" s="15" t="n">
        <v>0</v>
      </c>
      <c r="AH681" s="15" t="n">
        <v>0</v>
      </c>
    </row>
    <row r="682" customFormat="false" ht="46.25" hidden="false" customHeight="false" outlineLevel="0" collapsed="false">
      <c r="A682" s="15" t="s">
        <v>4782</v>
      </c>
      <c r="B682" s="15" t="s">
        <v>38</v>
      </c>
      <c r="C682" s="15" t="s">
        <v>1440</v>
      </c>
      <c r="D682" s="15" t="n">
        <v>41</v>
      </c>
      <c r="E682" s="15" t="s">
        <v>1480</v>
      </c>
      <c r="F682" s="15" t="n">
        <v>2</v>
      </c>
      <c r="G682" s="15" t="s">
        <v>141</v>
      </c>
      <c r="H682" s="15" t="s">
        <v>142</v>
      </c>
      <c r="I682" s="3" t="s">
        <v>4783</v>
      </c>
      <c r="J682" s="3" t="s">
        <v>4784</v>
      </c>
      <c r="K682" s="15" t="s">
        <v>133</v>
      </c>
      <c r="L682" s="16" t="s">
        <v>7</v>
      </c>
      <c r="M682" s="15" t="s">
        <v>66</v>
      </c>
      <c r="N682" s="15" t="s">
        <v>90</v>
      </c>
      <c r="O682" s="15" t="s">
        <v>2921</v>
      </c>
      <c r="P682" s="15" t="s">
        <v>135</v>
      </c>
      <c r="Q682" s="15" t="s">
        <v>136</v>
      </c>
      <c r="R682" s="15" t="s">
        <v>135</v>
      </c>
      <c r="S682" s="15"/>
      <c r="T682" s="15"/>
      <c r="U682" s="3" t="s">
        <v>4785</v>
      </c>
      <c r="V682" s="3" t="s">
        <v>4786</v>
      </c>
      <c r="W682" s="3" t="s">
        <v>4787</v>
      </c>
      <c r="X682" s="3" t="s">
        <v>4788</v>
      </c>
      <c r="Y682" s="15" t="n">
        <v>0</v>
      </c>
      <c r="Z682" s="15" t="n">
        <v>0</v>
      </c>
      <c r="AA682" s="15" t="n">
        <v>0</v>
      </c>
      <c r="AB682" s="15" t="n">
        <v>0</v>
      </c>
      <c r="AC682" s="15" t="n">
        <v>0</v>
      </c>
      <c r="AD682" s="15" t="n">
        <v>0</v>
      </c>
      <c r="AE682" s="15" t="n">
        <v>1</v>
      </c>
      <c r="AF682" s="15" t="n">
        <v>1</v>
      </c>
      <c r="AG682" s="15" t="n">
        <v>0</v>
      </c>
      <c r="AH682" s="15" t="n">
        <v>1</v>
      </c>
    </row>
    <row r="683" customFormat="false" ht="46.25" hidden="false" customHeight="false" outlineLevel="0" collapsed="false">
      <c r="A683" s="15" t="s">
        <v>4789</v>
      </c>
      <c r="B683" s="15" t="s">
        <v>38</v>
      </c>
      <c r="C683" s="15" t="s">
        <v>1440</v>
      </c>
      <c r="D683" s="15" t="n">
        <v>42</v>
      </c>
      <c r="E683" s="15" t="s">
        <v>1501</v>
      </c>
      <c r="F683" s="15" t="n">
        <v>0</v>
      </c>
      <c r="G683" s="15" t="s">
        <v>129</v>
      </c>
      <c r="H683" s="15" t="s">
        <v>130</v>
      </c>
      <c r="I683" s="3" t="s">
        <v>4790</v>
      </c>
      <c r="J683" s="3" t="s">
        <v>4791</v>
      </c>
      <c r="K683" s="15" t="s">
        <v>133</v>
      </c>
      <c r="L683" s="16" t="s">
        <v>7</v>
      </c>
      <c r="M683" s="15" t="s">
        <v>66</v>
      </c>
      <c r="N683" s="15" t="s">
        <v>90</v>
      </c>
      <c r="O683" s="15" t="s">
        <v>90</v>
      </c>
      <c r="P683" s="15" t="s">
        <v>185</v>
      </c>
      <c r="Q683" s="15" t="s">
        <v>129</v>
      </c>
      <c r="R683" s="15" t="s">
        <v>185</v>
      </c>
      <c r="S683" s="15"/>
      <c r="T683" s="15"/>
      <c r="U683" s="3" t="s">
        <v>4792</v>
      </c>
      <c r="V683" s="3" t="s">
        <v>4793</v>
      </c>
      <c r="W683" s="3" t="s">
        <v>4794</v>
      </c>
      <c r="X683" s="3" t="s">
        <v>4795</v>
      </c>
      <c r="Y683" s="15" t="n">
        <v>0</v>
      </c>
      <c r="Z683" s="15" t="n">
        <v>0</v>
      </c>
      <c r="AA683" s="15" t="n">
        <v>0</v>
      </c>
      <c r="AB683" s="15" t="n">
        <v>0</v>
      </c>
      <c r="AC683" s="15" t="n">
        <v>0</v>
      </c>
      <c r="AD683" s="15" t="n">
        <v>0</v>
      </c>
      <c r="AE683" s="15" t="n">
        <v>0</v>
      </c>
      <c r="AF683" s="15" t="n">
        <v>0</v>
      </c>
      <c r="AG683" s="15" t="n">
        <v>0</v>
      </c>
      <c r="AH683" s="15" t="n">
        <v>1</v>
      </c>
    </row>
    <row r="684" customFormat="false" ht="46.25" hidden="false" customHeight="false" outlineLevel="0" collapsed="false">
      <c r="A684" s="15" t="s">
        <v>4796</v>
      </c>
      <c r="B684" s="15" t="s">
        <v>38</v>
      </c>
      <c r="C684" s="15" t="s">
        <v>1440</v>
      </c>
      <c r="D684" s="15" t="n">
        <v>42</v>
      </c>
      <c r="E684" s="15" t="s">
        <v>1501</v>
      </c>
      <c r="F684" s="15" t="n">
        <v>1</v>
      </c>
      <c r="G684" s="15" t="s">
        <v>197</v>
      </c>
      <c r="H684" s="15" t="s">
        <v>142</v>
      </c>
      <c r="I684" s="3" t="s">
        <v>4797</v>
      </c>
      <c r="J684" s="3" t="s">
        <v>4798</v>
      </c>
      <c r="K684" s="15" t="s">
        <v>145</v>
      </c>
      <c r="L684" s="18" t="s">
        <v>5</v>
      </c>
      <c r="M684" s="15" t="s">
        <v>426</v>
      </c>
      <c r="N684" s="15" t="s">
        <v>426</v>
      </c>
      <c r="O684" s="15"/>
      <c r="P684" s="15" t="s">
        <v>185</v>
      </c>
      <c r="Q684" s="15" t="s">
        <v>197</v>
      </c>
      <c r="R684" s="15" t="s">
        <v>185</v>
      </c>
      <c r="S684" s="15"/>
      <c r="T684" s="15"/>
      <c r="U684" s="3" t="s">
        <v>4799</v>
      </c>
      <c r="V684" s="3" t="s">
        <v>4800</v>
      </c>
      <c r="W684" s="3"/>
      <c r="X684" s="3"/>
      <c r="Y684" s="15" t="n">
        <v>0</v>
      </c>
      <c r="Z684" s="15" t="n">
        <v>0</v>
      </c>
      <c r="AA684" s="15" t="n">
        <v>0</v>
      </c>
      <c r="AB684" s="15" t="n">
        <v>0</v>
      </c>
      <c r="AC684" s="15" t="n">
        <v>0</v>
      </c>
      <c r="AD684" s="15" t="n">
        <v>0</v>
      </c>
      <c r="AE684" s="15" t="n">
        <v>0</v>
      </c>
      <c r="AF684" s="15" t="n">
        <v>0</v>
      </c>
      <c r="AG684" s="15" t="n">
        <v>0</v>
      </c>
      <c r="AH684" s="15" t="n">
        <v>0</v>
      </c>
    </row>
    <row r="685" customFormat="false" ht="46.25" hidden="false" customHeight="false" outlineLevel="0" collapsed="false">
      <c r="A685" s="15" t="s">
        <v>4801</v>
      </c>
      <c r="B685" s="15" t="s">
        <v>38</v>
      </c>
      <c r="C685" s="15" t="s">
        <v>1440</v>
      </c>
      <c r="D685" s="15" t="n">
        <v>42</v>
      </c>
      <c r="E685" s="15" t="s">
        <v>1501</v>
      </c>
      <c r="F685" s="15" t="n">
        <v>2</v>
      </c>
      <c r="G685" s="15" t="s">
        <v>141</v>
      </c>
      <c r="H685" s="15" t="s">
        <v>142</v>
      </c>
      <c r="I685" s="3" t="s">
        <v>4802</v>
      </c>
      <c r="J685" s="3" t="s">
        <v>4803</v>
      </c>
      <c r="K685" s="15" t="s">
        <v>133</v>
      </c>
      <c r="L685" s="16" t="s">
        <v>7</v>
      </c>
      <c r="M685" s="15" t="s">
        <v>68</v>
      </c>
      <c r="N685" s="15" t="s">
        <v>82</v>
      </c>
      <c r="O685" s="15" t="s">
        <v>215</v>
      </c>
      <c r="P685" s="15" t="s">
        <v>135</v>
      </c>
      <c r="Q685" s="15" t="s">
        <v>129</v>
      </c>
      <c r="R685" s="15" t="s">
        <v>135</v>
      </c>
      <c r="S685" s="15"/>
      <c r="T685" s="15"/>
      <c r="U685" s="3" t="s">
        <v>4804</v>
      </c>
      <c r="V685" s="3" t="s">
        <v>4805</v>
      </c>
      <c r="W685" s="3" t="s">
        <v>4806</v>
      </c>
      <c r="X685" s="3" t="s">
        <v>4807</v>
      </c>
      <c r="Y685" s="15" t="n">
        <v>0</v>
      </c>
      <c r="Z685" s="15" t="n">
        <v>1</v>
      </c>
      <c r="AA685" s="15" t="n">
        <v>0</v>
      </c>
      <c r="AB685" s="15" t="n">
        <v>0</v>
      </c>
      <c r="AC685" s="15" t="n">
        <v>0</v>
      </c>
      <c r="AD685" s="15" t="n">
        <v>0</v>
      </c>
      <c r="AE685" s="15" t="n">
        <v>0</v>
      </c>
      <c r="AF685" s="15" t="n">
        <v>1</v>
      </c>
      <c r="AG685" s="15" t="n">
        <v>0</v>
      </c>
      <c r="AH685" s="15" t="n">
        <v>0</v>
      </c>
    </row>
    <row r="686" customFormat="false" ht="46.25" hidden="false" customHeight="false" outlineLevel="0" collapsed="false">
      <c r="A686" s="15" t="s">
        <v>4808</v>
      </c>
      <c r="B686" s="15" t="s">
        <v>38</v>
      </c>
      <c r="C686" s="15" t="s">
        <v>1440</v>
      </c>
      <c r="D686" s="15" t="n">
        <v>43</v>
      </c>
      <c r="E686" s="15" t="s">
        <v>1524</v>
      </c>
      <c r="F686" s="15" t="n">
        <v>0</v>
      </c>
      <c r="G686" s="15" t="s">
        <v>141</v>
      </c>
      <c r="H686" s="15" t="s">
        <v>142</v>
      </c>
      <c r="I686" s="3" t="s">
        <v>4809</v>
      </c>
      <c r="J686" s="3" t="s">
        <v>4810</v>
      </c>
      <c r="K686" s="15" t="s">
        <v>145</v>
      </c>
      <c r="L686" s="16" t="s">
        <v>7</v>
      </c>
      <c r="M686" s="15" t="s">
        <v>66</v>
      </c>
      <c r="N686" s="15" t="s">
        <v>88</v>
      </c>
      <c r="O686" s="15" t="s">
        <v>231</v>
      </c>
      <c r="P686" s="15" t="s">
        <v>135</v>
      </c>
      <c r="Q686" s="15" t="s">
        <v>129</v>
      </c>
      <c r="R686" s="15" t="s">
        <v>185</v>
      </c>
      <c r="S686" s="15"/>
      <c r="T686" s="15"/>
      <c r="U686" s="3" t="s">
        <v>4811</v>
      </c>
      <c r="V686" s="3" t="s">
        <v>4812</v>
      </c>
      <c r="W686" s="3" t="s">
        <v>4813</v>
      </c>
      <c r="X686" s="3" t="s">
        <v>4814</v>
      </c>
      <c r="Y686" s="15" t="n">
        <v>0</v>
      </c>
      <c r="Z686" s="15" t="n">
        <v>0</v>
      </c>
      <c r="AA686" s="15" t="n">
        <v>0</v>
      </c>
      <c r="AB686" s="15" t="n">
        <v>0</v>
      </c>
      <c r="AC686" s="15" t="n">
        <v>0</v>
      </c>
      <c r="AD686" s="15" t="n">
        <v>0</v>
      </c>
      <c r="AE686" s="15" t="n">
        <v>0</v>
      </c>
      <c r="AF686" s="15" t="n">
        <v>1</v>
      </c>
      <c r="AG686" s="15" t="n">
        <v>0</v>
      </c>
      <c r="AH686" s="15" t="n">
        <v>1</v>
      </c>
    </row>
    <row r="687" customFormat="false" ht="23.85" hidden="false" customHeight="false" outlineLevel="0" collapsed="false">
      <c r="A687" s="15" t="s">
        <v>4815</v>
      </c>
      <c r="B687" s="15" t="s">
        <v>38</v>
      </c>
      <c r="C687" s="15" t="s">
        <v>1440</v>
      </c>
      <c r="D687" s="15" t="n">
        <v>43</v>
      </c>
      <c r="E687" s="15" t="s">
        <v>1524</v>
      </c>
      <c r="F687" s="15" t="n">
        <v>1</v>
      </c>
      <c r="G687" s="15" t="s">
        <v>129</v>
      </c>
      <c r="H687" s="15" t="s">
        <v>130</v>
      </c>
      <c r="I687" s="3" t="s">
        <v>4816</v>
      </c>
      <c r="J687" s="3" t="s">
        <v>4817</v>
      </c>
      <c r="K687" s="15" t="s">
        <v>133</v>
      </c>
      <c r="L687" s="18" t="s">
        <v>5</v>
      </c>
      <c r="M687" s="15" t="s">
        <v>426</v>
      </c>
      <c r="N687" s="15" t="s">
        <v>426</v>
      </c>
      <c r="O687" s="15"/>
      <c r="P687" s="15" t="s">
        <v>185</v>
      </c>
      <c r="Q687" s="15" t="s">
        <v>129</v>
      </c>
      <c r="R687" s="15" t="s">
        <v>185</v>
      </c>
      <c r="S687" s="15"/>
      <c r="T687" s="15"/>
      <c r="U687" s="3" t="s">
        <v>4818</v>
      </c>
      <c r="V687" s="3" t="s">
        <v>4224</v>
      </c>
      <c r="W687" s="3"/>
      <c r="X687" s="3"/>
      <c r="Y687" s="15" t="n">
        <v>0</v>
      </c>
      <c r="Z687" s="15" t="n">
        <v>0</v>
      </c>
      <c r="AA687" s="15" t="n">
        <v>0</v>
      </c>
      <c r="AB687" s="15" t="n">
        <v>0</v>
      </c>
      <c r="AC687" s="15" t="n">
        <v>0</v>
      </c>
      <c r="AD687" s="15" t="n">
        <v>0</v>
      </c>
      <c r="AE687" s="15" t="n">
        <v>0</v>
      </c>
      <c r="AF687" s="15" t="n">
        <v>0</v>
      </c>
      <c r="AG687" s="15" t="n">
        <v>0</v>
      </c>
      <c r="AH687" s="15" t="n">
        <v>0</v>
      </c>
    </row>
    <row r="688" customFormat="false" ht="46.25" hidden="false" customHeight="false" outlineLevel="0" collapsed="false">
      <c r="A688" s="15" t="s">
        <v>4819</v>
      </c>
      <c r="B688" s="15" t="s">
        <v>38</v>
      </c>
      <c r="C688" s="15" t="s">
        <v>1440</v>
      </c>
      <c r="D688" s="15" t="n">
        <v>43</v>
      </c>
      <c r="E688" s="15" t="s">
        <v>1524</v>
      </c>
      <c r="F688" s="15" t="n">
        <v>2</v>
      </c>
      <c r="G688" s="15" t="s">
        <v>197</v>
      </c>
      <c r="H688" s="15" t="s">
        <v>142</v>
      </c>
      <c r="I688" s="3" t="s">
        <v>4820</v>
      </c>
      <c r="J688" s="3" t="s">
        <v>4821</v>
      </c>
      <c r="K688" s="15" t="s">
        <v>133</v>
      </c>
      <c r="L688" s="16" t="s">
        <v>7</v>
      </c>
      <c r="M688" s="15" t="s">
        <v>68</v>
      </c>
      <c r="N688" s="15" t="s">
        <v>82</v>
      </c>
      <c r="O688" s="15" t="s">
        <v>215</v>
      </c>
      <c r="P688" s="15" t="s">
        <v>135</v>
      </c>
      <c r="Q688" s="15" t="s">
        <v>129</v>
      </c>
      <c r="R688" s="15" t="s">
        <v>135</v>
      </c>
      <c r="S688" s="15"/>
      <c r="T688" s="15"/>
      <c r="U688" s="3" t="s">
        <v>4822</v>
      </c>
      <c r="V688" s="3" t="s">
        <v>4823</v>
      </c>
      <c r="W688" s="3" t="s">
        <v>4824</v>
      </c>
      <c r="X688" s="3" t="s">
        <v>4825</v>
      </c>
      <c r="Y688" s="15" t="n">
        <v>0</v>
      </c>
      <c r="Z688" s="15" t="n">
        <v>1</v>
      </c>
      <c r="AA688" s="15" t="n">
        <v>0</v>
      </c>
      <c r="AB688" s="15" t="n">
        <v>0</v>
      </c>
      <c r="AC688" s="15" t="n">
        <v>0</v>
      </c>
      <c r="AD688" s="15" t="n">
        <v>0</v>
      </c>
      <c r="AE688" s="15" t="n">
        <v>0</v>
      </c>
      <c r="AF688" s="15" t="n">
        <v>1</v>
      </c>
      <c r="AG688" s="15" t="n">
        <v>0</v>
      </c>
      <c r="AH688" s="15" t="n">
        <v>0</v>
      </c>
    </row>
    <row r="689" customFormat="false" ht="23.85" hidden="false" customHeight="false" outlineLevel="0" collapsed="false">
      <c r="A689" s="15" t="s">
        <v>4826</v>
      </c>
      <c r="B689" s="15" t="s">
        <v>38</v>
      </c>
      <c r="C689" s="15" t="s">
        <v>1440</v>
      </c>
      <c r="D689" s="15" t="n">
        <v>46</v>
      </c>
      <c r="E689" s="15" t="s">
        <v>1548</v>
      </c>
      <c r="F689" s="15" t="n">
        <v>0</v>
      </c>
      <c r="G689" s="15" t="s">
        <v>129</v>
      </c>
      <c r="H689" s="15" t="s">
        <v>130</v>
      </c>
      <c r="I689" s="3" t="s">
        <v>4827</v>
      </c>
      <c r="J689" s="3" t="s">
        <v>4828</v>
      </c>
      <c r="K689" s="15" t="s">
        <v>133</v>
      </c>
      <c r="L689" s="18" t="s">
        <v>5</v>
      </c>
      <c r="M689" s="15" t="s">
        <v>426</v>
      </c>
      <c r="N689" s="15" t="s">
        <v>426</v>
      </c>
      <c r="O689" s="15"/>
      <c r="P689" s="15" t="s">
        <v>185</v>
      </c>
      <c r="Q689" s="15" t="s">
        <v>129</v>
      </c>
      <c r="R689" s="15" t="s">
        <v>185</v>
      </c>
      <c r="S689" s="15"/>
      <c r="T689" s="15"/>
      <c r="U689" s="3" t="s">
        <v>4829</v>
      </c>
      <c r="V689" s="3" t="s">
        <v>4830</v>
      </c>
      <c r="W689" s="3"/>
      <c r="X689" s="3"/>
      <c r="Y689" s="15" t="n">
        <v>0</v>
      </c>
      <c r="Z689" s="15" t="n">
        <v>0</v>
      </c>
      <c r="AA689" s="15" t="n">
        <v>0</v>
      </c>
      <c r="AB689" s="15" t="n">
        <v>0</v>
      </c>
      <c r="AC689" s="15" t="n">
        <v>0</v>
      </c>
      <c r="AD689" s="15" t="n">
        <v>0</v>
      </c>
      <c r="AE689" s="15" t="n">
        <v>0</v>
      </c>
      <c r="AF689" s="15" t="n">
        <v>0</v>
      </c>
      <c r="AG689" s="15" t="n">
        <v>0</v>
      </c>
      <c r="AH689" s="15" t="n">
        <v>0</v>
      </c>
    </row>
    <row r="690" customFormat="false" ht="68.65" hidden="false" customHeight="false" outlineLevel="0" collapsed="false">
      <c r="A690" s="15" t="s">
        <v>4831</v>
      </c>
      <c r="B690" s="15" t="s">
        <v>38</v>
      </c>
      <c r="C690" s="15" t="s">
        <v>1440</v>
      </c>
      <c r="D690" s="15" t="n">
        <v>46</v>
      </c>
      <c r="E690" s="15" t="s">
        <v>1548</v>
      </c>
      <c r="F690" s="15" t="n">
        <v>1</v>
      </c>
      <c r="G690" s="15" t="s">
        <v>197</v>
      </c>
      <c r="H690" s="15" t="s">
        <v>142</v>
      </c>
      <c r="I690" s="3" t="s">
        <v>4832</v>
      </c>
      <c r="J690" s="3" t="s">
        <v>4833</v>
      </c>
      <c r="K690" s="15" t="s">
        <v>145</v>
      </c>
      <c r="L690" s="16" t="s">
        <v>7</v>
      </c>
      <c r="M690" s="15" t="s">
        <v>66</v>
      </c>
      <c r="N690" s="15" t="s">
        <v>88</v>
      </c>
      <c r="O690" s="15" t="s">
        <v>231</v>
      </c>
      <c r="P690" s="15" t="s">
        <v>135</v>
      </c>
      <c r="Q690" s="15" t="s">
        <v>129</v>
      </c>
      <c r="R690" s="15" t="s">
        <v>185</v>
      </c>
      <c r="S690" s="15"/>
      <c r="T690" s="15"/>
      <c r="U690" s="3" t="s">
        <v>4834</v>
      </c>
      <c r="V690" s="3" t="s">
        <v>4835</v>
      </c>
      <c r="W690" s="3"/>
      <c r="X690" s="3" t="s">
        <v>4836</v>
      </c>
      <c r="Y690" s="15" t="n">
        <v>0</v>
      </c>
      <c r="Z690" s="15" t="n">
        <v>0</v>
      </c>
      <c r="AA690" s="15" t="n">
        <v>0</v>
      </c>
      <c r="AB690" s="15" t="n">
        <v>0</v>
      </c>
      <c r="AC690" s="15" t="n">
        <v>0</v>
      </c>
      <c r="AD690" s="15" t="n">
        <v>0</v>
      </c>
      <c r="AE690" s="15" t="n">
        <v>0</v>
      </c>
      <c r="AF690" s="15" t="n">
        <v>1</v>
      </c>
      <c r="AG690" s="15" t="n">
        <v>0</v>
      </c>
      <c r="AH690" s="15" t="n">
        <v>1</v>
      </c>
    </row>
    <row r="691" customFormat="false" ht="46.25" hidden="false" customHeight="false" outlineLevel="0" collapsed="false">
      <c r="A691" s="15" t="s">
        <v>4837</v>
      </c>
      <c r="B691" s="15" t="s">
        <v>38</v>
      </c>
      <c r="C691" s="15" t="s">
        <v>1440</v>
      </c>
      <c r="D691" s="15" t="n">
        <v>46</v>
      </c>
      <c r="E691" s="15" t="s">
        <v>1548</v>
      </c>
      <c r="F691" s="15" t="n">
        <v>2</v>
      </c>
      <c r="G691" s="15" t="s">
        <v>141</v>
      </c>
      <c r="H691" s="15" t="s">
        <v>142</v>
      </c>
      <c r="I691" s="3" t="s">
        <v>4838</v>
      </c>
      <c r="J691" s="3" t="s">
        <v>4839</v>
      </c>
      <c r="K691" s="15" t="s">
        <v>133</v>
      </c>
      <c r="L691" s="16" t="s">
        <v>7</v>
      </c>
      <c r="M691" s="15" t="s">
        <v>66</v>
      </c>
      <c r="N691" s="15" t="s">
        <v>88</v>
      </c>
      <c r="O691" s="15" t="s">
        <v>88</v>
      </c>
      <c r="P691" s="15" t="s">
        <v>135</v>
      </c>
      <c r="Q691" s="15" t="s">
        <v>197</v>
      </c>
      <c r="R691" s="15" t="s">
        <v>185</v>
      </c>
      <c r="S691" s="15"/>
      <c r="T691" s="15"/>
      <c r="U691" s="3" t="s">
        <v>4840</v>
      </c>
      <c r="V691" s="3" t="s">
        <v>4841</v>
      </c>
      <c r="W691" s="3"/>
      <c r="X691" s="3"/>
      <c r="Y691" s="15" t="n">
        <v>0</v>
      </c>
      <c r="Z691" s="15" t="n">
        <v>0</v>
      </c>
      <c r="AA691" s="15" t="n">
        <v>0</v>
      </c>
      <c r="AB691" s="15" t="n">
        <v>0</v>
      </c>
      <c r="AC691" s="15" t="n">
        <v>0</v>
      </c>
      <c r="AD691" s="15" t="n">
        <v>0</v>
      </c>
      <c r="AE691" s="15" t="n">
        <v>0</v>
      </c>
      <c r="AF691" s="15" t="n">
        <v>1</v>
      </c>
      <c r="AG691" s="15" t="n">
        <v>0</v>
      </c>
      <c r="AH691" s="15" t="n">
        <v>0</v>
      </c>
    </row>
    <row r="692" customFormat="false" ht="35.05" hidden="false" customHeight="false" outlineLevel="0" collapsed="false">
      <c r="A692" s="15" t="s">
        <v>4842</v>
      </c>
      <c r="B692" s="15" t="s">
        <v>38</v>
      </c>
      <c r="C692" s="15" t="s">
        <v>1440</v>
      </c>
      <c r="D692" s="15" t="n">
        <v>52</v>
      </c>
      <c r="E692" s="15" t="s">
        <v>1570</v>
      </c>
      <c r="F692" s="15" t="n">
        <v>0</v>
      </c>
      <c r="G692" s="15" t="s">
        <v>129</v>
      </c>
      <c r="H692" s="15" t="s">
        <v>130</v>
      </c>
      <c r="I692" s="3" t="s">
        <v>4843</v>
      </c>
      <c r="J692" s="3" t="s">
        <v>4844</v>
      </c>
      <c r="K692" s="15" t="s">
        <v>133</v>
      </c>
      <c r="L692" s="16" t="s">
        <v>7</v>
      </c>
      <c r="M692" s="15" t="s">
        <v>66</v>
      </c>
      <c r="N692" s="15" t="s">
        <v>90</v>
      </c>
      <c r="O692" s="15" t="s">
        <v>4845</v>
      </c>
      <c r="P692" s="15" t="s">
        <v>185</v>
      </c>
      <c r="Q692" s="15" t="s">
        <v>129</v>
      </c>
      <c r="R692" s="15" t="s">
        <v>135</v>
      </c>
      <c r="S692" s="15"/>
      <c r="T692" s="15"/>
      <c r="U692" s="3" t="s">
        <v>4846</v>
      </c>
      <c r="V692" s="3" t="s">
        <v>4847</v>
      </c>
      <c r="W692" s="3" t="s">
        <v>4848</v>
      </c>
      <c r="X692" s="3" t="s">
        <v>4849</v>
      </c>
      <c r="Y692" s="15" t="n">
        <v>0</v>
      </c>
      <c r="Z692" s="15" t="n">
        <v>0</v>
      </c>
      <c r="AA692" s="15" t="n">
        <v>0</v>
      </c>
      <c r="AB692" s="15" t="n">
        <v>0</v>
      </c>
      <c r="AC692" s="15" t="n">
        <v>0</v>
      </c>
      <c r="AD692" s="15" t="n">
        <v>1</v>
      </c>
      <c r="AE692" s="15" t="n">
        <v>0</v>
      </c>
      <c r="AF692" s="15" t="n">
        <v>0</v>
      </c>
      <c r="AG692" s="15" t="n">
        <v>1</v>
      </c>
      <c r="AH692" s="15" t="n">
        <v>1</v>
      </c>
    </row>
    <row r="693" customFormat="false" ht="35.05" hidden="false" customHeight="false" outlineLevel="0" collapsed="false">
      <c r="A693" s="15" t="s">
        <v>4850</v>
      </c>
      <c r="B693" s="15" t="s">
        <v>38</v>
      </c>
      <c r="C693" s="15" t="s">
        <v>1440</v>
      </c>
      <c r="D693" s="15" t="n">
        <v>52</v>
      </c>
      <c r="E693" s="15" t="s">
        <v>1570</v>
      </c>
      <c r="F693" s="15" t="n">
        <v>1</v>
      </c>
      <c r="G693" s="15" t="s">
        <v>197</v>
      </c>
      <c r="H693" s="15" t="s">
        <v>142</v>
      </c>
      <c r="I693" s="3" t="s">
        <v>4851</v>
      </c>
      <c r="J693" s="3" t="s">
        <v>4852</v>
      </c>
      <c r="K693" s="15" t="s">
        <v>145</v>
      </c>
      <c r="L693" s="16" t="s">
        <v>7</v>
      </c>
      <c r="M693" s="15" t="s">
        <v>66</v>
      </c>
      <c r="N693" s="15" t="s">
        <v>88</v>
      </c>
      <c r="O693" s="15" t="s">
        <v>88</v>
      </c>
      <c r="P693" s="15" t="s">
        <v>135</v>
      </c>
      <c r="Q693" s="15" t="s">
        <v>129</v>
      </c>
      <c r="R693" s="15" t="s">
        <v>185</v>
      </c>
      <c r="S693" s="15"/>
      <c r="T693" s="15"/>
      <c r="U693" s="3" t="s">
        <v>4853</v>
      </c>
      <c r="V693" s="3" t="s">
        <v>4854</v>
      </c>
      <c r="W693" s="3"/>
      <c r="X693" s="3" t="s">
        <v>4855</v>
      </c>
      <c r="Y693" s="15" t="n">
        <v>0</v>
      </c>
      <c r="Z693" s="15" t="n">
        <v>0</v>
      </c>
      <c r="AA693" s="15" t="n">
        <v>0</v>
      </c>
      <c r="AB693" s="15" t="n">
        <v>0</v>
      </c>
      <c r="AC693" s="15" t="n">
        <v>0</v>
      </c>
      <c r="AD693" s="15" t="n">
        <v>0</v>
      </c>
      <c r="AE693" s="15" t="n">
        <v>0</v>
      </c>
      <c r="AF693" s="15" t="n">
        <v>1</v>
      </c>
      <c r="AG693" s="15" t="n">
        <v>0</v>
      </c>
      <c r="AH693" s="15" t="n">
        <v>0</v>
      </c>
    </row>
    <row r="694" customFormat="false" ht="35.05" hidden="false" customHeight="false" outlineLevel="0" collapsed="false">
      <c r="A694" s="15" t="s">
        <v>4856</v>
      </c>
      <c r="B694" s="15" t="s">
        <v>38</v>
      </c>
      <c r="C694" s="15" t="s">
        <v>1440</v>
      </c>
      <c r="D694" s="15" t="n">
        <v>52</v>
      </c>
      <c r="E694" s="15" t="s">
        <v>1570</v>
      </c>
      <c r="F694" s="15" t="n">
        <v>2</v>
      </c>
      <c r="G694" s="15" t="s">
        <v>141</v>
      </c>
      <c r="H694" s="15" t="s">
        <v>142</v>
      </c>
      <c r="I694" s="3" t="s">
        <v>4857</v>
      </c>
      <c r="J694" s="3" t="s">
        <v>4858</v>
      </c>
      <c r="K694" s="15" t="s">
        <v>133</v>
      </c>
      <c r="L694" s="16" t="s">
        <v>7</v>
      </c>
      <c r="M694" s="15" t="s">
        <v>68</v>
      </c>
      <c r="N694" s="15" t="s">
        <v>85</v>
      </c>
      <c r="O694" s="15" t="s">
        <v>733</v>
      </c>
      <c r="P694" s="15" t="s">
        <v>135</v>
      </c>
      <c r="Q694" s="15" t="s">
        <v>197</v>
      </c>
      <c r="R694" s="15" t="s">
        <v>135</v>
      </c>
      <c r="S694" s="15"/>
      <c r="T694" s="15"/>
      <c r="U694" s="3" t="s">
        <v>4859</v>
      </c>
      <c r="V694" s="3" t="s">
        <v>4860</v>
      </c>
      <c r="W694" s="3" t="s">
        <v>4861</v>
      </c>
      <c r="X694" s="3" t="s">
        <v>4862</v>
      </c>
      <c r="Y694" s="15" t="n">
        <v>0</v>
      </c>
      <c r="Z694" s="15" t="n">
        <v>1</v>
      </c>
      <c r="AA694" s="15" t="n">
        <v>0</v>
      </c>
      <c r="AB694" s="15" t="n">
        <v>0</v>
      </c>
      <c r="AC694" s="15" t="n">
        <v>1</v>
      </c>
      <c r="AD694" s="15" t="n">
        <v>0</v>
      </c>
      <c r="AE694" s="15" t="n">
        <v>0</v>
      </c>
      <c r="AF694" s="15" t="n">
        <v>1</v>
      </c>
      <c r="AG694" s="15" t="n">
        <v>0</v>
      </c>
      <c r="AH694" s="15" t="n">
        <v>0</v>
      </c>
    </row>
    <row r="695" customFormat="false" ht="46.25" hidden="false" customHeight="false" outlineLevel="0" collapsed="false">
      <c r="A695" s="15" t="s">
        <v>4863</v>
      </c>
      <c r="B695" s="15" t="s">
        <v>38</v>
      </c>
      <c r="C695" s="15" t="s">
        <v>1440</v>
      </c>
      <c r="D695" s="15" t="n">
        <v>53</v>
      </c>
      <c r="E695" s="15" t="s">
        <v>1593</v>
      </c>
      <c r="F695" s="15" t="n">
        <v>0</v>
      </c>
      <c r="G695" s="15" t="s">
        <v>129</v>
      </c>
      <c r="H695" s="15" t="s">
        <v>130</v>
      </c>
      <c r="I695" s="3" t="s">
        <v>4864</v>
      </c>
      <c r="J695" s="3" t="s">
        <v>4865</v>
      </c>
      <c r="K695" s="15" t="s">
        <v>133</v>
      </c>
      <c r="L695" s="16" t="s">
        <v>7</v>
      </c>
      <c r="M695" s="15" t="s">
        <v>68</v>
      </c>
      <c r="N695" s="15" t="s">
        <v>84</v>
      </c>
      <c r="O695" s="15" t="s">
        <v>247</v>
      </c>
      <c r="P695" s="15" t="s">
        <v>135</v>
      </c>
      <c r="Q695" s="15" t="s">
        <v>136</v>
      </c>
      <c r="R695" s="15" t="s">
        <v>135</v>
      </c>
      <c r="S695" s="15"/>
      <c r="T695" s="15"/>
      <c r="U695" s="3" t="s">
        <v>4866</v>
      </c>
      <c r="V695" s="3" t="s">
        <v>4867</v>
      </c>
      <c r="W695" s="3" t="s">
        <v>4868</v>
      </c>
      <c r="X695" s="3" t="s">
        <v>4869</v>
      </c>
      <c r="Y695" s="15" t="n">
        <v>0</v>
      </c>
      <c r="Z695" s="15" t="n">
        <v>0</v>
      </c>
      <c r="AA695" s="15" t="n">
        <v>0</v>
      </c>
      <c r="AB695" s="15" t="n">
        <v>1</v>
      </c>
      <c r="AC695" s="15" t="n">
        <v>0</v>
      </c>
      <c r="AD695" s="15" t="n">
        <v>0</v>
      </c>
      <c r="AE695" s="15" t="n">
        <v>0</v>
      </c>
      <c r="AF695" s="15" t="n">
        <v>1</v>
      </c>
      <c r="AG695" s="15" t="n">
        <v>0</v>
      </c>
      <c r="AH695" s="15" t="n">
        <v>1</v>
      </c>
    </row>
    <row r="696" customFormat="false" ht="35.05" hidden="false" customHeight="false" outlineLevel="0" collapsed="false">
      <c r="A696" s="15" t="s">
        <v>4870</v>
      </c>
      <c r="B696" s="15" t="s">
        <v>38</v>
      </c>
      <c r="C696" s="15" t="s">
        <v>1440</v>
      </c>
      <c r="D696" s="15" t="n">
        <v>53</v>
      </c>
      <c r="E696" s="15" t="s">
        <v>1593</v>
      </c>
      <c r="F696" s="15" t="n">
        <v>1</v>
      </c>
      <c r="G696" s="15" t="s">
        <v>197</v>
      </c>
      <c r="H696" s="15" t="s">
        <v>142</v>
      </c>
      <c r="I696" s="3" t="s">
        <v>4871</v>
      </c>
      <c r="J696" s="3" t="s">
        <v>4872</v>
      </c>
      <c r="K696" s="15" t="s">
        <v>145</v>
      </c>
      <c r="L696" s="16" t="s">
        <v>7</v>
      </c>
      <c r="M696" s="15" t="s">
        <v>66</v>
      </c>
      <c r="N696" s="15" t="s">
        <v>87</v>
      </c>
      <c r="O696" s="15" t="s">
        <v>4548</v>
      </c>
      <c r="P696" s="15" t="s">
        <v>135</v>
      </c>
      <c r="Q696" s="15" t="s">
        <v>136</v>
      </c>
      <c r="R696" s="15" t="s">
        <v>135</v>
      </c>
      <c r="S696" s="15"/>
      <c r="T696" s="15"/>
      <c r="U696" s="3" t="s">
        <v>4873</v>
      </c>
      <c r="V696" s="3" t="s">
        <v>4874</v>
      </c>
      <c r="W696" s="3" t="s">
        <v>4875</v>
      </c>
      <c r="X696" s="3" t="s">
        <v>4876</v>
      </c>
      <c r="Y696" s="15" t="n">
        <v>0</v>
      </c>
      <c r="Z696" s="15" t="n">
        <v>0</v>
      </c>
      <c r="AA696" s="15" t="n">
        <v>0</v>
      </c>
      <c r="AB696" s="15" t="n">
        <v>0</v>
      </c>
      <c r="AC696" s="15" t="n">
        <v>0</v>
      </c>
      <c r="AD696" s="15" t="n">
        <v>0</v>
      </c>
      <c r="AE696" s="15" t="n">
        <v>1</v>
      </c>
      <c r="AF696" s="15" t="n">
        <v>1</v>
      </c>
      <c r="AG696" s="15" t="n">
        <v>0</v>
      </c>
      <c r="AH696" s="15" t="n">
        <v>1</v>
      </c>
    </row>
    <row r="697" customFormat="false" ht="46.25" hidden="false" customHeight="false" outlineLevel="0" collapsed="false">
      <c r="A697" s="15" t="s">
        <v>4877</v>
      </c>
      <c r="B697" s="15" t="s">
        <v>38</v>
      </c>
      <c r="C697" s="15" t="s">
        <v>1440</v>
      </c>
      <c r="D697" s="15" t="n">
        <v>53</v>
      </c>
      <c r="E697" s="15" t="s">
        <v>1593</v>
      </c>
      <c r="F697" s="15" t="n">
        <v>2</v>
      </c>
      <c r="G697" s="15" t="s">
        <v>141</v>
      </c>
      <c r="H697" s="15" t="s">
        <v>142</v>
      </c>
      <c r="I697" s="3" t="s">
        <v>4878</v>
      </c>
      <c r="J697" s="3" t="s">
        <v>3838</v>
      </c>
      <c r="K697" s="15" t="s">
        <v>133</v>
      </c>
      <c r="L697" s="16" t="s">
        <v>7</v>
      </c>
      <c r="M697" s="15" t="s">
        <v>66</v>
      </c>
      <c r="N697" s="15" t="s">
        <v>88</v>
      </c>
      <c r="O697" s="15" t="s">
        <v>88</v>
      </c>
      <c r="P697" s="15" t="s">
        <v>135</v>
      </c>
      <c r="Q697" s="15" t="s">
        <v>129</v>
      </c>
      <c r="R697" s="15" t="s">
        <v>185</v>
      </c>
      <c r="S697" s="15"/>
      <c r="T697" s="15"/>
      <c r="U697" s="3" t="s">
        <v>4879</v>
      </c>
      <c r="V697" s="3" t="s">
        <v>4880</v>
      </c>
      <c r="W697" s="3"/>
      <c r="X697" s="3" t="s">
        <v>4881</v>
      </c>
      <c r="Y697" s="15" t="n">
        <v>0</v>
      </c>
      <c r="Z697" s="15" t="n">
        <v>0</v>
      </c>
      <c r="AA697" s="15" t="n">
        <v>0</v>
      </c>
      <c r="AB697" s="15" t="n">
        <v>0</v>
      </c>
      <c r="AC697" s="15" t="n">
        <v>0</v>
      </c>
      <c r="AD697" s="15" t="n">
        <v>0</v>
      </c>
      <c r="AE697" s="15" t="n">
        <v>0</v>
      </c>
      <c r="AF697" s="15" t="n">
        <v>1</v>
      </c>
      <c r="AG697" s="15" t="n">
        <v>0</v>
      </c>
      <c r="AH697" s="15" t="n">
        <v>0</v>
      </c>
    </row>
    <row r="698" customFormat="false" ht="23.85" hidden="false" customHeight="false" outlineLevel="0" collapsed="false">
      <c r="A698" s="15" t="s">
        <v>4882</v>
      </c>
      <c r="B698" s="15" t="s">
        <v>38</v>
      </c>
      <c r="C698" s="15" t="s">
        <v>1611</v>
      </c>
      <c r="D698" s="15" t="n">
        <v>13</v>
      </c>
      <c r="E698" s="15" t="s">
        <v>1612</v>
      </c>
      <c r="F698" s="15" t="n">
        <v>0</v>
      </c>
      <c r="G698" s="15" t="s">
        <v>136</v>
      </c>
      <c r="H698" s="15" t="s">
        <v>308</v>
      </c>
      <c r="I698" s="3" t="s">
        <v>4883</v>
      </c>
      <c r="J698" s="3" t="s">
        <v>4884</v>
      </c>
      <c r="K698" s="15" t="s">
        <v>133</v>
      </c>
      <c r="L698" s="16" t="s">
        <v>7</v>
      </c>
      <c r="M698" s="15" t="s">
        <v>66</v>
      </c>
      <c r="N698" s="15" t="s">
        <v>88</v>
      </c>
      <c r="O698" s="15" t="s">
        <v>3940</v>
      </c>
      <c r="P698" s="15" t="s">
        <v>135</v>
      </c>
      <c r="Q698" s="15" t="s">
        <v>129</v>
      </c>
      <c r="R698" s="15" t="s">
        <v>185</v>
      </c>
      <c r="S698" s="15"/>
      <c r="T698" s="15"/>
      <c r="U698" s="3" t="s">
        <v>4885</v>
      </c>
      <c r="V698" s="3" t="s">
        <v>4886</v>
      </c>
      <c r="W698" s="3"/>
      <c r="X698" s="3" t="s">
        <v>4887</v>
      </c>
      <c r="Y698" s="15" t="n">
        <v>0</v>
      </c>
      <c r="Z698" s="15" t="n">
        <v>0</v>
      </c>
      <c r="AA698" s="15" t="n">
        <v>0</v>
      </c>
      <c r="AB698" s="15" t="n">
        <v>0</v>
      </c>
      <c r="AC698" s="15" t="n">
        <v>0</v>
      </c>
      <c r="AD698" s="15" t="n">
        <v>0</v>
      </c>
      <c r="AE698" s="15" t="n">
        <v>0</v>
      </c>
      <c r="AF698" s="15" t="n">
        <v>1</v>
      </c>
      <c r="AG698" s="15" t="n">
        <v>1</v>
      </c>
      <c r="AH698" s="15" t="n">
        <v>0</v>
      </c>
    </row>
    <row r="699" customFormat="false" ht="35.05" hidden="false" customHeight="false" outlineLevel="0" collapsed="false">
      <c r="A699" s="15" t="s">
        <v>4888</v>
      </c>
      <c r="B699" s="15" t="s">
        <v>38</v>
      </c>
      <c r="C699" s="15" t="s">
        <v>1611</v>
      </c>
      <c r="D699" s="15" t="n">
        <v>13</v>
      </c>
      <c r="E699" s="15" t="s">
        <v>1612</v>
      </c>
      <c r="F699" s="15" t="n">
        <v>1</v>
      </c>
      <c r="G699" s="15" t="s">
        <v>129</v>
      </c>
      <c r="H699" s="15" t="s">
        <v>130</v>
      </c>
      <c r="I699" s="3" t="s">
        <v>4889</v>
      </c>
      <c r="J699" s="3" t="s">
        <v>4890</v>
      </c>
      <c r="K699" s="15" t="s">
        <v>145</v>
      </c>
      <c r="L699" s="16" t="s">
        <v>7</v>
      </c>
      <c r="M699" s="15" t="s">
        <v>66</v>
      </c>
      <c r="N699" s="15" t="s">
        <v>88</v>
      </c>
      <c r="O699" s="15" t="s">
        <v>3940</v>
      </c>
      <c r="P699" s="15" t="s">
        <v>135</v>
      </c>
      <c r="Q699" s="15" t="s">
        <v>136</v>
      </c>
      <c r="R699" s="15" t="s">
        <v>185</v>
      </c>
      <c r="S699" s="15"/>
      <c r="T699" s="15"/>
      <c r="U699" s="3" t="s">
        <v>4891</v>
      </c>
      <c r="V699" s="3" t="s">
        <v>4892</v>
      </c>
      <c r="W699" s="3"/>
      <c r="X699" s="3" t="s">
        <v>4893</v>
      </c>
      <c r="Y699" s="15" t="n">
        <v>0</v>
      </c>
      <c r="Z699" s="15" t="n">
        <v>0</v>
      </c>
      <c r="AA699" s="15" t="n">
        <v>0</v>
      </c>
      <c r="AB699" s="15" t="n">
        <v>0</v>
      </c>
      <c r="AC699" s="15" t="n">
        <v>0</v>
      </c>
      <c r="AD699" s="15" t="n">
        <v>0</v>
      </c>
      <c r="AE699" s="15" t="n">
        <v>0</v>
      </c>
      <c r="AF699" s="15" t="n">
        <v>1</v>
      </c>
      <c r="AG699" s="15" t="n">
        <v>1</v>
      </c>
      <c r="AH699" s="15" t="n">
        <v>0</v>
      </c>
    </row>
    <row r="700" customFormat="false" ht="35.05" hidden="false" customHeight="false" outlineLevel="0" collapsed="false">
      <c r="A700" s="15" t="s">
        <v>4894</v>
      </c>
      <c r="B700" s="15" t="s">
        <v>38</v>
      </c>
      <c r="C700" s="15" t="s">
        <v>1611</v>
      </c>
      <c r="D700" s="15" t="n">
        <v>13</v>
      </c>
      <c r="E700" s="15" t="s">
        <v>1612</v>
      </c>
      <c r="F700" s="15" t="n">
        <v>2</v>
      </c>
      <c r="G700" s="15" t="s">
        <v>197</v>
      </c>
      <c r="H700" s="15" t="s">
        <v>142</v>
      </c>
      <c r="I700" s="3" t="s">
        <v>4895</v>
      </c>
      <c r="J700" s="3" t="s">
        <v>4896</v>
      </c>
      <c r="K700" s="15" t="s">
        <v>133</v>
      </c>
      <c r="L700" s="16" t="s">
        <v>7</v>
      </c>
      <c r="M700" s="15" t="s">
        <v>66</v>
      </c>
      <c r="N700" s="15" t="s">
        <v>88</v>
      </c>
      <c r="O700" s="15" t="s">
        <v>4897</v>
      </c>
      <c r="P700" s="15" t="s">
        <v>135</v>
      </c>
      <c r="Q700" s="15" t="s">
        <v>136</v>
      </c>
      <c r="R700" s="15" t="s">
        <v>135</v>
      </c>
      <c r="S700" s="15"/>
      <c r="T700" s="15"/>
      <c r="U700" s="3" t="s">
        <v>4898</v>
      </c>
      <c r="V700" s="3" t="s">
        <v>4899</v>
      </c>
      <c r="W700" s="3" t="s">
        <v>4900</v>
      </c>
      <c r="X700" s="3" t="s">
        <v>4901</v>
      </c>
      <c r="Y700" s="15" t="n">
        <v>0</v>
      </c>
      <c r="Z700" s="15" t="n">
        <v>1</v>
      </c>
      <c r="AA700" s="15" t="n">
        <v>0</v>
      </c>
      <c r="AB700" s="15" t="n">
        <v>0</v>
      </c>
      <c r="AC700" s="15" t="n">
        <v>0</v>
      </c>
      <c r="AD700" s="15" t="n">
        <v>0</v>
      </c>
      <c r="AE700" s="15" t="n">
        <v>0</v>
      </c>
      <c r="AF700" s="15" t="n">
        <v>1</v>
      </c>
      <c r="AG700" s="15" t="n">
        <v>1</v>
      </c>
      <c r="AH700" s="15" t="n">
        <v>0</v>
      </c>
    </row>
    <row r="701" customFormat="false" ht="35.05" hidden="false" customHeight="false" outlineLevel="0" collapsed="false">
      <c r="A701" s="15" t="s">
        <v>4902</v>
      </c>
      <c r="B701" s="15" t="s">
        <v>38</v>
      </c>
      <c r="C701" s="15" t="s">
        <v>1611</v>
      </c>
      <c r="D701" s="15" t="n">
        <v>14</v>
      </c>
      <c r="E701" s="15" t="s">
        <v>1629</v>
      </c>
      <c r="F701" s="15" t="n">
        <v>0</v>
      </c>
      <c r="G701" s="15" t="s">
        <v>129</v>
      </c>
      <c r="H701" s="15" t="s">
        <v>130</v>
      </c>
      <c r="I701" s="3" t="s">
        <v>4903</v>
      </c>
      <c r="J701" s="3" t="s">
        <v>3838</v>
      </c>
      <c r="K701" s="15" t="s">
        <v>133</v>
      </c>
      <c r="L701" s="16" t="s">
        <v>7</v>
      </c>
      <c r="M701" s="15" t="s">
        <v>68</v>
      </c>
      <c r="N701" s="15" t="s">
        <v>82</v>
      </c>
      <c r="O701" s="15" t="s">
        <v>82</v>
      </c>
      <c r="P701" s="15" t="s">
        <v>185</v>
      </c>
      <c r="Q701" s="15" t="s">
        <v>129</v>
      </c>
      <c r="R701" s="15" t="s">
        <v>135</v>
      </c>
      <c r="S701" s="15"/>
      <c r="T701" s="15"/>
      <c r="U701" s="3" t="s">
        <v>4904</v>
      </c>
      <c r="V701" s="3" t="s">
        <v>4905</v>
      </c>
      <c r="W701" s="3"/>
      <c r="X701" s="3" t="s">
        <v>4906</v>
      </c>
      <c r="Y701" s="15" t="n">
        <v>0</v>
      </c>
      <c r="Z701" s="15" t="n">
        <v>1</v>
      </c>
      <c r="AA701" s="15" t="n">
        <v>0</v>
      </c>
      <c r="AB701" s="15" t="n">
        <v>0</v>
      </c>
      <c r="AC701" s="15" t="n">
        <v>0</v>
      </c>
      <c r="AD701" s="15" t="n">
        <v>0</v>
      </c>
      <c r="AE701" s="15" t="n">
        <v>0</v>
      </c>
      <c r="AF701" s="15" t="n">
        <v>0</v>
      </c>
      <c r="AG701" s="15" t="n">
        <v>0</v>
      </c>
      <c r="AH701" s="15" t="n">
        <v>0</v>
      </c>
    </row>
    <row r="702" customFormat="false" ht="35.05" hidden="false" customHeight="false" outlineLevel="0" collapsed="false">
      <c r="A702" s="15" t="s">
        <v>4907</v>
      </c>
      <c r="B702" s="15" t="s">
        <v>38</v>
      </c>
      <c r="C702" s="15" t="s">
        <v>1611</v>
      </c>
      <c r="D702" s="15" t="n">
        <v>14</v>
      </c>
      <c r="E702" s="15" t="s">
        <v>1629</v>
      </c>
      <c r="F702" s="15" t="n">
        <v>1</v>
      </c>
      <c r="G702" s="15" t="s">
        <v>197</v>
      </c>
      <c r="H702" s="15" t="s">
        <v>142</v>
      </c>
      <c r="I702" s="3" t="s">
        <v>4908</v>
      </c>
      <c r="J702" s="3" t="s">
        <v>3838</v>
      </c>
      <c r="K702" s="15" t="s">
        <v>133</v>
      </c>
      <c r="L702" s="16" t="s">
        <v>7</v>
      </c>
      <c r="M702" s="15" t="s">
        <v>68</v>
      </c>
      <c r="N702" s="15" t="s">
        <v>82</v>
      </c>
      <c r="O702" s="15" t="s">
        <v>215</v>
      </c>
      <c r="P702" s="15" t="s">
        <v>135</v>
      </c>
      <c r="Q702" s="15" t="s">
        <v>129</v>
      </c>
      <c r="R702" s="15" t="s">
        <v>135</v>
      </c>
      <c r="S702" s="15"/>
      <c r="T702" s="15"/>
      <c r="U702" s="3" t="s">
        <v>4909</v>
      </c>
      <c r="V702" s="3" t="s">
        <v>4910</v>
      </c>
      <c r="W702" s="3"/>
      <c r="X702" s="3" t="s">
        <v>4911</v>
      </c>
      <c r="Y702" s="15" t="n">
        <v>0</v>
      </c>
      <c r="Z702" s="15" t="n">
        <v>1</v>
      </c>
      <c r="AA702" s="15" t="n">
        <v>0</v>
      </c>
      <c r="AB702" s="15" t="n">
        <v>0</v>
      </c>
      <c r="AC702" s="15" t="n">
        <v>0</v>
      </c>
      <c r="AD702" s="15" t="n">
        <v>0</v>
      </c>
      <c r="AE702" s="15" t="n">
        <v>0</v>
      </c>
      <c r="AF702" s="15" t="n">
        <v>1</v>
      </c>
      <c r="AG702" s="15" t="n">
        <v>0</v>
      </c>
      <c r="AH702" s="15" t="n">
        <v>0</v>
      </c>
    </row>
    <row r="703" customFormat="false" ht="46.25" hidden="false" customHeight="false" outlineLevel="0" collapsed="false">
      <c r="A703" s="15" t="s">
        <v>4912</v>
      </c>
      <c r="B703" s="15" t="s">
        <v>38</v>
      </c>
      <c r="C703" s="15" t="s">
        <v>1611</v>
      </c>
      <c r="D703" s="15" t="n">
        <v>14</v>
      </c>
      <c r="E703" s="15" t="s">
        <v>1629</v>
      </c>
      <c r="F703" s="15" t="n">
        <v>2</v>
      </c>
      <c r="G703" s="15" t="s">
        <v>141</v>
      </c>
      <c r="H703" s="15" t="s">
        <v>142</v>
      </c>
      <c r="I703" s="3" t="s">
        <v>4913</v>
      </c>
      <c r="J703" s="3" t="s">
        <v>3838</v>
      </c>
      <c r="K703" s="15" t="s">
        <v>145</v>
      </c>
      <c r="L703" s="16" t="s">
        <v>7</v>
      </c>
      <c r="M703" s="15" t="s">
        <v>68</v>
      </c>
      <c r="N703" s="15" t="s">
        <v>84</v>
      </c>
      <c r="O703" s="15" t="s">
        <v>2307</v>
      </c>
      <c r="P703" s="15" t="s">
        <v>135</v>
      </c>
      <c r="Q703" s="15" t="s">
        <v>129</v>
      </c>
      <c r="R703" s="15" t="s">
        <v>135</v>
      </c>
      <c r="S703" s="15"/>
      <c r="T703" s="15"/>
      <c r="U703" s="3" t="s">
        <v>4914</v>
      </c>
      <c r="V703" s="3" t="s">
        <v>4915</v>
      </c>
      <c r="W703" s="3" t="s">
        <v>4916</v>
      </c>
      <c r="X703" s="3" t="s">
        <v>4917</v>
      </c>
      <c r="Y703" s="15" t="n">
        <v>0</v>
      </c>
      <c r="Z703" s="15" t="n">
        <v>0</v>
      </c>
      <c r="AA703" s="15" t="n">
        <v>0</v>
      </c>
      <c r="AB703" s="15" t="n">
        <v>1</v>
      </c>
      <c r="AC703" s="15" t="n">
        <v>0</v>
      </c>
      <c r="AD703" s="15" t="n">
        <v>0</v>
      </c>
      <c r="AE703" s="15" t="n">
        <v>0</v>
      </c>
      <c r="AF703" s="15" t="n">
        <v>1</v>
      </c>
      <c r="AG703" s="15" t="n">
        <v>0</v>
      </c>
      <c r="AH703" s="15" t="n">
        <v>1</v>
      </c>
    </row>
    <row r="704" customFormat="false" ht="23.85" hidden="false" customHeight="false" outlineLevel="0" collapsed="false">
      <c r="A704" s="15" t="s">
        <v>4918</v>
      </c>
      <c r="B704" s="15" t="s">
        <v>38</v>
      </c>
      <c r="C704" s="15" t="s">
        <v>1611</v>
      </c>
      <c r="D704" s="15" t="n">
        <v>38</v>
      </c>
      <c r="E704" s="15" t="s">
        <v>1653</v>
      </c>
      <c r="F704" s="15" t="n">
        <v>0</v>
      </c>
      <c r="G704" s="15" t="s">
        <v>141</v>
      </c>
      <c r="H704" s="15" t="s">
        <v>142</v>
      </c>
      <c r="I704" s="3" t="s">
        <v>4919</v>
      </c>
      <c r="J704" s="3" t="s">
        <v>4920</v>
      </c>
      <c r="K704" s="15" t="s">
        <v>145</v>
      </c>
      <c r="L704" s="16" t="s">
        <v>7</v>
      </c>
      <c r="M704" s="15" t="s">
        <v>66</v>
      </c>
      <c r="N704" s="15" t="s">
        <v>88</v>
      </c>
      <c r="O704" s="15" t="s">
        <v>4158</v>
      </c>
      <c r="P704" s="15" t="s">
        <v>135</v>
      </c>
      <c r="Q704" s="15" t="s">
        <v>136</v>
      </c>
      <c r="R704" s="15" t="s">
        <v>135</v>
      </c>
      <c r="S704" s="15"/>
      <c r="T704" s="15"/>
      <c r="U704" s="3" t="s">
        <v>4921</v>
      </c>
      <c r="V704" s="3" t="s">
        <v>4922</v>
      </c>
      <c r="W704" s="3" t="s">
        <v>4923</v>
      </c>
      <c r="X704" s="3" t="s">
        <v>4924</v>
      </c>
      <c r="Y704" s="15" t="n">
        <v>0</v>
      </c>
      <c r="Z704" s="15" t="n">
        <v>0</v>
      </c>
      <c r="AA704" s="15" t="n">
        <v>0</v>
      </c>
      <c r="AB704" s="15" t="n">
        <v>0</v>
      </c>
      <c r="AC704" s="15" t="n">
        <v>0</v>
      </c>
      <c r="AD704" s="15" t="n">
        <v>1</v>
      </c>
      <c r="AE704" s="15" t="n">
        <v>0</v>
      </c>
      <c r="AF704" s="15" t="n">
        <v>1</v>
      </c>
      <c r="AG704" s="15" t="n">
        <v>0</v>
      </c>
      <c r="AH704" s="15" t="n">
        <v>0</v>
      </c>
    </row>
    <row r="705" customFormat="false" ht="23.85" hidden="false" customHeight="false" outlineLevel="0" collapsed="false">
      <c r="A705" s="15" t="s">
        <v>4925</v>
      </c>
      <c r="B705" s="15" t="s">
        <v>38</v>
      </c>
      <c r="C705" s="15" t="s">
        <v>1611</v>
      </c>
      <c r="D705" s="15" t="n">
        <v>38</v>
      </c>
      <c r="E705" s="15" t="s">
        <v>1653</v>
      </c>
      <c r="F705" s="15" t="n">
        <v>1</v>
      </c>
      <c r="G705" s="15" t="s">
        <v>129</v>
      </c>
      <c r="H705" s="15" t="s">
        <v>130</v>
      </c>
      <c r="I705" s="3" t="s">
        <v>4926</v>
      </c>
      <c r="J705" s="3" t="s">
        <v>4927</v>
      </c>
      <c r="K705" s="15" t="s">
        <v>145</v>
      </c>
      <c r="L705" s="16" t="s">
        <v>7</v>
      </c>
      <c r="M705" s="15" t="s">
        <v>66</v>
      </c>
      <c r="N705" s="15" t="s">
        <v>86</v>
      </c>
      <c r="O705" s="15" t="s">
        <v>4928</v>
      </c>
      <c r="P705" s="15" t="s">
        <v>185</v>
      </c>
      <c r="Q705" s="15" t="s">
        <v>129</v>
      </c>
      <c r="R705" s="15" t="s">
        <v>135</v>
      </c>
      <c r="S705" s="15"/>
      <c r="T705" s="15"/>
      <c r="U705" s="3" t="s">
        <v>4929</v>
      </c>
      <c r="V705" s="3" t="s">
        <v>4930</v>
      </c>
      <c r="W705" s="3" t="s">
        <v>4931</v>
      </c>
      <c r="X705" s="3" t="s">
        <v>4932</v>
      </c>
      <c r="Y705" s="15" t="n">
        <v>0</v>
      </c>
      <c r="Z705" s="15" t="n">
        <v>0</v>
      </c>
      <c r="AA705" s="15" t="n">
        <v>0</v>
      </c>
      <c r="AB705" s="15" t="n">
        <v>0</v>
      </c>
      <c r="AC705" s="15" t="n">
        <v>0</v>
      </c>
      <c r="AD705" s="15" t="n">
        <v>1</v>
      </c>
      <c r="AE705" s="15" t="n">
        <v>0</v>
      </c>
      <c r="AF705" s="15" t="n">
        <v>0</v>
      </c>
      <c r="AG705" s="15" t="n">
        <v>1</v>
      </c>
      <c r="AH705" s="15" t="n">
        <v>0</v>
      </c>
    </row>
    <row r="706" customFormat="false" ht="35.05" hidden="false" customHeight="false" outlineLevel="0" collapsed="false">
      <c r="A706" s="15" t="s">
        <v>4933</v>
      </c>
      <c r="B706" s="15" t="s">
        <v>38</v>
      </c>
      <c r="C706" s="15" t="s">
        <v>1611</v>
      </c>
      <c r="D706" s="15" t="n">
        <v>38</v>
      </c>
      <c r="E706" s="15" t="s">
        <v>1653</v>
      </c>
      <c r="F706" s="15" t="n">
        <v>2</v>
      </c>
      <c r="G706" s="15" t="s">
        <v>197</v>
      </c>
      <c r="H706" s="15" t="s">
        <v>142</v>
      </c>
      <c r="I706" s="3" t="s">
        <v>4934</v>
      </c>
      <c r="J706" s="3" t="s">
        <v>4935</v>
      </c>
      <c r="K706" s="15" t="s">
        <v>133</v>
      </c>
      <c r="L706" s="16" t="s">
        <v>7</v>
      </c>
      <c r="M706" s="15" t="s">
        <v>66</v>
      </c>
      <c r="N706" s="15" t="s">
        <v>88</v>
      </c>
      <c r="O706" s="15" t="s">
        <v>3940</v>
      </c>
      <c r="P706" s="15" t="s">
        <v>135</v>
      </c>
      <c r="Q706" s="15" t="s">
        <v>136</v>
      </c>
      <c r="R706" s="15" t="s">
        <v>185</v>
      </c>
      <c r="S706" s="15"/>
      <c r="T706" s="15"/>
      <c r="U706" s="3" t="s">
        <v>4936</v>
      </c>
      <c r="V706" s="3" t="s">
        <v>4937</v>
      </c>
      <c r="W706" s="3" t="s">
        <v>4938</v>
      </c>
      <c r="X706" s="3" t="s">
        <v>4939</v>
      </c>
      <c r="Y706" s="15" t="n">
        <v>0</v>
      </c>
      <c r="Z706" s="15" t="n">
        <v>0</v>
      </c>
      <c r="AA706" s="15" t="n">
        <v>0</v>
      </c>
      <c r="AB706" s="15" t="n">
        <v>0</v>
      </c>
      <c r="AC706" s="15" t="n">
        <v>0</v>
      </c>
      <c r="AD706" s="15" t="n">
        <v>0</v>
      </c>
      <c r="AE706" s="15" t="n">
        <v>0</v>
      </c>
      <c r="AF706" s="15" t="n">
        <v>1</v>
      </c>
      <c r="AG706" s="15" t="n">
        <v>1</v>
      </c>
      <c r="AH706" s="15" t="n">
        <v>0</v>
      </c>
    </row>
    <row r="707" customFormat="false" ht="35.05" hidden="false" customHeight="false" outlineLevel="0" collapsed="false">
      <c r="A707" s="15" t="s">
        <v>4940</v>
      </c>
      <c r="B707" s="15" t="s">
        <v>38</v>
      </c>
      <c r="C707" s="15" t="s">
        <v>1611</v>
      </c>
      <c r="D707" s="15" t="n">
        <v>39</v>
      </c>
      <c r="E707" s="15" t="s">
        <v>1674</v>
      </c>
      <c r="F707" s="15" t="n">
        <v>0</v>
      </c>
      <c r="G707" s="15" t="s">
        <v>129</v>
      </c>
      <c r="H707" s="15" t="s">
        <v>130</v>
      </c>
      <c r="I707" s="3" t="s">
        <v>4941</v>
      </c>
      <c r="J707" s="3" t="s">
        <v>4920</v>
      </c>
      <c r="K707" s="15" t="s">
        <v>145</v>
      </c>
      <c r="L707" s="16" t="s">
        <v>7</v>
      </c>
      <c r="M707" s="15" t="s">
        <v>66</v>
      </c>
      <c r="N707" s="15" t="s">
        <v>88</v>
      </c>
      <c r="O707" s="15" t="s">
        <v>4158</v>
      </c>
      <c r="P707" s="15" t="s">
        <v>135</v>
      </c>
      <c r="Q707" s="15" t="s">
        <v>136</v>
      </c>
      <c r="R707" s="15" t="s">
        <v>135</v>
      </c>
      <c r="S707" s="15"/>
      <c r="T707" s="15"/>
      <c r="U707" s="3" t="s">
        <v>4942</v>
      </c>
      <c r="V707" s="3" t="s">
        <v>4943</v>
      </c>
      <c r="W707" s="3"/>
      <c r="X707" s="3" t="s">
        <v>4944</v>
      </c>
      <c r="Y707" s="15" t="n">
        <v>0</v>
      </c>
      <c r="Z707" s="15" t="n">
        <v>0</v>
      </c>
      <c r="AA707" s="15" t="n">
        <v>0</v>
      </c>
      <c r="AB707" s="15" t="n">
        <v>0</v>
      </c>
      <c r="AC707" s="15" t="n">
        <v>0</v>
      </c>
      <c r="AD707" s="15" t="n">
        <v>1</v>
      </c>
      <c r="AE707" s="15" t="n">
        <v>0</v>
      </c>
      <c r="AF707" s="15" t="n">
        <v>1</v>
      </c>
      <c r="AG707" s="15" t="n">
        <v>0</v>
      </c>
      <c r="AH707" s="15" t="n">
        <v>0</v>
      </c>
    </row>
    <row r="708" customFormat="false" ht="35.05" hidden="false" customHeight="false" outlineLevel="0" collapsed="false">
      <c r="A708" s="15" t="s">
        <v>4945</v>
      </c>
      <c r="B708" s="15" t="s">
        <v>38</v>
      </c>
      <c r="C708" s="15" t="s">
        <v>1611</v>
      </c>
      <c r="D708" s="15" t="n">
        <v>39</v>
      </c>
      <c r="E708" s="15" t="s">
        <v>1674</v>
      </c>
      <c r="F708" s="15" t="n">
        <v>1</v>
      </c>
      <c r="G708" s="15" t="s">
        <v>197</v>
      </c>
      <c r="H708" s="15" t="s">
        <v>142</v>
      </c>
      <c r="I708" s="3" t="s">
        <v>4946</v>
      </c>
      <c r="J708" s="3" t="s">
        <v>4947</v>
      </c>
      <c r="K708" s="15" t="s">
        <v>145</v>
      </c>
      <c r="L708" s="16" t="s">
        <v>7</v>
      </c>
      <c r="M708" s="15" t="s">
        <v>66</v>
      </c>
      <c r="N708" s="15" t="s">
        <v>88</v>
      </c>
      <c r="O708" s="15" t="s">
        <v>4158</v>
      </c>
      <c r="P708" s="15" t="s">
        <v>135</v>
      </c>
      <c r="Q708" s="15" t="s">
        <v>129</v>
      </c>
      <c r="R708" s="15" t="s">
        <v>135</v>
      </c>
      <c r="S708" s="15"/>
      <c r="T708" s="15"/>
      <c r="U708" s="3" t="s">
        <v>4948</v>
      </c>
      <c r="V708" s="3" t="s">
        <v>4949</v>
      </c>
      <c r="W708" s="3"/>
      <c r="X708" s="3" t="s">
        <v>4950</v>
      </c>
      <c r="Y708" s="15" t="n">
        <v>0</v>
      </c>
      <c r="Z708" s="15" t="n">
        <v>0</v>
      </c>
      <c r="AA708" s="15" t="n">
        <v>0</v>
      </c>
      <c r="AB708" s="15" t="n">
        <v>0</v>
      </c>
      <c r="AC708" s="15" t="n">
        <v>0</v>
      </c>
      <c r="AD708" s="15" t="n">
        <v>1</v>
      </c>
      <c r="AE708" s="15" t="n">
        <v>0</v>
      </c>
      <c r="AF708" s="15" t="n">
        <v>1</v>
      </c>
      <c r="AG708" s="15" t="n">
        <v>0</v>
      </c>
      <c r="AH708" s="15" t="n">
        <v>0</v>
      </c>
    </row>
    <row r="709" customFormat="false" ht="35.05" hidden="false" customHeight="false" outlineLevel="0" collapsed="false">
      <c r="A709" s="15" t="s">
        <v>4951</v>
      </c>
      <c r="B709" s="15" t="s">
        <v>38</v>
      </c>
      <c r="C709" s="15" t="s">
        <v>1611</v>
      </c>
      <c r="D709" s="15" t="n">
        <v>39</v>
      </c>
      <c r="E709" s="15" t="s">
        <v>1674</v>
      </c>
      <c r="F709" s="15" t="n">
        <v>2</v>
      </c>
      <c r="G709" s="15" t="s">
        <v>141</v>
      </c>
      <c r="H709" s="15" t="s">
        <v>142</v>
      </c>
      <c r="I709" s="3" t="s">
        <v>4952</v>
      </c>
      <c r="J709" s="3" t="s">
        <v>4953</v>
      </c>
      <c r="K709" s="15" t="s">
        <v>145</v>
      </c>
      <c r="L709" s="16" t="s">
        <v>7</v>
      </c>
      <c r="M709" s="15" t="s">
        <v>66</v>
      </c>
      <c r="N709" s="15" t="s">
        <v>88</v>
      </c>
      <c r="O709" s="15" t="s">
        <v>4158</v>
      </c>
      <c r="P709" s="15" t="s">
        <v>135</v>
      </c>
      <c r="Q709" s="15" t="s">
        <v>136</v>
      </c>
      <c r="R709" s="15" t="s">
        <v>135</v>
      </c>
      <c r="S709" s="15"/>
      <c r="T709" s="15"/>
      <c r="U709" s="3" t="s">
        <v>4954</v>
      </c>
      <c r="V709" s="3" t="s">
        <v>4955</v>
      </c>
      <c r="W709" s="3" t="s">
        <v>4956</v>
      </c>
      <c r="X709" s="3" t="s">
        <v>4957</v>
      </c>
      <c r="Y709" s="15" t="n">
        <v>0</v>
      </c>
      <c r="Z709" s="15" t="n">
        <v>0</v>
      </c>
      <c r="AA709" s="15" t="n">
        <v>0</v>
      </c>
      <c r="AB709" s="15" t="n">
        <v>0</v>
      </c>
      <c r="AC709" s="15" t="n">
        <v>0</v>
      </c>
      <c r="AD709" s="15" t="n">
        <v>1</v>
      </c>
      <c r="AE709" s="15" t="n">
        <v>0</v>
      </c>
      <c r="AF709" s="15" t="n">
        <v>1</v>
      </c>
      <c r="AG709" s="15" t="n">
        <v>0</v>
      </c>
      <c r="AH709" s="15" t="n">
        <v>0</v>
      </c>
    </row>
    <row r="710" customFormat="false" ht="35.05" hidden="false" customHeight="false" outlineLevel="0" collapsed="false">
      <c r="A710" s="15" t="s">
        <v>4958</v>
      </c>
      <c r="B710" s="15" t="s">
        <v>38</v>
      </c>
      <c r="C710" s="15" t="s">
        <v>1697</v>
      </c>
      <c r="D710" s="15" t="n">
        <v>17</v>
      </c>
      <c r="E710" s="15" t="s">
        <v>1698</v>
      </c>
      <c r="F710" s="15" t="n">
        <v>0</v>
      </c>
      <c r="G710" s="15" t="s">
        <v>129</v>
      </c>
      <c r="H710" s="15" t="s">
        <v>130</v>
      </c>
      <c r="I710" s="3" t="s">
        <v>4959</v>
      </c>
      <c r="J710" s="3" t="s">
        <v>4960</v>
      </c>
      <c r="K710" s="15" t="s">
        <v>133</v>
      </c>
      <c r="L710" s="16" t="s">
        <v>7</v>
      </c>
      <c r="M710" s="15" t="s">
        <v>68</v>
      </c>
      <c r="N710" s="15" t="s">
        <v>82</v>
      </c>
      <c r="O710" s="15" t="s">
        <v>82</v>
      </c>
      <c r="P710" s="15" t="s">
        <v>185</v>
      </c>
      <c r="Q710" s="15" t="s">
        <v>129</v>
      </c>
      <c r="R710" s="15" t="s">
        <v>135</v>
      </c>
      <c r="S710" s="15"/>
      <c r="T710" s="15"/>
      <c r="U710" s="3" t="s">
        <v>4961</v>
      </c>
      <c r="V710" s="3" t="s">
        <v>4962</v>
      </c>
      <c r="W710" s="3" t="s">
        <v>4963</v>
      </c>
      <c r="X710" s="3" t="s">
        <v>4964</v>
      </c>
      <c r="Y710" s="15" t="n">
        <v>0</v>
      </c>
      <c r="Z710" s="15" t="n">
        <v>1</v>
      </c>
      <c r="AA710" s="15" t="n">
        <v>0</v>
      </c>
      <c r="AB710" s="15" t="n">
        <v>0</v>
      </c>
      <c r="AC710" s="15" t="n">
        <v>0</v>
      </c>
      <c r="AD710" s="15" t="n">
        <v>0</v>
      </c>
      <c r="AE710" s="15" t="n">
        <v>0</v>
      </c>
      <c r="AF710" s="15" t="n">
        <v>0</v>
      </c>
      <c r="AG710" s="15" t="n">
        <v>0</v>
      </c>
      <c r="AH710" s="15" t="n">
        <v>0</v>
      </c>
    </row>
    <row r="711" customFormat="false" ht="23.85" hidden="false" customHeight="false" outlineLevel="0" collapsed="false">
      <c r="A711" s="15" t="s">
        <v>4965</v>
      </c>
      <c r="B711" s="15" t="s">
        <v>38</v>
      </c>
      <c r="C711" s="15" t="s">
        <v>1697</v>
      </c>
      <c r="D711" s="15" t="n">
        <v>17</v>
      </c>
      <c r="E711" s="15" t="s">
        <v>1698</v>
      </c>
      <c r="F711" s="15" t="n">
        <v>1</v>
      </c>
      <c r="G711" s="15" t="s">
        <v>197</v>
      </c>
      <c r="H711" s="15" t="s">
        <v>142</v>
      </c>
      <c r="I711" s="3" t="s">
        <v>4966</v>
      </c>
      <c r="J711" s="3" t="s">
        <v>4967</v>
      </c>
      <c r="K711" s="15" t="s">
        <v>145</v>
      </c>
      <c r="L711" s="16" t="s">
        <v>7</v>
      </c>
      <c r="M711" s="15" t="s">
        <v>66</v>
      </c>
      <c r="N711" s="15" t="s">
        <v>88</v>
      </c>
      <c r="O711" s="15" t="s">
        <v>3940</v>
      </c>
      <c r="P711" s="15" t="s">
        <v>135</v>
      </c>
      <c r="Q711" s="15" t="s">
        <v>129</v>
      </c>
      <c r="R711" s="15" t="s">
        <v>185</v>
      </c>
      <c r="S711" s="15"/>
      <c r="T711" s="15"/>
      <c r="U711" s="3" t="s">
        <v>4968</v>
      </c>
      <c r="V711" s="3" t="s">
        <v>4969</v>
      </c>
      <c r="W711" s="3"/>
      <c r="X711" s="3" t="s">
        <v>4970</v>
      </c>
      <c r="Y711" s="15" t="n">
        <v>0</v>
      </c>
      <c r="Z711" s="15" t="n">
        <v>0</v>
      </c>
      <c r="AA711" s="15" t="n">
        <v>0</v>
      </c>
      <c r="AB711" s="15" t="n">
        <v>0</v>
      </c>
      <c r="AC711" s="15" t="n">
        <v>0</v>
      </c>
      <c r="AD711" s="15" t="n">
        <v>0</v>
      </c>
      <c r="AE711" s="15" t="n">
        <v>0</v>
      </c>
      <c r="AF711" s="15" t="n">
        <v>1</v>
      </c>
      <c r="AG711" s="15" t="n">
        <v>1</v>
      </c>
      <c r="AH711" s="15" t="n">
        <v>0</v>
      </c>
    </row>
    <row r="712" customFormat="false" ht="46.25" hidden="false" customHeight="false" outlineLevel="0" collapsed="false">
      <c r="A712" s="15" t="s">
        <v>4971</v>
      </c>
      <c r="B712" s="15" t="s">
        <v>38</v>
      </c>
      <c r="C712" s="15" t="s">
        <v>1697</v>
      </c>
      <c r="D712" s="15" t="n">
        <v>17</v>
      </c>
      <c r="E712" s="15" t="s">
        <v>1698</v>
      </c>
      <c r="F712" s="15" t="n">
        <v>2</v>
      </c>
      <c r="G712" s="15" t="s">
        <v>141</v>
      </c>
      <c r="H712" s="15" t="s">
        <v>142</v>
      </c>
      <c r="I712" s="3" t="s">
        <v>4972</v>
      </c>
      <c r="J712" s="3" t="s">
        <v>4973</v>
      </c>
      <c r="K712" s="15" t="s">
        <v>133</v>
      </c>
      <c r="L712" s="16" t="s">
        <v>7</v>
      </c>
      <c r="M712" s="15" t="s">
        <v>66</v>
      </c>
      <c r="N712" s="15" t="s">
        <v>88</v>
      </c>
      <c r="O712" s="15" t="s">
        <v>88</v>
      </c>
      <c r="P712" s="15" t="s">
        <v>135</v>
      </c>
      <c r="Q712" s="15" t="s">
        <v>307</v>
      </c>
      <c r="R712" s="15" t="s">
        <v>185</v>
      </c>
      <c r="S712" s="15"/>
      <c r="T712" s="15"/>
      <c r="U712" s="3" t="s">
        <v>4974</v>
      </c>
      <c r="V712" s="3" t="s">
        <v>4975</v>
      </c>
      <c r="W712" s="3"/>
      <c r="X712" s="3" t="s">
        <v>4976</v>
      </c>
      <c r="Y712" s="15" t="n">
        <v>0</v>
      </c>
      <c r="Z712" s="15" t="n">
        <v>0</v>
      </c>
      <c r="AA712" s="15" t="n">
        <v>0</v>
      </c>
      <c r="AB712" s="15" t="n">
        <v>0</v>
      </c>
      <c r="AC712" s="15" t="n">
        <v>0</v>
      </c>
      <c r="AD712" s="15" t="n">
        <v>0</v>
      </c>
      <c r="AE712" s="15" t="n">
        <v>0</v>
      </c>
      <c r="AF712" s="15" t="n">
        <v>1</v>
      </c>
      <c r="AG712" s="15" t="n">
        <v>0</v>
      </c>
      <c r="AH712" s="15" t="n">
        <v>0</v>
      </c>
    </row>
    <row r="713" customFormat="false" ht="23.85" hidden="false" customHeight="false" outlineLevel="0" collapsed="false">
      <c r="A713" s="15" t="s">
        <v>4977</v>
      </c>
      <c r="B713" s="15" t="s">
        <v>38</v>
      </c>
      <c r="C713" s="15" t="s">
        <v>1697</v>
      </c>
      <c r="D713" s="15" t="n">
        <v>48</v>
      </c>
      <c r="E713" s="15" t="s">
        <v>1721</v>
      </c>
      <c r="F713" s="15" t="n">
        <v>0</v>
      </c>
      <c r="G713" s="15" t="s">
        <v>129</v>
      </c>
      <c r="H713" s="15" t="s">
        <v>130</v>
      </c>
      <c r="I713" s="3" t="s">
        <v>4978</v>
      </c>
      <c r="J713" s="3" t="s">
        <v>3838</v>
      </c>
      <c r="K713" s="15" t="s">
        <v>133</v>
      </c>
      <c r="L713" s="18" t="s">
        <v>5</v>
      </c>
      <c r="M713" s="15" t="s">
        <v>426</v>
      </c>
      <c r="N713" s="15" t="s">
        <v>426</v>
      </c>
      <c r="O713" s="15"/>
      <c r="P713" s="15" t="s">
        <v>185</v>
      </c>
      <c r="Q713" s="15" t="s">
        <v>129</v>
      </c>
      <c r="R713" s="15" t="s">
        <v>185</v>
      </c>
      <c r="S713" s="15"/>
      <c r="T713" s="15"/>
      <c r="U713" s="3" t="s">
        <v>4979</v>
      </c>
      <c r="V713" s="3" t="s">
        <v>4980</v>
      </c>
      <c r="W713" s="3"/>
      <c r="X713" s="3"/>
      <c r="Y713" s="15" t="n">
        <v>0</v>
      </c>
      <c r="Z713" s="15" t="n">
        <v>0</v>
      </c>
      <c r="AA713" s="15" t="n">
        <v>0</v>
      </c>
      <c r="AB713" s="15" t="n">
        <v>0</v>
      </c>
      <c r="AC713" s="15" t="n">
        <v>0</v>
      </c>
      <c r="AD713" s="15" t="n">
        <v>0</v>
      </c>
      <c r="AE713" s="15" t="n">
        <v>0</v>
      </c>
      <c r="AF713" s="15" t="n">
        <v>0</v>
      </c>
      <c r="AG713" s="15" t="n">
        <v>0</v>
      </c>
      <c r="AH713" s="15" t="n">
        <v>0</v>
      </c>
    </row>
    <row r="714" customFormat="false" ht="35.05" hidden="false" customHeight="false" outlineLevel="0" collapsed="false">
      <c r="A714" s="15" t="s">
        <v>4981</v>
      </c>
      <c r="B714" s="15" t="s">
        <v>38</v>
      </c>
      <c r="C714" s="15" t="s">
        <v>1697</v>
      </c>
      <c r="D714" s="15" t="n">
        <v>48</v>
      </c>
      <c r="E714" s="15" t="s">
        <v>1721</v>
      </c>
      <c r="F714" s="15" t="n">
        <v>1</v>
      </c>
      <c r="G714" s="15" t="s">
        <v>197</v>
      </c>
      <c r="H714" s="15" t="s">
        <v>142</v>
      </c>
      <c r="I714" s="3" t="s">
        <v>4982</v>
      </c>
      <c r="J714" s="3" t="s">
        <v>4983</v>
      </c>
      <c r="K714" s="15" t="s">
        <v>145</v>
      </c>
      <c r="L714" s="16" t="s">
        <v>7</v>
      </c>
      <c r="M714" s="15" t="s">
        <v>66</v>
      </c>
      <c r="N714" s="15" t="s">
        <v>88</v>
      </c>
      <c r="O714" s="15" t="s">
        <v>4158</v>
      </c>
      <c r="P714" s="15" t="s">
        <v>135</v>
      </c>
      <c r="Q714" s="15" t="s">
        <v>129</v>
      </c>
      <c r="R714" s="15" t="s">
        <v>135</v>
      </c>
      <c r="S714" s="15"/>
      <c r="T714" s="15"/>
      <c r="U714" s="3" t="s">
        <v>4984</v>
      </c>
      <c r="V714" s="3" t="s">
        <v>4985</v>
      </c>
      <c r="W714" s="3"/>
      <c r="X714" s="3" t="s">
        <v>4986</v>
      </c>
      <c r="Y714" s="15" t="n">
        <v>0</v>
      </c>
      <c r="Z714" s="15" t="n">
        <v>0</v>
      </c>
      <c r="AA714" s="15" t="n">
        <v>0</v>
      </c>
      <c r="AB714" s="15" t="n">
        <v>0</v>
      </c>
      <c r="AC714" s="15" t="n">
        <v>0</v>
      </c>
      <c r="AD714" s="15" t="n">
        <v>1</v>
      </c>
      <c r="AE714" s="15" t="n">
        <v>0</v>
      </c>
      <c r="AF714" s="15" t="n">
        <v>1</v>
      </c>
      <c r="AG714" s="15" t="n">
        <v>0</v>
      </c>
      <c r="AH714" s="15" t="n">
        <v>0</v>
      </c>
    </row>
    <row r="715" customFormat="false" ht="35.05" hidden="false" customHeight="false" outlineLevel="0" collapsed="false">
      <c r="A715" s="15" t="s">
        <v>4987</v>
      </c>
      <c r="B715" s="15" t="s">
        <v>38</v>
      </c>
      <c r="C715" s="15" t="s">
        <v>1697</v>
      </c>
      <c r="D715" s="15" t="n">
        <v>48</v>
      </c>
      <c r="E715" s="15" t="s">
        <v>1721</v>
      </c>
      <c r="F715" s="15" t="n">
        <v>2</v>
      </c>
      <c r="G715" s="15" t="s">
        <v>141</v>
      </c>
      <c r="H715" s="15" t="s">
        <v>142</v>
      </c>
      <c r="I715" s="3" t="s">
        <v>4988</v>
      </c>
      <c r="J715" s="3" t="s">
        <v>3838</v>
      </c>
      <c r="K715" s="15" t="s">
        <v>133</v>
      </c>
      <c r="L715" s="16" t="s">
        <v>7</v>
      </c>
      <c r="M715" s="15" t="s">
        <v>66</v>
      </c>
      <c r="N715" s="15" t="s">
        <v>88</v>
      </c>
      <c r="O715" s="15" t="s">
        <v>88</v>
      </c>
      <c r="P715" s="15" t="s">
        <v>135</v>
      </c>
      <c r="Q715" s="15" t="s">
        <v>129</v>
      </c>
      <c r="R715" s="15" t="s">
        <v>185</v>
      </c>
      <c r="S715" s="15"/>
      <c r="T715" s="15"/>
      <c r="U715" s="3" t="s">
        <v>4989</v>
      </c>
      <c r="V715" s="3" t="s">
        <v>4990</v>
      </c>
      <c r="W715" s="3"/>
      <c r="X715" s="3" t="s">
        <v>4991</v>
      </c>
      <c r="Y715" s="15" t="n">
        <v>0</v>
      </c>
      <c r="Z715" s="15" t="n">
        <v>0</v>
      </c>
      <c r="AA715" s="15" t="n">
        <v>0</v>
      </c>
      <c r="AB715" s="15" t="n">
        <v>0</v>
      </c>
      <c r="AC715" s="15" t="n">
        <v>0</v>
      </c>
      <c r="AD715" s="15" t="n">
        <v>0</v>
      </c>
      <c r="AE715" s="15" t="n">
        <v>0</v>
      </c>
      <c r="AF715" s="15" t="n">
        <v>1</v>
      </c>
      <c r="AG715" s="15" t="n">
        <v>0</v>
      </c>
      <c r="AH715" s="15" t="n">
        <v>0</v>
      </c>
    </row>
    <row r="716" customFormat="false" ht="35.05" hidden="false" customHeight="false" outlineLevel="0" collapsed="false">
      <c r="A716" s="15" t="s">
        <v>4992</v>
      </c>
      <c r="B716" s="15" t="s">
        <v>38</v>
      </c>
      <c r="C716" s="15" t="s">
        <v>1697</v>
      </c>
      <c r="D716" s="15" t="n">
        <v>50</v>
      </c>
      <c r="E716" s="15" t="s">
        <v>1742</v>
      </c>
      <c r="F716" s="15" t="n">
        <v>0</v>
      </c>
      <c r="G716" s="15" t="s">
        <v>141</v>
      </c>
      <c r="H716" s="15" t="s">
        <v>142</v>
      </c>
      <c r="I716" s="3" t="s">
        <v>4993</v>
      </c>
      <c r="J716" s="3" t="s">
        <v>4994</v>
      </c>
      <c r="K716" s="15" t="s">
        <v>145</v>
      </c>
      <c r="L716" s="16" t="s">
        <v>7</v>
      </c>
      <c r="M716" s="15" t="s">
        <v>66</v>
      </c>
      <c r="N716" s="15" t="s">
        <v>88</v>
      </c>
      <c r="O716" s="15" t="s">
        <v>88</v>
      </c>
      <c r="P716" s="15" t="s">
        <v>135</v>
      </c>
      <c r="Q716" s="15" t="s">
        <v>129</v>
      </c>
      <c r="R716" s="15" t="s">
        <v>185</v>
      </c>
      <c r="S716" s="15"/>
      <c r="T716" s="15"/>
      <c r="U716" s="3" t="s">
        <v>4995</v>
      </c>
      <c r="V716" s="3" t="s">
        <v>4996</v>
      </c>
      <c r="W716" s="3"/>
      <c r="X716" s="3" t="s">
        <v>4997</v>
      </c>
      <c r="Y716" s="15" t="n">
        <v>0</v>
      </c>
      <c r="Z716" s="15" t="n">
        <v>0</v>
      </c>
      <c r="AA716" s="15" t="n">
        <v>0</v>
      </c>
      <c r="AB716" s="15" t="n">
        <v>0</v>
      </c>
      <c r="AC716" s="15" t="n">
        <v>0</v>
      </c>
      <c r="AD716" s="15" t="n">
        <v>0</v>
      </c>
      <c r="AE716" s="15" t="n">
        <v>0</v>
      </c>
      <c r="AF716" s="15" t="n">
        <v>1</v>
      </c>
      <c r="AG716" s="15" t="n">
        <v>0</v>
      </c>
      <c r="AH716" s="15" t="n">
        <v>0</v>
      </c>
    </row>
    <row r="717" customFormat="false" ht="46.25" hidden="false" customHeight="false" outlineLevel="0" collapsed="false">
      <c r="A717" s="15" t="s">
        <v>4998</v>
      </c>
      <c r="B717" s="15" t="s">
        <v>38</v>
      </c>
      <c r="C717" s="15" t="s">
        <v>1697</v>
      </c>
      <c r="D717" s="15" t="n">
        <v>50</v>
      </c>
      <c r="E717" s="15" t="s">
        <v>1742</v>
      </c>
      <c r="F717" s="15" t="n">
        <v>1</v>
      </c>
      <c r="G717" s="15" t="s">
        <v>129</v>
      </c>
      <c r="H717" s="15" t="s">
        <v>130</v>
      </c>
      <c r="I717" s="3" t="s">
        <v>4999</v>
      </c>
      <c r="J717" s="3" t="s">
        <v>5000</v>
      </c>
      <c r="K717" s="15" t="s">
        <v>145</v>
      </c>
      <c r="L717" s="18" t="s">
        <v>5</v>
      </c>
      <c r="M717" s="15" t="s">
        <v>426</v>
      </c>
      <c r="N717" s="15" t="s">
        <v>426</v>
      </c>
      <c r="O717" s="15"/>
      <c r="P717" s="15" t="s">
        <v>185</v>
      </c>
      <c r="Q717" s="15" t="s">
        <v>129</v>
      </c>
      <c r="R717" s="15" t="s">
        <v>185</v>
      </c>
      <c r="S717" s="15"/>
      <c r="T717" s="15"/>
      <c r="U717" s="3" t="s">
        <v>5001</v>
      </c>
      <c r="V717" s="3" t="s">
        <v>5002</v>
      </c>
      <c r="W717" s="3"/>
      <c r="X717" s="3"/>
      <c r="Y717" s="15" t="n">
        <v>0</v>
      </c>
      <c r="Z717" s="15" t="n">
        <v>0</v>
      </c>
      <c r="AA717" s="15" t="n">
        <v>0</v>
      </c>
      <c r="AB717" s="15" t="n">
        <v>0</v>
      </c>
      <c r="AC717" s="15" t="n">
        <v>0</v>
      </c>
      <c r="AD717" s="15" t="n">
        <v>0</v>
      </c>
      <c r="AE717" s="15" t="n">
        <v>0</v>
      </c>
      <c r="AF717" s="15" t="n">
        <v>0</v>
      </c>
      <c r="AG717" s="15" t="n">
        <v>0</v>
      </c>
      <c r="AH717" s="15" t="n">
        <v>0</v>
      </c>
    </row>
    <row r="718" customFormat="false" ht="46.25" hidden="false" customHeight="false" outlineLevel="0" collapsed="false">
      <c r="A718" s="15" t="s">
        <v>5003</v>
      </c>
      <c r="B718" s="15" t="s">
        <v>38</v>
      </c>
      <c r="C718" s="15" t="s">
        <v>1697</v>
      </c>
      <c r="D718" s="15" t="n">
        <v>50</v>
      </c>
      <c r="E718" s="15" t="s">
        <v>1742</v>
      </c>
      <c r="F718" s="15" t="n">
        <v>2</v>
      </c>
      <c r="G718" s="15" t="s">
        <v>197</v>
      </c>
      <c r="H718" s="15" t="s">
        <v>142</v>
      </c>
      <c r="I718" s="3" t="s">
        <v>4999</v>
      </c>
      <c r="J718" s="3" t="s">
        <v>5000</v>
      </c>
      <c r="K718" s="15" t="s">
        <v>145</v>
      </c>
      <c r="L718" s="16" t="s">
        <v>7</v>
      </c>
      <c r="M718" s="15" t="s">
        <v>66</v>
      </c>
      <c r="N718" s="15" t="s">
        <v>88</v>
      </c>
      <c r="O718" s="15" t="s">
        <v>88</v>
      </c>
      <c r="P718" s="15" t="s">
        <v>135</v>
      </c>
      <c r="Q718" s="15" t="s">
        <v>129</v>
      </c>
      <c r="R718" s="15" t="s">
        <v>185</v>
      </c>
      <c r="S718" s="15"/>
      <c r="T718" s="15"/>
      <c r="U718" s="3" t="s">
        <v>5004</v>
      </c>
      <c r="V718" s="3" t="s">
        <v>5005</v>
      </c>
      <c r="W718" s="3"/>
      <c r="X718" s="3" t="s">
        <v>5006</v>
      </c>
      <c r="Y718" s="15" t="n">
        <v>0</v>
      </c>
      <c r="Z718" s="15" t="n">
        <v>0</v>
      </c>
      <c r="AA718" s="15" t="n">
        <v>0</v>
      </c>
      <c r="AB718" s="15" t="n">
        <v>0</v>
      </c>
      <c r="AC718" s="15" t="n">
        <v>0</v>
      </c>
      <c r="AD718" s="15" t="n">
        <v>0</v>
      </c>
      <c r="AE718" s="15" t="n">
        <v>0</v>
      </c>
      <c r="AF718" s="15" t="n">
        <v>1</v>
      </c>
      <c r="AG718" s="15" t="n">
        <v>0</v>
      </c>
      <c r="AH718" s="15" t="n">
        <v>0</v>
      </c>
    </row>
    <row r="719" customFormat="false" ht="23.85" hidden="false" customHeight="false" outlineLevel="0" collapsed="false">
      <c r="A719" s="15" t="s">
        <v>5007</v>
      </c>
      <c r="B719" s="15" t="s">
        <v>38</v>
      </c>
      <c r="C719" s="15" t="s">
        <v>1697</v>
      </c>
      <c r="D719" s="15" t="n">
        <v>57</v>
      </c>
      <c r="E719" s="15" t="s">
        <v>1763</v>
      </c>
      <c r="F719" s="15" t="n">
        <v>0</v>
      </c>
      <c r="G719" s="15" t="s">
        <v>129</v>
      </c>
      <c r="H719" s="15" t="s">
        <v>130</v>
      </c>
      <c r="I719" s="3" t="s">
        <v>5008</v>
      </c>
      <c r="J719" s="3" t="s">
        <v>5009</v>
      </c>
      <c r="K719" s="15" t="s">
        <v>133</v>
      </c>
      <c r="L719" s="18" t="s">
        <v>5</v>
      </c>
      <c r="M719" s="15" t="s">
        <v>426</v>
      </c>
      <c r="N719" s="15" t="s">
        <v>426</v>
      </c>
      <c r="O719" s="15"/>
      <c r="P719" s="15" t="s">
        <v>185</v>
      </c>
      <c r="Q719" s="15" t="s">
        <v>129</v>
      </c>
      <c r="R719" s="15" t="s">
        <v>185</v>
      </c>
      <c r="S719" s="15"/>
      <c r="T719" s="15"/>
      <c r="U719" s="3" t="s">
        <v>1766</v>
      </c>
      <c r="V719" s="3" t="s">
        <v>4268</v>
      </c>
      <c r="W719" s="3"/>
      <c r="X719" s="3"/>
      <c r="Y719" s="15" t="n">
        <v>0</v>
      </c>
      <c r="Z719" s="15" t="n">
        <v>0</v>
      </c>
      <c r="AA719" s="15" t="n">
        <v>0</v>
      </c>
      <c r="AB719" s="15" t="n">
        <v>0</v>
      </c>
      <c r="AC719" s="15" t="n">
        <v>0</v>
      </c>
      <c r="AD719" s="15" t="n">
        <v>0</v>
      </c>
      <c r="AE719" s="15" t="n">
        <v>0</v>
      </c>
      <c r="AF719" s="15" t="n">
        <v>0</v>
      </c>
      <c r="AG719" s="15" t="n">
        <v>0</v>
      </c>
      <c r="AH719" s="15" t="n">
        <v>0</v>
      </c>
    </row>
    <row r="720" customFormat="false" ht="35.05" hidden="false" customHeight="false" outlineLevel="0" collapsed="false">
      <c r="A720" s="15" t="s">
        <v>5010</v>
      </c>
      <c r="B720" s="15" t="s">
        <v>38</v>
      </c>
      <c r="C720" s="15" t="s">
        <v>1697</v>
      </c>
      <c r="D720" s="15" t="n">
        <v>57</v>
      </c>
      <c r="E720" s="15" t="s">
        <v>1763</v>
      </c>
      <c r="F720" s="15" t="n">
        <v>1</v>
      </c>
      <c r="G720" s="15" t="s">
        <v>197</v>
      </c>
      <c r="H720" s="15" t="s">
        <v>142</v>
      </c>
      <c r="I720" s="3" t="s">
        <v>5011</v>
      </c>
      <c r="J720" s="3" t="s">
        <v>5012</v>
      </c>
      <c r="K720" s="15" t="s">
        <v>145</v>
      </c>
      <c r="L720" s="16" t="s">
        <v>7</v>
      </c>
      <c r="M720" s="15" t="s">
        <v>68</v>
      </c>
      <c r="N720" s="15" t="s">
        <v>82</v>
      </c>
      <c r="O720" s="15" t="s">
        <v>215</v>
      </c>
      <c r="P720" s="15" t="s">
        <v>135</v>
      </c>
      <c r="Q720" s="15" t="s">
        <v>129</v>
      </c>
      <c r="R720" s="15" t="s">
        <v>135</v>
      </c>
      <c r="S720" s="15"/>
      <c r="T720" s="15"/>
      <c r="U720" s="3" t="s">
        <v>5013</v>
      </c>
      <c r="V720" s="3" t="s">
        <v>5014</v>
      </c>
      <c r="W720" s="3"/>
      <c r="X720" s="3" t="s">
        <v>5015</v>
      </c>
      <c r="Y720" s="15" t="n">
        <v>0</v>
      </c>
      <c r="Z720" s="15" t="n">
        <v>1</v>
      </c>
      <c r="AA720" s="15" t="n">
        <v>0</v>
      </c>
      <c r="AB720" s="15" t="n">
        <v>0</v>
      </c>
      <c r="AC720" s="15" t="n">
        <v>0</v>
      </c>
      <c r="AD720" s="15" t="n">
        <v>0</v>
      </c>
      <c r="AE720" s="15" t="n">
        <v>0</v>
      </c>
      <c r="AF720" s="15" t="n">
        <v>1</v>
      </c>
      <c r="AG720" s="15" t="n">
        <v>0</v>
      </c>
      <c r="AH720" s="15" t="n">
        <v>0</v>
      </c>
    </row>
    <row r="721" customFormat="false" ht="23.85" hidden="false" customHeight="false" outlineLevel="0" collapsed="false">
      <c r="A721" s="15" t="s">
        <v>5016</v>
      </c>
      <c r="B721" s="15" t="s">
        <v>38</v>
      </c>
      <c r="C721" s="15" t="s">
        <v>1697</v>
      </c>
      <c r="D721" s="15" t="n">
        <v>57</v>
      </c>
      <c r="E721" s="15" t="s">
        <v>1763</v>
      </c>
      <c r="F721" s="15" t="n">
        <v>2</v>
      </c>
      <c r="G721" s="15" t="s">
        <v>141</v>
      </c>
      <c r="H721" s="15" t="s">
        <v>142</v>
      </c>
      <c r="I721" s="3" t="s">
        <v>5008</v>
      </c>
      <c r="J721" s="3" t="s">
        <v>5009</v>
      </c>
      <c r="K721" s="15" t="s">
        <v>133</v>
      </c>
      <c r="L721" s="16" t="s">
        <v>7</v>
      </c>
      <c r="M721" s="15" t="s">
        <v>66</v>
      </c>
      <c r="N721" s="15" t="s">
        <v>88</v>
      </c>
      <c r="O721" s="15" t="s">
        <v>88</v>
      </c>
      <c r="P721" s="15" t="s">
        <v>135</v>
      </c>
      <c r="Q721" s="15" t="s">
        <v>129</v>
      </c>
      <c r="R721" s="15" t="s">
        <v>185</v>
      </c>
      <c r="S721" s="15"/>
      <c r="T721" s="15"/>
      <c r="U721" s="3" t="s">
        <v>5017</v>
      </c>
      <c r="V721" s="3" t="s">
        <v>5018</v>
      </c>
      <c r="W721" s="3"/>
      <c r="X721" s="3" t="s">
        <v>5019</v>
      </c>
      <c r="Y721" s="15" t="n">
        <v>0</v>
      </c>
      <c r="Z721" s="15" t="n">
        <v>0</v>
      </c>
      <c r="AA721" s="15" t="n">
        <v>0</v>
      </c>
      <c r="AB721" s="15" t="n">
        <v>0</v>
      </c>
      <c r="AC721" s="15" t="n">
        <v>0</v>
      </c>
      <c r="AD721" s="15" t="n">
        <v>0</v>
      </c>
      <c r="AE721" s="15" t="n">
        <v>0</v>
      </c>
      <c r="AF721" s="15" t="n">
        <v>1</v>
      </c>
      <c r="AG721" s="15" t="n">
        <v>0</v>
      </c>
      <c r="AH721" s="15" t="n">
        <v>0</v>
      </c>
    </row>
    <row r="722" customFormat="false" ht="46.25" hidden="false" customHeight="false" outlineLevel="0" collapsed="false">
      <c r="A722" s="15" t="s">
        <v>5020</v>
      </c>
      <c r="B722" s="15" t="s">
        <v>38</v>
      </c>
      <c r="C722" s="15" t="s">
        <v>1697</v>
      </c>
      <c r="D722" s="15" t="n">
        <v>58</v>
      </c>
      <c r="E722" s="15" t="s">
        <v>1781</v>
      </c>
      <c r="F722" s="15" t="n">
        <v>0</v>
      </c>
      <c r="G722" s="15" t="s">
        <v>141</v>
      </c>
      <c r="H722" s="15" t="s">
        <v>142</v>
      </c>
      <c r="I722" s="3" t="s">
        <v>5021</v>
      </c>
      <c r="J722" s="3" t="s">
        <v>1783</v>
      </c>
      <c r="K722" s="15" t="s">
        <v>133</v>
      </c>
      <c r="L722" s="17" t="s">
        <v>9</v>
      </c>
      <c r="M722" s="15" t="s">
        <v>70</v>
      </c>
      <c r="N722" s="15" t="s">
        <v>81</v>
      </c>
      <c r="O722" s="15" t="s">
        <v>81</v>
      </c>
      <c r="P722" s="15" t="s">
        <v>135</v>
      </c>
      <c r="Q722" s="15" t="s">
        <v>129</v>
      </c>
      <c r="R722" s="15" t="s">
        <v>135</v>
      </c>
      <c r="S722" s="15" t="s">
        <v>405</v>
      </c>
      <c r="T722" s="15" t="s">
        <v>390</v>
      </c>
      <c r="U722" s="3" t="s">
        <v>5022</v>
      </c>
      <c r="V722" s="3" t="s">
        <v>5023</v>
      </c>
      <c r="W722" s="3"/>
      <c r="X722" s="3"/>
      <c r="Y722" s="15" t="n">
        <v>1</v>
      </c>
      <c r="Z722" s="15" t="n">
        <v>0</v>
      </c>
      <c r="AA722" s="15" t="n">
        <v>0</v>
      </c>
      <c r="AB722" s="15" t="n">
        <v>0</v>
      </c>
      <c r="AC722" s="15" t="n">
        <v>0</v>
      </c>
      <c r="AD722" s="15" t="n">
        <v>0</v>
      </c>
      <c r="AE722" s="15" t="n">
        <v>0</v>
      </c>
      <c r="AF722" s="15" t="n">
        <v>0</v>
      </c>
      <c r="AG722" s="15" t="n">
        <v>0</v>
      </c>
      <c r="AH722" s="15" t="n">
        <v>0</v>
      </c>
    </row>
    <row r="723" customFormat="false" ht="35.05" hidden="false" customHeight="false" outlineLevel="0" collapsed="false">
      <c r="A723" s="15" t="s">
        <v>5024</v>
      </c>
      <c r="B723" s="15" t="s">
        <v>38</v>
      </c>
      <c r="C723" s="15" t="s">
        <v>1697</v>
      </c>
      <c r="D723" s="15" t="n">
        <v>58</v>
      </c>
      <c r="E723" s="15" t="s">
        <v>1781</v>
      </c>
      <c r="F723" s="15" t="n">
        <v>1</v>
      </c>
      <c r="G723" s="15" t="s">
        <v>129</v>
      </c>
      <c r="H723" s="15" t="s">
        <v>130</v>
      </c>
      <c r="I723" s="3" t="s">
        <v>5025</v>
      </c>
      <c r="J723" s="3" t="s">
        <v>5026</v>
      </c>
      <c r="K723" s="15" t="s">
        <v>145</v>
      </c>
      <c r="L723" s="18" t="s">
        <v>5</v>
      </c>
      <c r="M723" s="15" t="s">
        <v>426</v>
      </c>
      <c r="N723" s="15" t="s">
        <v>426</v>
      </c>
      <c r="O723" s="15"/>
      <c r="P723" s="15" t="s">
        <v>185</v>
      </c>
      <c r="Q723" s="15" t="s">
        <v>129</v>
      </c>
      <c r="R723" s="15" t="s">
        <v>185</v>
      </c>
      <c r="S723" s="15"/>
      <c r="T723" s="15"/>
      <c r="U723" s="3" t="s">
        <v>5027</v>
      </c>
      <c r="V723" s="3" t="s">
        <v>5028</v>
      </c>
      <c r="W723" s="3"/>
      <c r="X723" s="3"/>
      <c r="Y723" s="15" t="n">
        <v>0</v>
      </c>
      <c r="Z723" s="15" t="n">
        <v>0</v>
      </c>
      <c r="AA723" s="15" t="n">
        <v>0</v>
      </c>
      <c r="AB723" s="15" t="n">
        <v>0</v>
      </c>
      <c r="AC723" s="15" t="n">
        <v>0</v>
      </c>
      <c r="AD723" s="15" t="n">
        <v>0</v>
      </c>
      <c r="AE723" s="15" t="n">
        <v>0</v>
      </c>
      <c r="AF723" s="15" t="n">
        <v>0</v>
      </c>
      <c r="AG723" s="15" t="n">
        <v>0</v>
      </c>
      <c r="AH723" s="15" t="n">
        <v>0</v>
      </c>
    </row>
    <row r="724" customFormat="false" ht="35.05" hidden="false" customHeight="false" outlineLevel="0" collapsed="false">
      <c r="A724" s="15" t="s">
        <v>5029</v>
      </c>
      <c r="B724" s="15" t="s">
        <v>38</v>
      </c>
      <c r="C724" s="15" t="s">
        <v>1697</v>
      </c>
      <c r="D724" s="15" t="n">
        <v>58</v>
      </c>
      <c r="E724" s="15" t="s">
        <v>1781</v>
      </c>
      <c r="F724" s="15" t="n">
        <v>2</v>
      </c>
      <c r="G724" s="15" t="s">
        <v>197</v>
      </c>
      <c r="H724" s="15" t="s">
        <v>142</v>
      </c>
      <c r="I724" s="3" t="s">
        <v>5030</v>
      </c>
      <c r="J724" s="3" t="s">
        <v>5031</v>
      </c>
      <c r="K724" s="15" t="s">
        <v>133</v>
      </c>
      <c r="L724" s="16" t="s">
        <v>7</v>
      </c>
      <c r="M724" s="15" t="s">
        <v>66</v>
      </c>
      <c r="N724" s="15" t="s">
        <v>88</v>
      </c>
      <c r="O724" s="15" t="s">
        <v>231</v>
      </c>
      <c r="P724" s="15" t="s">
        <v>135</v>
      </c>
      <c r="Q724" s="15" t="s">
        <v>129</v>
      </c>
      <c r="R724" s="15" t="s">
        <v>185</v>
      </c>
      <c r="S724" s="15"/>
      <c r="T724" s="15"/>
      <c r="U724" s="3" t="s">
        <v>5032</v>
      </c>
      <c r="V724" s="3" t="s">
        <v>5033</v>
      </c>
      <c r="W724" s="3" t="s">
        <v>5034</v>
      </c>
      <c r="X724" s="3" t="s">
        <v>5035</v>
      </c>
      <c r="Y724" s="15" t="n">
        <v>0</v>
      </c>
      <c r="Z724" s="15" t="n">
        <v>0</v>
      </c>
      <c r="AA724" s="15" t="n">
        <v>0</v>
      </c>
      <c r="AB724" s="15" t="n">
        <v>0</v>
      </c>
      <c r="AC724" s="15" t="n">
        <v>0</v>
      </c>
      <c r="AD724" s="15" t="n">
        <v>0</v>
      </c>
      <c r="AE724" s="15" t="n">
        <v>0</v>
      </c>
      <c r="AF724" s="15" t="n">
        <v>1</v>
      </c>
      <c r="AG724" s="15" t="n">
        <v>0</v>
      </c>
      <c r="AH724" s="15" t="n">
        <v>1</v>
      </c>
    </row>
    <row r="725" customFormat="false" ht="35.05" hidden="false" customHeight="false" outlineLevel="0" collapsed="false">
      <c r="A725" s="15" t="s">
        <v>5036</v>
      </c>
      <c r="B725" s="15" t="s">
        <v>38</v>
      </c>
      <c r="C725" s="15" t="s">
        <v>1697</v>
      </c>
      <c r="D725" s="15" t="n">
        <v>69</v>
      </c>
      <c r="E725" s="15" t="s">
        <v>1804</v>
      </c>
      <c r="F725" s="15" t="n">
        <v>0</v>
      </c>
      <c r="G725" s="15" t="s">
        <v>141</v>
      </c>
      <c r="H725" s="15" t="s">
        <v>142</v>
      </c>
      <c r="I725" s="3" t="s">
        <v>5037</v>
      </c>
      <c r="J725" s="3" t="s">
        <v>5038</v>
      </c>
      <c r="K725" s="15" t="s">
        <v>133</v>
      </c>
      <c r="L725" s="16" t="s">
        <v>7</v>
      </c>
      <c r="M725" s="15" t="s">
        <v>68</v>
      </c>
      <c r="N725" s="15" t="s">
        <v>82</v>
      </c>
      <c r="O725" s="15" t="s">
        <v>239</v>
      </c>
      <c r="P725" s="15" t="s">
        <v>135</v>
      </c>
      <c r="Q725" s="15" t="s">
        <v>129</v>
      </c>
      <c r="R725" s="15" t="s">
        <v>135</v>
      </c>
      <c r="S725" s="15"/>
      <c r="T725" s="15"/>
      <c r="U725" s="3" t="s">
        <v>5039</v>
      </c>
      <c r="V725" s="3" t="s">
        <v>5040</v>
      </c>
      <c r="W725" s="3" t="s">
        <v>5041</v>
      </c>
      <c r="X725" s="3" t="s">
        <v>5042</v>
      </c>
      <c r="Y725" s="15" t="n">
        <v>0</v>
      </c>
      <c r="Z725" s="15" t="n">
        <v>1</v>
      </c>
      <c r="AA725" s="15" t="n">
        <v>0</v>
      </c>
      <c r="AB725" s="15" t="n">
        <v>0</v>
      </c>
      <c r="AC725" s="15" t="n">
        <v>0</v>
      </c>
      <c r="AD725" s="15" t="n">
        <v>0</v>
      </c>
      <c r="AE725" s="15" t="n">
        <v>0</v>
      </c>
      <c r="AF725" s="15" t="n">
        <v>1</v>
      </c>
      <c r="AG725" s="15" t="n">
        <v>0</v>
      </c>
      <c r="AH725" s="15" t="n">
        <v>1</v>
      </c>
    </row>
    <row r="726" customFormat="false" ht="35.05" hidden="false" customHeight="false" outlineLevel="0" collapsed="false">
      <c r="A726" s="15" t="s">
        <v>5043</v>
      </c>
      <c r="B726" s="15" t="s">
        <v>38</v>
      </c>
      <c r="C726" s="15" t="s">
        <v>1697</v>
      </c>
      <c r="D726" s="15" t="n">
        <v>69</v>
      </c>
      <c r="E726" s="15" t="s">
        <v>1804</v>
      </c>
      <c r="F726" s="15" t="n">
        <v>1</v>
      </c>
      <c r="G726" s="15" t="s">
        <v>129</v>
      </c>
      <c r="H726" s="15" t="s">
        <v>130</v>
      </c>
      <c r="I726" s="3" t="s">
        <v>5044</v>
      </c>
      <c r="J726" s="3" t="s">
        <v>5045</v>
      </c>
      <c r="K726" s="15" t="s">
        <v>145</v>
      </c>
      <c r="L726" s="16" t="s">
        <v>7</v>
      </c>
      <c r="M726" s="15" t="s">
        <v>66</v>
      </c>
      <c r="N726" s="15" t="s">
        <v>82</v>
      </c>
      <c r="O726" s="15" t="s">
        <v>134</v>
      </c>
      <c r="P726" s="15" t="s">
        <v>135</v>
      </c>
      <c r="Q726" s="15" t="s">
        <v>136</v>
      </c>
      <c r="R726" s="15" t="s">
        <v>135</v>
      </c>
      <c r="S726" s="15"/>
      <c r="T726" s="15"/>
      <c r="U726" s="3" t="s">
        <v>5046</v>
      </c>
      <c r="V726" s="3" t="s">
        <v>5047</v>
      </c>
      <c r="W726" s="3" t="s">
        <v>5048</v>
      </c>
      <c r="X726" s="3" t="s">
        <v>5049</v>
      </c>
      <c r="Y726" s="15" t="n">
        <v>0</v>
      </c>
      <c r="Z726" s="15" t="n">
        <v>1</v>
      </c>
      <c r="AA726" s="15" t="n">
        <v>0</v>
      </c>
      <c r="AB726" s="15" t="n">
        <v>0</v>
      </c>
      <c r="AC726" s="15" t="n">
        <v>0</v>
      </c>
      <c r="AD726" s="15" t="n">
        <v>1</v>
      </c>
      <c r="AE726" s="15" t="n">
        <v>0</v>
      </c>
      <c r="AF726" s="15" t="n">
        <v>1</v>
      </c>
      <c r="AG726" s="15" t="n">
        <v>0</v>
      </c>
      <c r="AH726" s="15" t="n">
        <v>0</v>
      </c>
    </row>
    <row r="727" customFormat="false" ht="35.05" hidden="false" customHeight="false" outlineLevel="0" collapsed="false">
      <c r="A727" s="15" t="s">
        <v>5050</v>
      </c>
      <c r="B727" s="15" t="s">
        <v>38</v>
      </c>
      <c r="C727" s="15" t="s">
        <v>1697</v>
      </c>
      <c r="D727" s="15" t="n">
        <v>69</v>
      </c>
      <c r="E727" s="15" t="s">
        <v>1804</v>
      </c>
      <c r="F727" s="15" t="n">
        <v>2</v>
      </c>
      <c r="G727" s="15" t="s">
        <v>197</v>
      </c>
      <c r="H727" s="15" t="s">
        <v>142</v>
      </c>
      <c r="I727" s="3" t="s">
        <v>5051</v>
      </c>
      <c r="J727" s="3" t="s">
        <v>3838</v>
      </c>
      <c r="K727" s="15" t="s">
        <v>133</v>
      </c>
      <c r="L727" s="16" t="s">
        <v>7</v>
      </c>
      <c r="M727" s="15" t="s">
        <v>66</v>
      </c>
      <c r="N727" s="15" t="s">
        <v>88</v>
      </c>
      <c r="O727" s="15" t="s">
        <v>1790</v>
      </c>
      <c r="P727" s="15" t="s">
        <v>135</v>
      </c>
      <c r="Q727" s="15" t="s">
        <v>136</v>
      </c>
      <c r="R727" s="15" t="s">
        <v>135</v>
      </c>
      <c r="S727" s="15"/>
      <c r="T727" s="15"/>
      <c r="U727" s="3" t="s">
        <v>5052</v>
      </c>
      <c r="V727" s="3" t="s">
        <v>5053</v>
      </c>
      <c r="W727" s="3"/>
      <c r="X727" s="3" t="s">
        <v>5054</v>
      </c>
      <c r="Y727" s="15" t="n">
        <v>0</v>
      </c>
      <c r="Z727" s="15" t="n">
        <v>0</v>
      </c>
      <c r="AA727" s="15" t="n">
        <v>0</v>
      </c>
      <c r="AB727" s="15" t="n">
        <v>0</v>
      </c>
      <c r="AC727" s="15" t="n">
        <v>0</v>
      </c>
      <c r="AD727" s="15" t="n">
        <v>0</v>
      </c>
      <c r="AE727" s="15" t="n">
        <v>1</v>
      </c>
      <c r="AF727" s="15" t="n">
        <v>1</v>
      </c>
      <c r="AG727" s="15" t="n">
        <v>0</v>
      </c>
      <c r="AH727" s="15" t="n">
        <v>0</v>
      </c>
    </row>
    <row r="728" customFormat="false" ht="46.25" hidden="false" customHeight="false" outlineLevel="0" collapsed="false">
      <c r="A728" s="15" t="s">
        <v>5055</v>
      </c>
      <c r="B728" s="15" t="s">
        <v>38</v>
      </c>
      <c r="C728" s="15" t="s">
        <v>1697</v>
      </c>
      <c r="D728" s="15" t="n">
        <v>70</v>
      </c>
      <c r="E728" s="15" t="s">
        <v>1823</v>
      </c>
      <c r="F728" s="15" t="n">
        <v>0</v>
      </c>
      <c r="G728" s="15" t="s">
        <v>141</v>
      </c>
      <c r="H728" s="15" t="s">
        <v>142</v>
      </c>
      <c r="I728" s="3" t="s">
        <v>5056</v>
      </c>
      <c r="J728" s="3" t="s">
        <v>5045</v>
      </c>
      <c r="K728" s="15" t="s">
        <v>145</v>
      </c>
      <c r="L728" s="16" t="s">
        <v>7</v>
      </c>
      <c r="M728" s="15" t="s">
        <v>68</v>
      </c>
      <c r="N728" s="15" t="s">
        <v>82</v>
      </c>
      <c r="O728" s="15" t="s">
        <v>239</v>
      </c>
      <c r="P728" s="15" t="s">
        <v>135</v>
      </c>
      <c r="Q728" s="15" t="s">
        <v>136</v>
      </c>
      <c r="R728" s="15" t="s">
        <v>135</v>
      </c>
      <c r="S728" s="15"/>
      <c r="T728" s="15"/>
      <c r="U728" s="3" t="s">
        <v>5057</v>
      </c>
      <c r="V728" s="3" t="s">
        <v>5058</v>
      </c>
      <c r="W728" s="3" t="s">
        <v>5059</v>
      </c>
      <c r="X728" s="3" t="s">
        <v>5060</v>
      </c>
      <c r="Y728" s="15" t="n">
        <v>0</v>
      </c>
      <c r="Z728" s="15" t="n">
        <v>1</v>
      </c>
      <c r="AA728" s="15" t="n">
        <v>0</v>
      </c>
      <c r="AB728" s="15" t="n">
        <v>0</v>
      </c>
      <c r="AC728" s="15" t="n">
        <v>0</v>
      </c>
      <c r="AD728" s="15" t="n">
        <v>0</v>
      </c>
      <c r="AE728" s="15" t="n">
        <v>0</v>
      </c>
      <c r="AF728" s="15" t="n">
        <v>1</v>
      </c>
      <c r="AG728" s="15" t="n">
        <v>0</v>
      </c>
      <c r="AH728" s="15" t="n">
        <v>1</v>
      </c>
    </row>
    <row r="729" customFormat="false" ht="35.05" hidden="false" customHeight="false" outlineLevel="0" collapsed="false">
      <c r="A729" s="15" t="s">
        <v>5061</v>
      </c>
      <c r="B729" s="15" t="s">
        <v>38</v>
      </c>
      <c r="C729" s="15" t="s">
        <v>1697</v>
      </c>
      <c r="D729" s="15" t="n">
        <v>70</v>
      </c>
      <c r="E729" s="15" t="s">
        <v>1823</v>
      </c>
      <c r="F729" s="15" t="n">
        <v>1</v>
      </c>
      <c r="G729" s="15" t="s">
        <v>129</v>
      </c>
      <c r="H729" s="15" t="s">
        <v>130</v>
      </c>
      <c r="I729" s="3" t="s">
        <v>5062</v>
      </c>
      <c r="J729" s="3" t="s">
        <v>5063</v>
      </c>
      <c r="K729" s="15" t="s">
        <v>145</v>
      </c>
      <c r="L729" s="16" t="s">
        <v>7</v>
      </c>
      <c r="M729" s="15" t="s">
        <v>66</v>
      </c>
      <c r="N729" s="15" t="s">
        <v>90</v>
      </c>
      <c r="O729" s="15" t="s">
        <v>5064</v>
      </c>
      <c r="P729" s="15" t="s">
        <v>135</v>
      </c>
      <c r="Q729" s="15" t="s">
        <v>136</v>
      </c>
      <c r="R729" s="15" t="s">
        <v>135</v>
      </c>
      <c r="S729" s="15"/>
      <c r="T729" s="15"/>
      <c r="U729" s="3" t="s">
        <v>5065</v>
      </c>
      <c r="V729" s="3" t="s">
        <v>5066</v>
      </c>
      <c r="W729" s="3" t="s">
        <v>5067</v>
      </c>
      <c r="X729" s="3" t="s">
        <v>5068</v>
      </c>
      <c r="Y729" s="15" t="n">
        <v>0</v>
      </c>
      <c r="Z729" s="15" t="n">
        <v>0</v>
      </c>
      <c r="AA729" s="15" t="n">
        <v>0</v>
      </c>
      <c r="AB729" s="15" t="n">
        <v>0</v>
      </c>
      <c r="AC729" s="15" t="n">
        <v>1</v>
      </c>
      <c r="AD729" s="15" t="n">
        <v>0</v>
      </c>
      <c r="AE729" s="15" t="n">
        <v>0</v>
      </c>
      <c r="AF729" s="15" t="n">
        <v>1</v>
      </c>
      <c r="AG729" s="15" t="n">
        <v>0</v>
      </c>
      <c r="AH729" s="15" t="n">
        <v>1</v>
      </c>
    </row>
    <row r="730" customFormat="false" ht="46.25" hidden="false" customHeight="false" outlineLevel="0" collapsed="false">
      <c r="A730" s="15" t="s">
        <v>5069</v>
      </c>
      <c r="B730" s="15" t="s">
        <v>38</v>
      </c>
      <c r="C730" s="15" t="s">
        <v>1697</v>
      </c>
      <c r="D730" s="15" t="n">
        <v>70</v>
      </c>
      <c r="E730" s="15" t="s">
        <v>1823</v>
      </c>
      <c r="F730" s="15" t="n">
        <v>2</v>
      </c>
      <c r="G730" s="15" t="s">
        <v>197</v>
      </c>
      <c r="H730" s="15" t="s">
        <v>142</v>
      </c>
      <c r="I730" s="3" t="s">
        <v>5070</v>
      </c>
      <c r="J730" s="3" t="s">
        <v>5045</v>
      </c>
      <c r="K730" s="15" t="s">
        <v>133</v>
      </c>
      <c r="L730" s="16" t="s">
        <v>7</v>
      </c>
      <c r="M730" s="15" t="s">
        <v>68</v>
      </c>
      <c r="N730" s="15" t="s">
        <v>83</v>
      </c>
      <c r="O730" s="15" t="s">
        <v>1107</v>
      </c>
      <c r="P730" s="15" t="s">
        <v>135</v>
      </c>
      <c r="Q730" s="15" t="s">
        <v>307</v>
      </c>
      <c r="R730" s="15" t="s">
        <v>135</v>
      </c>
      <c r="S730" s="15"/>
      <c r="T730" s="15"/>
      <c r="U730" s="3" t="s">
        <v>5071</v>
      </c>
      <c r="V730" s="3" t="s">
        <v>5072</v>
      </c>
      <c r="W730" s="3" t="s">
        <v>5073</v>
      </c>
      <c r="X730" s="3" t="s">
        <v>5074</v>
      </c>
      <c r="Y730" s="15" t="n">
        <v>0</v>
      </c>
      <c r="Z730" s="15" t="n">
        <v>1</v>
      </c>
      <c r="AA730" s="15" t="n">
        <v>1</v>
      </c>
      <c r="AB730" s="15" t="n">
        <v>0</v>
      </c>
      <c r="AC730" s="15" t="n">
        <v>0</v>
      </c>
      <c r="AD730" s="15" t="n">
        <v>0</v>
      </c>
      <c r="AE730" s="15" t="n">
        <v>0</v>
      </c>
      <c r="AF730" s="15" t="n">
        <v>1</v>
      </c>
      <c r="AG730" s="15" t="n">
        <v>0</v>
      </c>
      <c r="AH730" s="15" t="n">
        <v>0</v>
      </c>
    </row>
    <row r="731" customFormat="false" ht="23.85" hidden="false" customHeight="false" outlineLevel="0" collapsed="false">
      <c r="A731" s="15" t="s">
        <v>5075</v>
      </c>
      <c r="B731" s="15" t="s">
        <v>38</v>
      </c>
      <c r="C731" s="15" t="s">
        <v>1697</v>
      </c>
      <c r="D731" s="15" t="n">
        <v>71</v>
      </c>
      <c r="E731" s="15" t="s">
        <v>1846</v>
      </c>
      <c r="F731" s="15" t="n">
        <v>0</v>
      </c>
      <c r="G731" s="15" t="s">
        <v>129</v>
      </c>
      <c r="H731" s="15" t="s">
        <v>130</v>
      </c>
      <c r="I731" s="3" t="s">
        <v>5076</v>
      </c>
      <c r="J731" s="3" t="s">
        <v>5077</v>
      </c>
      <c r="K731" s="15" t="s">
        <v>145</v>
      </c>
      <c r="L731" s="18" t="s">
        <v>5</v>
      </c>
      <c r="M731" s="15" t="s">
        <v>426</v>
      </c>
      <c r="N731" s="15" t="s">
        <v>426</v>
      </c>
      <c r="O731" s="15"/>
      <c r="P731" s="15" t="s">
        <v>185</v>
      </c>
      <c r="Q731" s="15" t="s">
        <v>129</v>
      </c>
      <c r="R731" s="15" t="s">
        <v>185</v>
      </c>
      <c r="S731" s="15"/>
      <c r="T731" s="15"/>
      <c r="U731" s="3" t="s">
        <v>5078</v>
      </c>
      <c r="V731" s="3" t="s">
        <v>5079</v>
      </c>
      <c r="W731" s="3"/>
      <c r="X731" s="3"/>
      <c r="Y731" s="15" t="n">
        <v>0</v>
      </c>
      <c r="Z731" s="15" t="n">
        <v>0</v>
      </c>
      <c r="AA731" s="15" t="n">
        <v>0</v>
      </c>
      <c r="AB731" s="15" t="n">
        <v>0</v>
      </c>
      <c r="AC731" s="15" t="n">
        <v>0</v>
      </c>
      <c r="AD731" s="15" t="n">
        <v>0</v>
      </c>
      <c r="AE731" s="15" t="n">
        <v>0</v>
      </c>
      <c r="AF731" s="15" t="n">
        <v>0</v>
      </c>
      <c r="AG731" s="15" t="n">
        <v>0</v>
      </c>
      <c r="AH731" s="15" t="n">
        <v>0</v>
      </c>
    </row>
    <row r="732" customFormat="false" ht="23.85" hidden="false" customHeight="false" outlineLevel="0" collapsed="false">
      <c r="A732" s="15" t="s">
        <v>5080</v>
      </c>
      <c r="B732" s="15" t="s">
        <v>38</v>
      </c>
      <c r="C732" s="15" t="s">
        <v>1697</v>
      </c>
      <c r="D732" s="15" t="n">
        <v>71</v>
      </c>
      <c r="E732" s="15" t="s">
        <v>1846</v>
      </c>
      <c r="F732" s="15" t="n">
        <v>1</v>
      </c>
      <c r="G732" s="15" t="s">
        <v>307</v>
      </c>
      <c r="H732" s="15" t="s">
        <v>308</v>
      </c>
      <c r="I732" s="3" t="s">
        <v>5081</v>
      </c>
      <c r="J732" s="3" t="s">
        <v>5082</v>
      </c>
      <c r="K732" s="15" t="s">
        <v>145</v>
      </c>
      <c r="L732" s="16" t="s">
        <v>7</v>
      </c>
      <c r="M732" s="15" t="s">
        <v>66</v>
      </c>
      <c r="N732" s="15" t="s">
        <v>88</v>
      </c>
      <c r="O732" s="15" t="s">
        <v>88</v>
      </c>
      <c r="P732" s="15" t="s">
        <v>135</v>
      </c>
      <c r="Q732" s="15" t="s">
        <v>129</v>
      </c>
      <c r="R732" s="15" t="s">
        <v>185</v>
      </c>
      <c r="S732" s="15"/>
      <c r="T732" s="15"/>
      <c r="U732" s="3" t="s">
        <v>5083</v>
      </c>
      <c r="V732" s="3" t="s">
        <v>5084</v>
      </c>
      <c r="W732" s="3"/>
      <c r="X732" s="3" t="s">
        <v>5085</v>
      </c>
      <c r="Y732" s="15" t="n">
        <v>0</v>
      </c>
      <c r="Z732" s="15" t="n">
        <v>0</v>
      </c>
      <c r="AA732" s="15" t="n">
        <v>0</v>
      </c>
      <c r="AB732" s="15" t="n">
        <v>0</v>
      </c>
      <c r="AC732" s="15" t="n">
        <v>0</v>
      </c>
      <c r="AD732" s="15" t="n">
        <v>0</v>
      </c>
      <c r="AE732" s="15" t="n">
        <v>0</v>
      </c>
      <c r="AF732" s="15" t="n">
        <v>1</v>
      </c>
      <c r="AG732" s="15" t="n">
        <v>0</v>
      </c>
      <c r="AH732" s="15" t="n">
        <v>0</v>
      </c>
    </row>
    <row r="733" customFormat="false" ht="35.05" hidden="false" customHeight="false" outlineLevel="0" collapsed="false">
      <c r="A733" s="15" t="s">
        <v>5086</v>
      </c>
      <c r="B733" s="15" t="s">
        <v>38</v>
      </c>
      <c r="C733" s="15" t="s">
        <v>1697</v>
      </c>
      <c r="D733" s="15" t="n">
        <v>71</v>
      </c>
      <c r="E733" s="15" t="s">
        <v>1846</v>
      </c>
      <c r="F733" s="15" t="n">
        <v>2</v>
      </c>
      <c r="G733" s="15" t="s">
        <v>197</v>
      </c>
      <c r="H733" s="15" t="s">
        <v>142</v>
      </c>
      <c r="I733" s="3" t="s">
        <v>5087</v>
      </c>
      <c r="J733" s="3" t="s">
        <v>5088</v>
      </c>
      <c r="K733" s="15" t="s">
        <v>133</v>
      </c>
      <c r="L733" s="16" t="s">
        <v>7</v>
      </c>
      <c r="M733" s="15" t="s">
        <v>68</v>
      </c>
      <c r="N733" s="15" t="s">
        <v>85</v>
      </c>
      <c r="O733" s="15" t="s">
        <v>733</v>
      </c>
      <c r="P733" s="15" t="s">
        <v>135</v>
      </c>
      <c r="Q733" s="15" t="s">
        <v>136</v>
      </c>
      <c r="R733" s="15" t="s">
        <v>135</v>
      </c>
      <c r="S733" s="15"/>
      <c r="T733" s="15"/>
      <c r="U733" s="3" t="s">
        <v>5089</v>
      </c>
      <c r="V733" s="3" t="s">
        <v>5090</v>
      </c>
      <c r="W733" s="3"/>
      <c r="X733" s="3" t="s">
        <v>5091</v>
      </c>
      <c r="Y733" s="15" t="n">
        <v>0</v>
      </c>
      <c r="Z733" s="15" t="n">
        <v>1</v>
      </c>
      <c r="AA733" s="15" t="n">
        <v>0</v>
      </c>
      <c r="AB733" s="15" t="n">
        <v>0</v>
      </c>
      <c r="AC733" s="15" t="n">
        <v>1</v>
      </c>
      <c r="AD733" s="15" t="n">
        <v>0</v>
      </c>
      <c r="AE733" s="15" t="n">
        <v>0</v>
      </c>
      <c r="AF733" s="15" t="n">
        <v>1</v>
      </c>
      <c r="AG733" s="15" t="n">
        <v>0</v>
      </c>
      <c r="AH733" s="15" t="n">
        <v>0</v>
      </c>
    </row>
    <row r="734" customFormat="false" ht="23.85" hidden="false" customHeight="false" outlineLevel="0" collapsed="false">
      <c r="A734" s="15" t="s">
        <v>5092</v>
      </c>
      <c r="B734" s="15" t="s">
        <v>38</v>
      </c>
      <c r="C734" s="15" t="s">
        <v>1697</v>
      </c>
      <c r="D734" s="15" t="n">
        <v>78</v>
      </c>
      <c r="E734" s="15" t="s">
        <v>1868</v>
      </c>
      <c r="F734" s="15" t="n">
        <v>0</v>
      </c>
      <c r="G734" s="15" t="s">
        <v>129</v>
      </c>
      <c r="H734" s="15" t="s">
        <v>130</v>
      </c>
      <c r="I734" s="3" t="s">
        <v>5093</v>
      </c>
      <c r="J734" s="3" t="s">
        <v>5094</v>
      </c>
      <c r="K734" s="15" t="s">
        <v>133</v>
      </c>
      <c r="L734" s="18" t="s">
        <v>5</v>
      </c>
      <c r="M734" s="15" t="s">
        <v>426</v>
      </c>
      <c r="N734" s="15" t="s">
        <v>426</v>
      </c>
      <c r="O734" s="15"/>
      <c r="P734" s="15" t="s">
        <v>185</v>
      </c>
      <c r="Q734" s="15" t="s">
        <v>129</v>
      </c>
      <c r="R734" s="15" t="s">
        <v>185</v>
      </c>
      <c r="S734" s="15"/>
      <c r="T734" s="15"/>
      <c r="U734" s="3" t="s">
        <v>5095</v>
      </c>
      <c r="V734" s="3" t="s">
        <v>5096</v>
      </c>
      <c r="W734" s="3"/>
      <c r="X734" s="3"/>
      <c r="Y734" s="15" t="n">
        <v>0</v>
      </c>
      <c r="Z734" s="15" t="n">
        <v>0</v>
      </c>
      <c r="AA734" s="15" t="n">
        <v>0</v>
      </c>
      <c r="AB734" s="15" t="n">
        <v>0</v>
      </c>
      <c r="AC734" s="15" t="n">
        <v>0</v>
      </c>
      <c r="AD734" s="15" t="n">
        <v>0</v>
      </c>
      <c r="AE734" s="15" t="n">
        <v>0</v>
      </c>
      <c r="AF734" s="15" t="n">
        <v>0</v>
      </c>
      <c r="AG734" s="15" t="n">
        <v>0</v>
      </c>
      <c r="AH734" s="15" t="n">
        <v>0</v>
      </c>
    </row>
    <row r="735" customFormat="false" ht="23.85" hidden="false" customHeight="false" outlineLevel="0" collapsed="false">
      <c r="A735" s="15" t="s">
        <v>5097</v>
      </c>
      <c r="B735" s="15" t="s">
        <v>38</v>
      </c>
      <c r="C735" s="15" t="s">
        <v>1697</v>
      </c>
      <c r="D735" s="15" t="n">
        <v>78</v>
      </c>
      <c r="E735" s="15" t="s">
        <v>1868</v>
      </c>
      <c r="F735" s="15" t="n">
        <v>1</v>
      </c>
      <c r="G735" s="15" t="s">
        <v>197</v>
      </c>
      <c r="H735" s="15" t="s">
        <v>142</v>
      </c>
      <c r="I735" s="3" t="s">
        <v>5098</v>
      </c>
      <c r="J735" s="3" t="s">
        <v>5099</v>
      </c>
      <c r="K735" s="15" t="s">
        <v>145</v>
      </c>
      <c r="L735" s="16" t="s">
        <v>7</v>
      </c>
      <c r="M735" s="15" t="s">
        <v>66</v>
      </c>
      <c r="N735" s="15" t="s">
        <v>88</v>
      </c>
      <c r="O735" s="15" t="s">
        <v>88</v>
      </c>
      <c r="P735" s="15" t="s">
        <v>135</v>
      </c>
      <c r="Q735" s="15" t="s">
        <v>129</v>
      </c>
      <c r="R735" s="15" t="s">
        <v>185</v>
      </c>
      <c r="S735" s="15"/>
      <c r="T735" s="15"/>
      <c r="U735" s="3" t="s">
        <v>5100</v>
      </c>
      <c r="V735" s="3" t="s">
        <v>5101</v>
      </c>
      <c r="W735" s="3"/>
      <c r="X735" s="3" t="s">
        <v>5102</v>
      </c>
      <c r="Y735" s="15" t="n">
        <v>0</v>
      </c>
      <c r="Z735" s="15" t="n">
        <v>0</v>
      </c>
      <c r="AA735" s="15" t="n">
        <v>0</v>
      </c>
      <c r="AB735" s="15" t="n">
        <v>0</v>
      </c>
      <c r="AC735" s="15" t="n">
        <v>0</v>
      </c>
      <c r="AD735" s="15" t="n">
        <v>0</v>
      </c>
      <c r="AE735" s="15" t="n">
        <v>0</v>
      </c>
      <c r="AF735" s="15" t="n">
        <v>1</v>
      </c>
      <c r="AG735" s="15" t="n">
        <v>0</v>
      </c>
      <c r="AH735" s="15" t="n">
        <v>0</v>
      </c>
    </row>
    <row r="736" customFormat="false" ht="23.85" hidden="false" customHeight="false" outlineLevel="0" collapsed="false">
      <c r="A736" s="15" t="s">
        <v>5103</v>
      </c>
      <c r="B736" s="15" t="s">
        <v>38</v>
      </c>
      <c r="C736" s="15" t="s">
        <v>1697</v>
      </c>
      <c r="D736" s="15" t="n">
        <v>78</v>
      </c>
      <c r="E736" s="15" t="s">
        <v>1868</v>
      </c>
      <c r="F736" s="15" t="n">
        <v>2</v>
      </c>
      <c r="G736" s="15" t="s">
        <v>141</v>
      </c>
      <c r="H736" s="15" t="s">
        <v>142</v>
      </c>
      <c r="I736" s="3" t="s">
        <v>5104</v>
      </c>
      <c r="J736" s="3" t="s">
        <v>5105</v>
      </c>
      <c r="K736" s="15" t="s">
        <v>133</v>
      </c>
      <c r="L736" s="16" t="s">
        <v>7</v>
      </c>
      <c r="M736" s="15" t="s">
        <v>66</v>
      </c>
      <c r="N736" s="15" t="s">
        <v>88</v>
      </c>
      <c r="O736" s="15" t="s">
        <v>88</v>
      </c>
      <c r="P736" s="15" t="s">
        <v>135</v>
      </c>
      <c r="Q736" s="15" t="s">
        <v>129</v>
      </c>
      <c r="R736" s="15" t="s">
        <v>185</v>
      </c>
      <c r="S736" s="15"/>
      <c r="T736" s="15"/>
      <c r="U736" s="3" t="s">
        <v>5106</v>
      </c>
      <c r="V736" s="3" t="s">
        <v>5107</v>
      </c>
      <c r="W736" s="3"/>
      <c r="X736" s="3" t="s">
        <v>5108</v>
      </c>
      <c r="Y736" s="15" t="n">
        <v>0</v>
      </c>
      <c r="Z736" s="15" t="n">
        <v>0</v>
      </c>
      <c r="AA736" s="15" t="n">
        <v>0</v>
      </c>
      <c r="AB736" s="15" t="n">
        <v>0</v>
      </c>
      <c r="AC736" s="15" t="n">
        <v>0</v>
      </c>
      <c r="AD736" s="15" t="n">
        <v>0</v>
      </c>
      <c r="AE736" s="15" t="n">
        <v>0</v>
      </c>
      <c r="AF736" s="15" t="n">
        <v>1</v>
      </c>
      <c r="AG736" s="15" t="n">
        <v>0</v>
      </c>
      <c r="AH736" s="15" t="n">
        <v>0</v>
      </c>
    </row>
    <row r="737" customFormat="false" ht="35.05" hidden="false" customHeight="false" outlineLevel="0" collapsed="false">
      <c r="A737" s="15" t="s">
        <v>5109</v>
      </c>
      <c r="B737" s="15" t="s">
        <v>38</v>
      </c>
      <c r="C737" s="15" t="s">
        <v>1912</v>
      </c>
      <c r="D737" s="15" t="n">
        <v>50</v>
      </c>
      <c r="E737" s="15" t="s">
        <v>1913</v>
      </c>
      <c r="F737" s="15" t="n">
        <v>0</v>
      </c>
      <c r="G737" s="15" t="s">
        <v>129</v>
      </c>
      <c r="H737" s="15" t="s">
        <v>130</v>
      </c>
      <c r="I737" s="3" t="s">
        <v>5110</v>
      </c>
      <c r="J737" s="3" t="s">
        <v>5111</v>
      </c>
      <c r="K737" s="15" t="s">
        <v>133</v>
      </c>
      <c r="L737" s="18" t="s">
        <v>5</v>
      </c>
      <c r="M737" s="15" t="s">
        <v>426</v>
      </c>
      <c r="N737" s="15" t="s">
        <v>426</v>
      </c>
      <c r="O737" s="15"/>
      <c r="P737" s="15" t="s">
        <v>185</v>
      </c>
      <c r="Q737" s="15" t="s">
        <v>129</v>
      </c>
      <c r="R737" s="15" t="s">
        <v>185</v>
      </c>
      <c r="S737" s="15"/>
      <c r="T737" s="15"/>
      <c r="U737" s="3" t="s">
        <v>5112</v>
      </c>
      <c r="V737" s="3" t="s">
        <v>5113</v>
      </c>
      <c r="W737" s="3"/>
      <c r="X737" s="3"/>
      <c r="Y737" s="15" t="n">
        <v>0</v>
      </c>
      <c r="Z737" s="15" t="n">
        <v>0</v>
      </c>
      <c r="AA737" s="15" t="n">
        <v>0</v>
      </c>
      <c r="AB737" s="15" t="n">
        <v>0</v>
      </c>
      <c r="AC737" s="15" t="n">
        <v>0</v>
      </c>
      <c r="AD737" s="15" t="n">
        <v>0</v>
      </c>
      <c r="AE737" s="15" t="n">
        <v>0</v>
      </c>
      <c r="AF737" s="15" t="n">
        <v>0</v>
      </c>
      <c r="AG737" s="15" t="n">
        <v>0</v>
      </c>
      <c r="AH737" s="15" t="n">
        <v>0</v>
      </c>
    </row>
    <row r="738" customFormat="false" ht="35.05" hidden="false" customHeight="false" outlineLevel="0" collapsed="false">
      <c r="A738" s="15" t="s">
        <v>5114</v>
      </c>
      <c r="B738" s="15" t="s">
        <v>38</v>
      </c>
      <c r="C738" s="15" t="s">
        <v>1912</v>
      </c>
      <c r="D738" s="15" t="n">
        <v>50</v>
      </c>
      <c r="E738" s="15" t="s">
        <v>1913</v>
      </c>
      <c r="F738" s="15" t="n">
        <v>1</v>
      </c>
      <c r="G738" s="15" t="s">
        <v>197</v>
      </c>
      <c r="H738" s="15" t="s">
        <v>142</v>
      </c>
      <c r="I738" s="3" t="s">
        <v>5115</v>
      </c>
      <c r="J738" s="3" t="s">
        <v>5116</v>
      </c>
      <c r="K738" s="15" t="s">
        <v>145</v>
      </c>
      <c r="L738" s="16" t="s">
        <v>7</v>
      </c>
      <c r="M738" s="15" t="s">
        <v>66</v>
      </c>
      <c r="N738" s="15" t="s">
        <v>88</v>
      </c>
      <c r="O738" s="15" t="s">
        <v>1790</v>
      </c>
      <c r="P738" s="15" t="s">
        <v>135</v>
      </c>
      <c r="Q738" s="15" t="s">
        <v>129</v>
      </c>
      <c r="R738" s="15" t="s">
        <v>135</v>
      </c>
      <c r="S738" s="15"/>
      <c r="T738" s="15"/>
      <c r="U738" s="3" t="s">
        <v>5117</v>
      </c>
      <c r="V738" s="3" t="s">
        <v>5118</v>
      </c>
      <c r="W738" s="3" t="s">
        <v>5119</v>
      </c>
      <c r="X738" s="3" t="s">
        <v>5120</v>
      </c>
      <c r="Y738" s="15" t="n">
        <v>0</v>
      </c>
      <c r="Z738" s="15" t="n">
        <v>0</v>
      </c>
      <c r="AA738" s="15" t="n">
        <v>0</v>
      </c>
      <c r="AB738" s="15" t="n">
        <v>0</v>
      </c>
      <c r="AC738" s="15" t="n">
        <v>0</v>
      </c>
      <c r="AD738" s="15" t="n">
        <v>0</v>
      </c>
      <c r="AE738" s="15" t="n">
        <v>1</v>
      </c>
      <c r="AF738" s="15" t="n">
        <v>1</v>
      </c>
      <c r="AG738" s="15" t="n">
        <v>0</v>
      </c>
      <c r="AH738" s="15" t="n">
        <v>0</v>
      </c>
    </row>
    <row r="739" customFormat="false" ht="35.05" hidden="false" customHeight="false" outlineLevel="0" collapsed="false">
      <c r="A739" s="15" t="s">
        <v>5121</v>
      </c>
      <c r="B739" s="15" t="s">
        <v>38</v>
      </c>
      <c r="C739" s="15" t="s">
        <v>1912</v>
      </c>
      <c r="D739" s="15" t="n">
        <v>50</v>
      </c>
      <c r="E739" s="15" t="s">
        <v>1913</v>
      </c>
      <c r="F739" s="15" t="n">
        <v>2</v>
      </c>
      <c r="G739" s="15" t="s">
        <v>141</v>
      </c>
      <c r="H739" s="15" t="s">
        <v>142</v>
      </c>
      <c r="I739" s="3" t="s">
        <v>5122</v>
      </c>
      <c r="J739" s="3" t="s">
        <v>5116</v>
      </c>
      <c r="K739" s="15" t="s">
        <v>133</v>
      </c>
      <c r="L739" s="16" t="s">
        <v>7</v>
      </c>
      <c r="M739" s="15" t="s">
        <v>66</v>
      </c>
      <c r="N739" s="15" t="s">
        <v>88</v>
      </c>
      <c r="O739" s="15" t="s">
        <v>1790</v>
      </c>
      <c r="P739" s="15" t="s">
        <v>135</v>
      </c>
      <c r="Q739" s="15" t="s">
        <v>129</v>
      </c>
      <c r="R739" s="15" t="s">
        <v>135</v>
      </c>
      <c r="S739" s="15"/>
      <c r="T739" s="15"/>
      <c r="U739" s="3" t="s">
        <v>5123</v>
      </c>
      <c r="V739" s="3" t="s">
        <v>5124</v>
      </c>
      <c r="W739" s="3" t="s">
        <v>5125</v>
      </c>
      <c r="X739" s="3" t="s">
        <v>5126</v>
      </c>
      <c r="Y739" s="15" t="n">
        <v>0</v>
      </c>
      <c r="Z739" s="15" t="n">
        <v>0</v>
      </c>
      <c r="AA739" s="15" t="n">
        <v>0</v>
      </c>
      <c r="AB739" s="15" t="n">
        <v>0</v>
      </c>
      <c r="AC739" s="15" t="n">
        <v>0</v>
      </c>
      <c r="AD739" s="15" t="n">
        <v>0</v>
      </c>
      <c r="AE739" s="15" t="n">
        <v>1</v>
      </c>
      <c r="AF739" s="15" t="n">
        <v>1</v>
      </c>
      <c r="AG739" s="15" t="n">
        <v>0</v>
      </c>
      <c r="AH739" s="15" t="n">
        <v>0</v>
      </c>
    </row>
    <row r="740" customFormat="false" ht="35.05" hidden="false" customHeight="false" outlineLevel="0" collapsed="false">
      <c r="A740" s="15" t="s">
        <v>5127</v>
      </c>
      <c r="B740" s="15" t="s">
        <v>38</v>
      </c>
      <c r="C740" s="15" t="s">
        <v>1912</v>
      </c>
      <c r="D740" s="15" t="n">
        <v>55</v>
      </c>
      <c r="E740" s="15" t="s">
        <v>1933</v>
      </c>
      <c r="F740" s="15" t="n">
        <v>0</v>
      </c>
      <c r="G740" s="15" t="s">
        <v>129</v>
      </c>
      <c r="H740" s="15" t="s">
        <v>130</v>
      </c>
      <c r="I740" s="3" t="s">
        <v>5128</v>
      </c>
      <c r="J740" s="3" t="s">
        <v>5129</v>
      </c>
      <c r="K740" s="15" t="s">
        <v>133</v>
      </c>
      <c r="L740" s="18" t="s">
        <v>5</v>
      </c>
      <c r="M740" s="15" t="s">
        <v>426</v>
      </c>
      <c r="N740" s="15" t="s">
        <v>426</v>
      </c>
      <c r="O740" s="15"/>
      <c r="P740" s="15" t="s">
        <v>185</v>
      </c>
      <c r="Q740" s="15" t="s">
        <v>129</v>
      </c>
      <c r="R740" s="15" t="s">
        <v>185</v>
      </c>
      <c r="S740" s="15"/>
      <c r="T740" s="15"/>
      <c r="U740" s="3" t="s">
        <v>5130</v>
      </c>
      <c r="V740" s="3" t="s">
        <v>5131</v>
      </c>
      <c r="W740" s="3"/>
      <c r="X740" s="3"/>
      <c r="Y740" s="15" t="n">
        <v>0</v>
      </c>
      <c r="Z740" s="15" t="n">
        <v>0</v>
      </c>
      <c r="AA740" s="15" t="n">
        <v>0</v>
      </c>
      <c r="AB740" s="15" t="n">
        <v>0</v>
      </c>
      <c r="AC740" s="15" t="n">
        <v>0</v>
      </c>
      <c r="AD740" s="15" t="n">
        <v>0</v>
      </c>
      <c r="AE740" s="15" t="n">
        <v>0</v>
      </c>
      <c r="AF740" s="15" t="n">
        <v>0</v>
      </c>
      <c r="AG740" s="15" t="n">
        <v>0</v>
      </c>
      <c r="AH740" s="15" t="n">
        <v>0</v>
      </c>
    </row>
    <row r="741" customFormat="false" ht="35.05" hidden="false" customHeight="false" outlineLevel="0" collapsed="false">
      <c r="A741" s="15" t="s">
        <v>5132</v>
      </c>
      <c r="B741" s="15" t="s">
        <v>38</v>
      </c>
      <c r="C741" s="15" t="s">
        <v>1912</v>
      </c>
      <c r="D741" s="15" t="n">
        <v>55</v>
      </c>
      <c r="E741" s="15" t="s">
        <v>1933</v>
      </c>
      <c r="F741" s="15" t="n">
        <v>1</v>
      </c>
      <c r="G741" s="15" t="s">
        <v>197</v>
      </c>
      <c r="H741" s="15" t="s">
        <v>142</v>
      </c>
      <c r="I741" s="3" t="s">
        <v>5133</v>
      </c>
      <c r="J741" s="3" t="s">
        <v>5134</v>
      </c>
      <c r="K741" s="15" t="s">
        <v>145</v>
      </c>
      <c r="L741" s="16" t="s">
        <v>7</v>
      </c>
      <c r="M741" s="15" t="s">
        <v>68</v>
      </c>
      <c r="N741" s="15" t="s">
        <v>84</v>
      </c>
      <c r="O741" s="15" t="s">
        <v>3165</v>
      </c>
      <c r="P741" s="15" t="s">
        <v>135</v>
      </c>
      <c r="Q741" s="15" t="s">
        <v>129</v>
      </c>
      <c r="R741" s="15" t="s">
        <v>135</v>
      </c>
      <c r="S741" s="15"/>
      <c r="T741" s="15"/>
      <c r="U741" s="3" t="s">
        <v>5135</v>
      </c>
      <c r="V741" s="3" t="s">
        <v>5136</v>
      </c>
      <c r="W741" s="3"/>
      <c r="X741" s="3" t="s">
        <v>5137</v>
      </c>
      <c r="Y741" s="15" t="n">
        <v>0</v>
      </c>
      <c r="Z741" s="15" t="n">
        <v>0</v>
      </c>
      <c r="AA741" s="15" t="n">
        <v>0</v>
      </c>
      <c r="AB741" s="15" t="n">
        <v>1</v>
      </c>
      <c r="AC741" s="15" t="n">
        <v>0</v>
      </c>
      <c r="AD741" s="15" t="n">
        <v>0</v>
      </c>
      <c r="AE741" s="15" t="n">
        <v>0</v>
      </c>
      <c r="AF741" s="15" t="n">
        <v>1</v>
      </c>
      <c r="AG741" s="15" t="n">
        <v>0</v>
      </c>
      <c r="AH741" s="15" t="n">
        <v>0</v>
      </c>
    </row>
    <row r="742" customFormat="false" ht="35.05" hidden="false" customHeight="false" outlineLevel="0" collapsed="false">
      <c r="A742" s="15" t="s">
        <v>5138</v>
      </c>
      <c r="B742" s="15" t="s">
        <v>38</v>
      </c>
      <c r="C742" s="15" t="s">
        <v>1912</v>
      </c>
      <c r="D742" s="15" t="n">
        <v>55</v>
      </c>
      <c r="E742" s="15" t="s">
        <v>1933</v>
      </c>
      <c r="F742" s="15" t="n">
        <v>2</v>
      </c>
      <c r="G742" s="15" t="s">
        <v>141</v>
      </c>
      <c r="H742" s="15" t="s">
        <v>142</v>
      </c>
      <c r="I742" s="3" t="s">
        <v>5139</v>
      </c>
      <c r="J742" s="3" t="s">
        <v>5140</v>
      </c>
      <c r="K742" s="15" t="s">
        <v>133</v>
      </c>
      <c r="L742" s="16" t="s">
        <v>7</v>
      </c>
      <c r="M742" s="15" t="s">
        <v>68</v>
      </c>
      <c r="N742" s="15" t="s">
        <v>85</v>
      </c>
      <c r="O742" s="15" t="s">
        <v>146</v>
      </c>
      <c r="P742" s="15" t="s">
        <v>135</v>
      </c>
      <c r="Q742" s="15" t="s">
        <v>129</v>
      </c>
      <c r="R742" s="15" t="s">
        <v>135</v>
      </c>
      <c r="S742" s="15"/>
      <c r="T742" s="15"/>
      <c r="U742" s="3" t="s">
        <v>5141</v>
      </c>
      <c r="V742" s="3" t="s">
        <v>5142</v>
      </c>
      <c r="W742" s="3"/>
      <c r="X742" s="3" t="s">
        <v>5143</v>
      </c>
      <c r="Y742" s="15" t="n">
        <v>0</v>
      </c>
      <c r="Z742" s="15" t="n">
        <v>0</v>
      </c>
      <c r="AA742" s="15" t="n">
        <v>0</v>
      </c>
      <c r="AB742" s="15" t="n">
        <v>0</v>
      </c>
      <c r="AC742" s="15" t="n">
        <v>1</v>
      </c>
      <c r="AD742" s="15" t="n">
        <v>0</v>
      </c>
      <c r="AE742" s="15" t="n">
        <v>0</v>
      </c>
      <c r="AF742" s="15" t="n">
        <v>1</v>
      </c>
      <c r="AG742" s="15" t="n">
        <v>0</v>
      </c>
      <c r="AH742" s="15" t="n">
        <v>0</v>
      </c>
    </row>
    <row r="743" customFormat="false" ht="23.85" hidden="false" customHeight="false" outlineLevel="0" collapsed="false">
      <c r="A743" s="15" t="s">
        <v>5144</v>
      </c>
      <c r="B743" s="15" t="s">
        <v>38</v>
      </c>
      <c r="C743" s="15" t="s">
        <v>1912</v>
      </c>
      <c r="D743" s="15" t="n">
        <v>62</v>
      </c>
      <c r="E743" s="15" t="s">
        <v>1955</v>
      </c>
      <c r="F743" s="15" t="n">
        <v>0</v>
      </c>
      <c r="G743" s="15" t="s">
        <v>129</v>
      </c>
      <c r="H743" s="15" t="s">
        <v>130</v>
      </c>
      <c r="I743" s="3" t="s">
        <v>5145</v>
      </c>
      <c r="J743" s="3" t="s">
        <v>3838</v>
      </c>
      <c r="K743" s="15" t="s">
        <v>133</v>
      </c>
      <c r="L743" s="18" t="s">
        <v>5</v>
      </c>
      <c r="M743" s="15" t="s">
        <v>426</v>
      </c>
      <c r="N743" s="15" t="s">
        <v>426</v>
      </c>
      <c r="O743" s="15"/>
      <c r="P743" s="15" t="s">
        <v>185</v>
      </c>
      <c r="Q743" s="15" t="s">
        <v>129</v>
      </c>
      <c r="R743" s="15" t="s">
        <v>185</v>
      </c>
      <c r="S743" s="15"/>
      <c r="T743" s="15"/>
      <c r="U743" s="3" t="s">
        <v>5146</v>
      </c>
      <c r="V743" s="3" t="s">
        <v>5147</v>
      </c>
      <c r="W743" s="3"/>
      <c r="X743" s="3"/>
      <c r="Y743" s="15" t="n">
        <v>0</v>
      </c>
      <c r="Z743" s="15" t="n">
        <v>0</v>
      </c>
      <c r="AA743" s="15" t="n">
        <v>0</v>
      </c>
      <c r="AB743" s="15" t="n">
        <v>0</v>
      </c>
      <c r="AC743" s="15" t="n">
        <v>0</v>
      </c>
      <c r="AD743" s="15" t="n">
        <v>0</v>
      </c>
      <c r="AE743" s="15" t="n">
        <v>0</v>
      </c>
      <c r="AF743" s="15" t="n">
        <v>0</v>
      </c>
      <c r="AG743" s="15" t="n">
        <v>0</v>
      </c>
      <c r="AH743" s="15" t="n">
        <v>0</v>
      </c>
    </row>
    <row r="744" customFormat="false" ht="23.85" hidden="false" customHeight="false" outlineLevel="0" collapsed="false">
      <c r="A744" s="15" t="s">
        <v>5148</v>
      </c>
      <c r="B744" s="15" t="s">
        <v>38</v>
      </c>
      <c r="C744" s="15" t="s">
        <v>1912</v>
      </c>
      <c r="D744" s="15" t="n">
        <v>62</v>
      </c>
      <c r="E744" s="15" t="s">
        <v>1955</v>
      </c>
      <c r="F744" s="15" t="n">
        <v>1</v>
      </c>
      <c r="G744" s="15" t="s">
        <v>197</v>
      </c>
      <c r="H744" s="15" t="s">
        <v>142</v>
      </c>
      <c r="I744" s="3" t="s">
        <v>5149</v>
      </c>
      <c r="J744" s="3" t="s">
        <v>5150</v>
      </c>
      <c r="K744" s="15" t="s">
        <v>145</v>
      </c>
      <c r="L744" s="16" t="s">
        <v>7</v>
      </c>
      <c r="M744" s="15" t="s">
        <v>66</v>
      </c>
      <c r="N744" s="15" t="s">
        <v>88</v>
      </c>
      <c r="O744" s="15" t="s">
        <v>4158</v>
      </c>
      <c r="P744" s="15" t="s">
        <v>135</v>
      </c>
      <c r="Q744" s="15" t="s">
        <v>129</v>
      </c>
      <c r="R744" s="15" t="s">
        <v>135</v>
      </c>
      <c r="S744" s="15"/>
      <c r="T744" s="15"/>
      <c r="U744" s="3" t="s">
        <v>5151</v>
      </c>
      <c r="V744" s="3" t="s">
        <v>5152</v>
      </c>
      <c r="W744" s="3"/>
      <c r="X744" s="3" t="s">
        <v>5153</v>
      </c>
      <c r="Y744" s="15" t="n">
        <v>0</v>
      </c>
      <c r="Z744" s="15" t="n">
        <v>0</v>
      </c>
      <c r="AA744" s="15" t="n">
        <v>0</v>
      </c>
      <c r="AB744" s="15" t="n">
        <v>0</v>
      </c>
      <c r="AC744" s="15" t="n">
        <v>0</v>
      </c>
      <c r="AD744" s="15" t="n">
        <v>1</v>
      </c>
      <c r="AE744" s="15" t="n">
        <v>0</v>
      </c>
      <c r="AF744" s="15" t="n">
        <v>1</v>
      </c>
      <c r="AG744" s="15" t="n">
        <v>0</v>
      </c>
      <c r="AH744" s="15" t="n">
        <v>0</v>
      </c>
    </row>
    <row r="745" customFormat="false" ht="35.05" hidden="false" customHeight="false" outlineLevel="0" collapsed="false">
      <c r="A745" s="15" t="s">
        <v>5154</v>
      </c>
      <c r="B745" s="15" t="s">
        <v>38</v>
      </c>
      <c r="C745" s="15" t="s">
        <v>1912</v>
      </c>
      <c r="D745" s="15" t="n">
        <v>62</v>
      </c>
      <c r="E745" s="15" t="s">
        <v>1955</v>
      </c>
      <c r="F745" s="15" t="n">
        <v>2</v>
      </c>
      <c r="G745" s="15" t="s">
        <v>141</v>
      </c>
      <c r="H745" s="15" t="s">
        <v>142</v>
      </c>
      <c r="I745" s="3" t="s">
        <v>5155</v>
      </c>
      <c r="J745" s="3" t="s">
        <v>3838</v>
      </c>
      <c r="K745" s="15" t="s">
        <v>133</v>
      </c>
      <c r="L745" s="16" t="s">
        <v>7</v>
      </c>
      <c r="M745" s="15" t="s">
        <v>66</v>
      </c>
      <c r="N745" s="15" t="s">
        <v>88</v>
      </c>
      <c r="O745" s="15" t="s">
        <v>1790</v>
      </c>
      <c r="P745" s="15" t="s">
        <v>135</v>
      </c>
      <c r="Q745" s="15" t="s">
        <v>152</v>
      </c>
      <c r="R745" s="15" t="s">
        <v>135</v>
      </c>
      <c r="S745" s="15"/>
      <c r="T745" s="15"/>
      <c r="U745" s="3" t="s">
        <v>5156</v>
      </c>
      <c r="V745" s="3" t="s">
        <v>5157</v>
      </c>
      <c r="W745" s="3"/>
      <c r="X745" s="3" t="s">
        <v>5158</v>
      </c>
      <c r="Y745" s="15" t="n">
        <v>0</v>
      </c>
      <c r="Z745" s="15" t="n">
        <v>0</v>
      </c>
      <c r="AA745" s="15" t="n">
        <v>0</v>
      </c>
      <c r="AB745" s="15" t="n">
        <v>0</v>
      </c>
      <c r="AC745" s="15" t="n">
        <v>0</v>
      </c>
      <c r="AD745" s="15" t="n">
        <v>0</v>
      </c>
      <c r="AE745" s="15" t="n">
        <v>1</v>
      </c>
      <c r="AF745" s="15" t="n">
        <v>1</v>
      </c>
      <c r="AG745" s="15" t="n">
        <v>0</v>
      </c>
      <c r="AH745" s="15" t="n">
        <v>0</v>
      </c>
    </row>
    <row r="746" customFormat="false" ht="35.05" hidden="false" customHeight="false" outlineLevel="0" collapsed="false">
      <c r="A746" s="15" t="s">
        <v>5159</v>
      </c>
      <c r="B746" s="15" t="s">
        <v>38</v>
      </c>
      <c r="C746" s="15" t="s">
        <v>1912</v>
      </c>
      <c r="D746" s="15" t="n">
        <v>100</v>
      </c>
      <c r="E746" s="15" t="s">
        <v>1975</v>
      </c>
      <c r="F746" s="15" t="n">
        <v>0</v>
      </c>
      <c r="G746" s="15" t="s">
        <v>129</v>
      </c>
      <c r="H746" s="15" t="s">
        <v>130</v>
      </c>
      <c r="I746" s="3" t="s">
        <v>5160</v>
      </c>
      <c r="J746" s="3" t="s">
        <v>5161</v>
      </c>
      <c r="K746" s="15" t="s">
        <v>145</v>
      </c>
      <c r="L746" s="18" t="s">
        <v>5</v>
      </c>
      <c r="M746" s="15" t="s">
        <v>426</v>
      </c>
      <c r="N746" s="15" t="s">
        <v>426</v>
      </c>
      <c r="O746" s="15"/>
      <c r="P746" s="15" t="s">
        <v>185</v>
      </c>
      <c r="Q746" s="15" t="s">
        <v>129</v>
      </c>
      <c r="R746" s="15" t="s">
        <v>185</v>
      </c>
      <c r="S746" s="15"/>
      <c r="T746" s="15"/>
      <c r="U746" s="3" t="s">
        <v>5162</v>
      </c>
      <c r="V746" s="3" t="s">
        <v>5163</v>
      </c>
      <c r="W746" s="3"/>
      <c r="X746" s="3"/>
      <c r="Y746" s="15" t="n">
        <v>0</v>
      </c>
      <c r="Z746" s="15" t="n">
        <v>0</v>
      </c>
      <c r="AA746" s="15" t="n">
        <v>0</v>
      </c>
      <c r="AB746" s="15" t="n">
        <v>0</v>
      </c>
      <c r="AC746" s="15" t="n">
        <v>0</v>
      </c>
      <c r="AD746" s="15" t="n">
        <v>0</v>
      </c>
      <c r="AE746" s="15" t="n">
        <v>0</v>
      </c>
      <c r="AF746" s="15" t="n">
        <v>0</v>
      </c>
      <c r="AG746" s="15" t="n">
        <v>0</v>
      </c>
      <c r="AH746" s="15" t="n">
        <v>0</v>
      </c>
    </row>
    <row r="747" customFormat="false" ht="35.05" hidden="false" customHeight="false" outlineLevel="0" collapsed="false">
      <c r="A747" s="15" t="s">
        <v>5164</v>
      </c>
      <c r="B747" s="15" t="s">
        <v>38</v>
      </c>
      <c r="C747" s="15" t="s">
        <v>1912</v>
      </c>
      <c r="D747" s="15" t="n">
        <v>100</v>
      </c>
      <c r="E747" s="15" t="s">
        <v>1975</v>
      </c>
      <c r="F747" s="15" t="n">
        <v>1</v>
      </c>
      <c r="G747" s="15" t="s">
        <v>197</v>
      </c>
      <c r="H747" s="15" t="s">
        <v>142</v>
      </c>
      <c r="I747" s="3" t="s">
        <v>5165</v>
      </c>
      <c r="J747" s="3" t="s">
        <v>5166</v>
      </c>
      <c r="K747" s="15" t="s">
        <v>133</v>
      </c>
      <c r="L747" s="16" t="s">
        <v>7</v>
      </c>
      <c r="M747" s="15" t="s">
        <v>66</v>
      </c>
      <c r="N747" s="15" t="s">
        <v>88</v>
      </c>
      <c r="O747" s="15" t="s">
        <v>88</v>
      </c>
      <c r="P747" s="15" t="s">
        <v>135</v>
      </c>
      <c r="Q747" s="15" t="s">
        <v>129</v>
      </c>
      <c r="R747" s="15" t="s">
        <v>185</v>
      </c>
      <c r="S747" s="15"/>
      <c r="T747" s="15"/>
      <c r="U747" s="3" t="s">
        <v>5167</v>
      </c>
      <c r="V747" s="3" t="s">
        <v>5168</v>
      </c>
      <c r="W747" s="3"/>
      <c r="X747" s="3" t="s">
        <v>5169</v>
      </c>
      <c r="Y747" s="15" t="n">
        <v>0</v>
      </c>
      <c r="Z747" s="15" t="n">
        <v>0</v>
      </c>
      <c r="AA747" s="15" t="n">
        <v>0</v>
      </c>
      <c r="AB747" s="15" t="n">
        <v>0</v>
      </c>
      <c r="AC747" s="15" t="n">
        <v>0</v>
      </c>
      <c r="AD747" s="15" t="n">
        <v>0</v>
      </c>
      <c r="AE747" s="15" t="n">
        <v>0</v>
      </c>
      <c r="AF747" s="15" t="n">
        <v>1</v>
      </c>
      <c r="AG747" s="15" t="n">
        <v>0</v>
      </c>
      <c r="AH747" s="15" t="n">
        <v>0</v>
      </c>
    </row>
    <row r="748" customFormat="false" ht="46.25" hidden="false" customHeight="false" outlineLevel="0" collapsed="false">
      <c r="A748" s="15" t="s">
        <v>5170</v>
      </c>
      <c r="B748" s="15" t="s">
        <v>38</v>
      </c>
      <c r="C748" s="15" t="s">
        <v>1912</v>
      </c>
      <c r="D748" s="15" t="n">
        <v>100</v>
      </c>
      <c r="E748" s="15" t="s">
        <v>1975</v>
      </c>
      <c r="F748" s="15" t="n">
        <v>2</v>
      </c>
      <c r="G748" s="15" t="s">
        <v>141</v>
      </c>
      <c r="H748" s="15" t="s">
        <v>142</v>
      </c>
      <c r="I748" s="3" t="s">
        <v>5171</v>
      </c>
      <c r="J748" s="3" t="s">
        <v>5172</v>
      </c>
      <c r="K748" s="15" t="s">
        <v>145</v>
      </c>
      <c r="L748" s="16" t="s">
        <v>7</v>
      </c>
      <c r="M748" s="15" t="s">
        <v>68</v>
      </c>
      <c r="N748" s="15" t="s">
        <v>85</v>
      </c>
      <c r="O748" s="15" t="s">
        <v>5173</v>
      </c>
      <c r="P748" s="15" t="s">
        <v>135</v>
      </c>
      <c r="Q748" s="15" t="s">
        <v>197</v>
      </c>
      <c r="R748" s="15" t="s">
        <v>135</v>
      </c>
      <c r="S748" s="15"/>
      <c r="T748" s="15"/>
      <c r="U748" s="3" t="s">
        <v>5174</v>
      </c>
      <c r="V748" s="3" t="s">
        <v>5175</v>
      </c>
      <c r="W748" s="3" t="s">
        <v>5176</v>
      </c>
      <c r="X748" s="3" t="s">
        <v>5177</v>
      </c>
      <c r="Y748" s="15" t="n">
        <v>0</v>
      </c>
      <c r="Z748" s="15" t="n">
        <v>0</v>
      </c>
      <c r="AA748" s="15" t="n">
        <v>0</v>
      </c>
      <c r="AB748" s="15" t="n">
        <v>0</v>
      </c>
      <c r="AC748" s="15" t="n">
        <v>1</v>
      </c>
      <c r="AD748" s="15" t="n">
        <v>0</v>
      </c>
      <c r="AE748" s="15" t="n">
        <v>0</v>
      </c>
      <c r="AF748" s="15" t="n">
        <v>1</v>
      </c>
      <c r="AG748" s="15" t="n">
        <v>0</v>
      </c>
      <c r="AH748" s="15" t="n">
        <v>1</v>
      </c>
    </row>
    <row r="749" customFormat="false" ht="35.05" hidden="false" customHeight="false" outlineLevel="0" collapsed="false">
      <c r="A749" s="15" t="s">
        <v>5178</v>
      </c>
      <c r="B749" s="15" t="s">
        <v>38</v>
      </c>
      <c r="C749" s="15" t="s">
        <v>1995</v>
      </c>
      <c r="D749" s="15" t="n">
        <v>47</v>
      </c>
      <c r="E749" s="15" t="s">
        <v>1996</v>
      </c>
      <c r="F749" s="15" t="n">
        <v>0</v>
      </c>
      <c r="G749" s="15" t="s">
        <v>129</v>
      </c>
      <c r="H749" s="15" t="s">
        <v>130</v>
      </c>
      <c r="I749" s="3" t="s">
        <v>5179</v>
      </c>
      <c r="J749" s="3" t="s">
        <v>3838</v>
      </c>
      <c r="K749" s="15" t="s">
        <v>133</v>
      </c>
      <c r="L749" s="18" t="s">
        <v>5</v>
      </c>
      <c r="M749" s="15" t="s">
        <v>426</v>
      </c>
      <c r="N749" s="15" t="s">
        <v>426</v>
      </c>
      <c r="O749" s="15"/>
      <c r="P749" s="15" t="s">
        <v>185</v>
      </c>
      <c r="Q749" s="15" t="s">
        <v>129</v>
      </c>
      <c r="R749" s="15" t="s">
        <v>185</v>
      </c>
      <c r="S749" s="15"/>
      <c r="T749" s="15"/>
      <c r="U749" s="3" t="s">
        <v>5180</v>
      </c>
      <c r="V749" s="3" t="s">
        <v>5181</v>
      </c>
      <c r="W749" s="3"/>
      <c r="X749" s="3"/>
      <c r="Y749" s="15" t="n">
        <v>0</v>
      </c>
      <c r="Z749" s="15" t="n">
        <v>0</v>
      </c>
      <c r="AA749" s="15" t="n">
        <v>0</v>
      </c>
      <c r="AB749" s="15" t="n">
        <v>0</v>
      </c>
      <c r="AC749" s="15" t="n">
        <v>0</v>
      </c>
      <c r="AD749" s="15" t="n">
        <v>0</v>
      </c>
      <c r="AE749" s="15" t="n">
        <v>0</v>
      </c>
      <c r="AF749" s="15" t="n">
        <v>0</v>
      </c>
      <c r="AG749" s="15" t="n">
        <v>0</v>
      </c>
      <c r="AH749" s="15" t="n">
        <v>0</v>
      </c>
    </row>
    <row r="750" customFormat="false" ht="35.05" hidden="false" customHeight="false" outlineLevel="0" collapsed="false">
      <c r="A750" s="15" t="s">
        <v>5182</v>
      </c>
      <c r="B750" s="15" t="s">
        <v>38</v>
      </c>
      <c r="C750" s="15" t="s">
        <v>1995</v>
      </c>
      <c r="D750" s="15" t="n">
        <v>47</v>
      </c>
      <c r="E750" s="15" t="s">
        <v>1996</v>
      </c>
      <c r="F750" s="15" t="n">
        <v>1</v>
      </c>
      <c r="G750" s="15" t="s">
        <v>197</v>
      </c>
      <c r="H750" s="15" t="s">
        <v>142</v>
      </c>
      <c r="I750" s="3" t="s">
        <v>5183</v>
      </c>
      <c r="J750" s="3" t="s">
        <v>5184</v>
      </c>
      <c r="K750" s="15" t="s">
        <v>145</v>
      </c>
      <c r="L750" s="16" t="s">
        <v>7</v>
      </c>
      <c r="M750" s="15" t="s">
        <v>66</v>
      </c>
      <c r="N750" s="15" t="s">
        <v>88</v>
      </c>
      <c r="O750" s="15" t="s">
        <v>88</v>
      </c>
      <c r="P750" s="15" t="s">
        <v>135</v>
      </c>
      <c r="Q750" s="15" t="s">
        <v>129</v>
      </c>
      <c r="R750" s="15" t="s">
        <v>185</v>
      </c>
      <c r="S750" s="15"/>
      <c r="T750" s="15"/>
      <c r="U750" s="3" t="s">
        <v>5185</v>
      </c>
      <c r="V750" s="3" t="s">
        <v>5186</v>
      </c>
      <c r="W750" s="3"/>
      <c r="X750" s="3" t="s">
        <v>5187</v>
      </c>
      <c r="Y750" s="15" t="n">
        <v>0</v>
      </c>
      <c r="Z750" s="15" t="n">
        <v>0</v>
      </c>
      <c r="AA750" s="15" t="n">
        <v>0</v>
      </c>
      <c r="AB750" s="15" t="n">
        <v>0</v>
      </c>
      <c r="AC750" s="15" t="n">
        <v>0</v>
      </c>
      <c r="AD750" s="15" t="n">
        <v>0</v>
      </c>
      <c r="AE750" s="15" t="n">
        <v>0</v>
      </c>
      <c r="AF750" s="15" t="n">
        <v>1</v>
      </c>
      <c r="AG750" s="15" t="n">
        <v>0</v>
      </c>
      <c r="AH750" s="15" t="n">
        <v>0</v>
      </c>
    </row>
    <row r="751" customFormat="false" ht="46.25" hidden="false" customHeight="false" outlineLevel="0" collapsed="false">
      <c r="A751" s="15" t="s">
        <v>5188</v>
      </c>
      <c r="B751" s="15" t="s">
        <v>38</v>
      </c>
      <c r="C751" s="15" t="s">
        <v>1995</v>
      </c>
      <c r="D751" s="15" t="n">
        <v>47</v>
      </c>
      <c r="E751" s="15" t="s">
        <v>1996</v>
      </c>
      <c r="F751" s="15" t="n">
        <v>2</v>
      </c>
      <c r="G751" s="15" t="s">
        <v>141</v>
      </c>
      <c r="H751" s="15" t="s">
        <v>142</v>
      </c>
      <c r="I751" s="3" t="s">
        <v>5189</v>
      </c>
      <c r="J751" s="3" t="s">
        <v>5190</v>
      </c>
      <c r="K751" s="15" t="s">
        <v>133</v>
      </c>
      <c r="L751" s="16" t="s">
        <v>7</v>
      </c>
      <c r="M751" s="15" t="s">
        <v>68</v>
      </c>
      <c r="N751" s="15" t="s">
        <v>82</v>
      </c>
      <c r="O751" s="15" t="s">
        <v>215</v>
      </c>
      <c r="P751" s="15" t="s">
        <v>135</v>
      </c>
      <c r="Q751" s="15" t="s">
        <v>307</v>
      </c>
      <c r="R751" s="15" t="s">
        <v>135</v>
      </c>
      <c r="S751" s="15"/>
      <c r="T751" s="15"/>
      <c r="U751" s="3" t="s">
        <v>1999</v>
      </c>
      <c r="V751" s="3" t="s">
        <v>5191</v>
      </c>
      <c r="W751" s="3"/>
      <c r="X751" s="3" t="s">
        <v>5192</v>
      </c>
      <c r="Y751" s="15" t="n">
        <v>0</v>
      </c>
      <c r="Z751" s="15" t="n">
        <v>1</v>
      </c>
      <c r="AA751" s="15" t="n">
        <v>0</v>
      </c>
      <c r="AB751" s="15" t="n">
        <v>0</v>
      </c>
      <c r="AC751" s="15" t="n">
        <v>0</v>
      </c>
      <c r="AD751" s="15" t="n">
        <v>0</v>
      </c>
      <c r="AE751" s="15" t="n">
        <v>0</v>
      </c>
      <c r="AF751" s="15" t="n">
        <v>1</v>
      </c>
      <c r="AG751" s="15" t="n">
        <v>0</v>
      </c>
      <c r="AH751" s="15" t="n">
        <v>0</v>
      </c>
    </row>
    <row r="752" customFormat="false" ht="35.05" hidden="false" customHeight="false" outlineLevel="0" collapsed="false">
      <c r="A752" s="15" t="s">
        <v>5193</v>
      </c>
      <c r="B752" s="15" t="s">
        <v>38</v>
      </c>
      <c r="C752" s="15" t="s">
        <v>1995</v>
      </c>
      <c r="D752" s="15" t="n">
        <v>49</v>
      </c>
      <c r="E752" s="15" t="s">
        <v>2013</v>
      </c>
      <c r="F752" s="15" t="n">
        <v>0</v>
      </c>
      <c r="G752" s="15" t="s">
        <v>129</v>
      </c>
      <c r="H752" s="15" t="s">
        <v>130</v>
      </c>
      <c r="I752" s="3" t="s">
        <v>5194</v>
      </c>
      <c r="J752" s="3" t="s">
        <v>5195</v>
      </c>
      <c r="K752" s="15" t="s">
        <v>133</v>
      </c>
      <c r="L752" s="18" t="s">
        <v>5</v>
      </c>
      <c r="M752" s="15" t="s">
        <v>426</v>
      </c>
      <c r="N752" s="15" t="s">
        <v>426</v>
      </c>
      <c r="O752" s="15"/>
      <c r="P752" s="15" t="s">
        <v>185</v>
      </c>
      <c r="Q752" s="15" t="s">
        <v>129</v>
      </c>
      <c r="R752" s="15" t="s">
        <v>185</v>
      </c>
      <c r="S752" s="15"/>
      <c r="T752" s="15"/>
      <c r="U752" s="3" t="s">
        <v>5196</v>
      </c>
      <c r="V752" s="3" t="s">
        <v>5197</v>
      </c>
      <c r="W752" s="3"/>
      <c r="X752" s="3"/>
      <c r="Y752" s="15" t="n">
        <v>0</v>
      </c>
      <c r="Z752" s="15" t="n">
        <v>0</v>
      </c>
      <c r="AA752" s="15" t="n">
        <v>0</v>
      </c>
      <c r="AB752" s="15" t="n">
        <v>0</v>
      </c>
      <c r="AC752" s="15" t="n">
        <v>0</v>
      </c>
      <c r="AD752" s="15" t="n">
        <v>0</v>
      </c>
      <c r="AE752" s="15" t="n">
        <v>0</v>
      </c>
      <c r="AF752" s="15" t="n">
        <v>0</v>
      </c>
      <c r="AG752" s="15" t="n">
        <v>0</v>
      </c>
      <c r="AH752" s="15" t="n">
        <v>0</v>
      </c>
    </row>
    <row r="753" customFormat="false" ht="46.25" hidden="false" customHeight="false" outlineLevel="0" collapsed="false">
      <c r="A753" s="15" t="s">
        <v>5198</v>
      </c>
      <c r="B753" s="15" t="s">
        <v>38</v>
      </c>
      <c r="C753" s="15" t="s">
        <v>1995</v>
      </c>
      <c r="D753" s="15" t="n">
        <v>49</v>
      </c>
      <c r="E753" s="15" t="s">
        <v>2013</v>
      </c>
      <c r="F753" s="15" t="n">
        <v>1</v>
      </c>
      <c r="G753" s="15" t="s">
        <v>197</v>
      </c>
      <c r="H753" s="15" t="s">
        <v>142</v>
      </c>
      <c r="I753" s="3" t="s">
        <v>5199</v>
      </c>
      <c r="J753" s="3" t="s">
        <v>5200</v>
      </c>
      <c r="K753" s="15" t="s">
        <v>145</v>
      </c>
      <c r="L753" s="16" t="s">
        <v>7</v>
      </c>
      <c r="M753" s="15" t="s">
        <v>68</v>
      </c>
      <c r="N753" s="15" t="s">
        <v>82</v>
      </c>
      <c r="O753" s="15" t="s">
        <v>192</v>
      </c>
      <c r="P753" s="15" t="s">
        <v>135</v>
      </c>
      <c r="Q753" s="15" t="s">
        <v>129</v>
      </c>
      <c r="R753" s="15" t="s">
        <v>135</v>
      </c>
      <c r="S753" s="15"/>
      <c r="T753" s="15"/>
      <c r="U753" s="3" t="s">
        <v>5201</v>
      </c>
      <c r="V753" s="3" t="s">
        <v>5202</v>
      </c>
      <c r="W753" s="3" t="s">
        <v>5203</v>
      </c>
      <c r="X753" s="3" t="s">
        <v>5204</v>
      </c>
      <c r="Y753" s="15" t="n">
        <v>0</v>
      </c>
      <c r="Z753" s="15" t="n">
        <v>1</v>
      </c>
      <c r="AA753" s="15" t="n">
        <v>0</v>
      </c>
      <c r="AB753" s="15" t="n">
        <v>1</v>
      </c>
      <c r="AC753" s="15" t="n">
        <v>0</v>
      </c>
      <c r="AD753" s="15" t="n">
        <v>0</v>
      </c>
      <c r="AE753" s="15" t="n">
        <v>0</v>
      </c>
      <c r="AF753" s="15" t="n">
        <v>1</v>
      </c>
      <c r="AG753" s="15" t="n">
        <v>0</v>
      </c>
      <c r="AH753" s="15" t="n">
        <v>0</v>
      </c>
    </row>
    <row r="754" customFormat="false" ht="46.25" hidden="false" customHeight="false" outlineLevel="0" collapsed="false">
      <c r="A754" s="15" t="s">
        <v>5205</v>
      </c>
      <c r="B754" s="15" t="s">
        <v>38</v>
      </c>
      <c r="C754" s="15" t="s">
        <v>1995</v>
      </c>
      <c r="D754" s="15" t="n">
        <v>49</v>
      </c>
      <c r="E754" s="15" t="s">
        <v>2013</v>
      </c>
      <c r="F754" s="15" t="n">
        <v>2</v>
      </c>
      <c r="G754" s="15" t="s">
        <v>141</v>
      </c>
      <c r="H754" s="15" t="s">
        <v>142</v>
      </c>
      <c r="I754" s="3" t="s">
        <v>5206</v>
      </c>
      <c r="J754" s="3" t="s">
        <v>5207</v>
      </c>
      <c r="K754" s="15" t="s">
        <v>133</v>
      </c>
      <c r="L754" s="16" t="s">
        <v>7</v>
      </c>
      <c r="M754" s="15" t="s">
        <v>68</v>
      </c>
      <c r="N754" s="15" t="s">
        <v>82</v>
      </c>
      <c r="O754" s="15" t="s">
        <v>215</v>
      </c>
      <c r="P754" s="15" t="s">
        <v>135</v>
      </c>
      <c r="Q754" s="15" t="s">
        <v>129</v>
      </c>
      <c r="R754" s="15" t="s">
        <v>135</v>
      </c>
      <c r="S754" s="15"/>
      <c r="T754" s="15"/>
      <c r="U754" s="3" t="s">
        <v>5208</v>
      </c>
      <c r="V754" s="3" t="s">
        <v>5209</v>
      </c>
      <c r="W754" s="3"/>
      <c r="X754" s="3" t="s">
        <v>5210</v>
      </c>
      <c r="Y754" s="15" t="n">
        <v>0</v>
      </c>
      <c r="Z754" s="15" t="n">
        <v>1</v>
      </c>
      <c r="AA754" s="15" t="n">
        <v>0</v>
      </c>
      <c r="AB754" s="15" t="n">
        <v>0</v>
      </c>
      <c r="AC754" s="15" t="n">
        <v>0</v>
      </c>
      <c r="AD754" s="15" t="n">
        <v>0</v>
      </c>
      <c r="AE754" s="15" t="n">
        <v>0</v>
      </c>
      <c r="AF754" s="15" t="n">
        <v>1</v>
      </c>
      <c r="AG754" s="15" t="n">
        <v>0</v>
      </c>
      <c r="AH754" s="15" t="n">
        <v>0</v>
      </c>
    </row>
    <row r="755" customFormat="false" ht="23.85" hidden="false" customHeight="false" outlineLevel="0" collapsed="false">
      <c r="A755" s="15" t="s">
        <v>5211</v>
      </c>
      <c r="B755" s="15" t="s">
        <v>38</v>
      </c>
      <c r="C755" s="15" t="s">
        <v>1995</v>
      </c>
      <c r="D755" s="15" t="n">
        <v>56</v>
      </c>
      <c r="E755" s="15" t="s">
        <v>2037</v>
      </c>
      <c r="F755" s="15" t="n">
        <v>0</v>
      </c>
      <c r="G755" s="15" t="s">
        <v>129</v>
      </c>
      <c r="H755" s="15" t="s">
        <v>130</v>
      </c>
      <c r="I755" s="3" t="s">
        <v>5212</v>
      </c>
      <c r="J755" s="3" t="s">
        <v>2039</v>
      </c>
      <c r="K755" s="15" t="s">
        <v>145</v>
      </c>
      <c r="L755" s="18" t="s">
        <v>5</v>
      </c>
      <c r="M755" s="15" t="s">
        <v>426</v>
      </c>
      <c r="N755" s="15" t="s">
        <v>426</v>
      </c>
      <c r="O755" s="15"/>
      <c r="P755" s="15" t="s">
        <v>185</v>
      </c>
      <c r="Q755" s="15" t="s">
        <v>129</v>
      </c>
      <c r="R755" s="15" t="s">
        <v>185</v>
      </c>
      <c r="S755" s="15"/>
      <c r="T755" s="15"/>
      <c r="U755" s="3" t="s">
        <v>5213</v>
      </c>
      <c r="V755" s="3" t="s">
        <v>4268</v>
      </c>
      <c r="W755" s="3"/>
      <c r="X755" s="3"/>
      <c r="Y755" s="15" t="n">
        <v>0</v>
      </c>
      <c r="Z755" s="15" t="n">
        <v>0</v>
      </c>
      <c r="AA755" s="15" t="n">
        <v>0</v>
      </c>
      <c r="AB755" s="15" t="n">
        <v>0</v>
      </c>
      <c r="AC755" s="15" t="n">
        <v>0</v>
      </c>
      <c r="AD755" s="15" t="n">
        <v>0</v>
      </c>
      <c r="AE755" s="15" t="n">
        <v>0</v>
      </c>
      <c r="AF755" s="15" t="n">
        <v>0</v>
      </c>
      <c r="AG755" s="15" t="n">
        <v>0</v>
      </c>
      <c r="AH755" s="15" t="n">
        <v>0</v>
      </c>
    </row>
    <row r="756" customFormat="false" ht="35.05" hidden="false" customHeight="false" outlineLevel="0" collapsed="false">
      <c r="A756" s="15" t="s">
        <v>5214</v>
      </c>
      <c r="B756" s="15" t="s">
        <v>38</v>
      </c>
      <c r="C756" s="15" t="s">
        <v>1995</v>
      </c>
      <c r="D756" s="15" t="n">
        <v>56</v>
      </c>
      <c r="E756" s="15" t="s">
        <v>2037</v>
      </c>
      <c r="F756" s="15" t="n">
        <v>1</v>
      </c>
      <c r="G756" s="15" t="s">
        <v>197</v>
      </c>
      <c r="H756" s="15" t="s">
        <v>142</v>
      </c>
      <c r="I756" s="3" t="s">
        <v>5215</v>
      </c>
      <c r="J756" s="3" t="s">
        <v>3838</v>
      </c>
      <c r="K756" s="15" t="s">
        <v>133</v>
      </c>
      <c r="L756" s="16" t="s">
        <v>7</v>
      </c>
      <c r="M756" s="15" t="s">
        <v>66</v>
      </c>
      <c r="N756" s="15" t="s">
        <v>88</v>
      </c>
      <c r="O756" s="15" t="s">
        <v>88</v>
      </c>
      <c r="P756" s="15" t="s">
        <v>135</v>
      </c>
      <c r="Q756" s="15" t="s">
        <v>129</v>
      </c>
      <c r="R756" s="15" t="s">
        <v>185</v>
      </c>
      <c r="S756" s="15"/>
      <c r="T756" s="15"/>
      <c r="U756" s="3" t="s">
        <v>5216</v>
      </c>
      <c r="V756" s="3" t="s">
        <v>5217</v>
      </c>
      <c r="W756" s="3"/>
      <c r="X756" s="3" t="s">
        <v>5218</v>
      </c>
      <c r="Y756" s="15" t="n">
        <v>0</v>
      </c>
      <c r="Z756" s="15" t="n">
        <v>0</v>
      </c>
      <c r="AA756" s="15" t="n">
        <v>0</v>
      </c>
      <c r="AB756" s="15" t="n">
        <v>0</v>
      </c>
      <c r="AC756" s="15" t="n">
        <v>0</v>
      </c>
      <c r="AD756" s="15" t="n">
        <v>0</v>
      </c>
      <c r="AE756" s="15" t="n">
        <v>0</v>
      </c>
      <c r="AF756" s="15" t="n">
        <v>1</v>
      </c>
      <c r="AG756" s="15" t="n">
        <v>0</v>
      </c>
      <c r="AH756" s="15" t="n">
        <v>0</v>
      </c>
    </row>
    <row r="757" customFormat="false" ht="35.05" hidden="false" customHeight="false" outlineLevel="0" collapsed="false">
      <c r="A757" s="15" t="s">
        <v>5219</v>
      </c>
      <c r="B757" s="15" t="s">
        <v>38</v>
      </c>
      <c r="C757" s="15" t="s">
        <v>1995</v>
      </c>
      <c r="D757" s="15" t="n">
        <v>56</v>
      </c>
      <c r="E757" s="15" t="s">
        <v>2037</v>
      </c>
      <c r="F757" s="15" t="n">
        <v>2</v>
      </c>
      <c r="G757" s="15" t="s">
        <v>141</v>
      </c>
      <c r="H757" s="15" t="s">
        <v>142</v>
      </c>
      <c r="I757" s="3" t="s">
        <v>5220</v>
      </c>
      <c r="J757" s="3" t="s">
        <v>3838</v>
      </c>
      <c r="K757" s="15" t="s">
        <v>145</v>
      </c>
      <c r="L757" s="16" t="s">
        <v>7</v>
      </c>
      <c r="M757" s="15" t="s">
        <v>66</v>
      </c>
      <c r="N757" s="15" t="s">
        <v>88</v>
      </c>
      <c r="O757" s="15" t="s">
        <v>643</v>
      </c>
      <c r="P757" s="15" t="s">
        <v>135</v>
      </c>
      <c r="Q757" s="15" t="s">
        <v>129</v>
      </c>
      <c r="R757" s="15" t="s">
        <v>135</v>
      </c>
      <c r="S757" s="15"/>
      <c r="T757" s="15"/>
      <c r="U757" s="3" t="s">
        <v>5221</v>
      </c>
      <c r="V757" s="3" t="s">
        <v>5222</v>
      </c>
      <c r="W757" s="3" t="s">
        <v>5223</v>
      </c>
      <c r="X757" s="3" t="s">
        <v>5224</v>
      </c>
      <c r="Y757" s="15" t="n">
        <v>0</v>
      </c>
      <c r="Z757" s="15" t="n">
        <v>0</v>
      </c>
      <c r="AA757" s="15" t="n">
        <v>0</v>
      </c>
      <c r="AB757" s="15" t="n">
        <v>0</v>
      </c>
      <c r="AC757" s="15" t="n">
        <v>0</v>
      </c>
      <c r="AD757" s="15" t="n">
        <v>0</v>
      </c>
      <c r="AE757" s="15" t="n">
        <v>1</v>
      </c>
      <c r="AF757" s="15" t="n">
        <v>1</v>
      </c>
      <c r="AG757" s="15" t="n">
        <v>0</v>
      </c>
      <c r="AH757" s="15" t="n">
        <v>1</v>
      </c>
    </row>
    <row r="758" customFormat="false" ht="35.05" hidden="false" customHeight="false" outlineLevel="0" collapsed="false">
      <c r="A758" s="15" t="s">
        <v>5225</v>
      </c>
      <c r="B758" s="15" t="s">
        <v>38</v>
      </c>
      <c r="C758" s="15" t="s">
        <v>1995</v>
      </c>
      <c r="D758" s="15" t="n">
        <v>69</v>
      </c>
      <c r="E758" s="15" t="s">
        <v>2057</v>
      </c>
      <c r="F758" s="15" t="n">
        <v>0</v>
      </c>
      <c r="G758" s="15" t="s">
        <v>129</v>
      </c>
      <c r="H758" s="15" t="s">
        <v>130</v>
      </c>
      <c r="I758" s="3" t="s">
        <v>5226</v>
      </c>
      <c r="J758" s="3" t="s">
        <v>5227</v>
      </c>
      <c r="K758" s="15" t="s">
        <v>133</v>
      </c>
      <c r="L758" s="18" t="s">
        <v>5</v>
      </c>
      <c r="M758" s="15" t="s">
        <v>426</v>
      </c>
      <c r="N758" s="15" t="s">
        <v>426</v>
      </c>
      <c r="O758" s="15"/>
      <c r="P758" s="15" t="s">
        <v>185</v>
      </c>
      <c r="Q758" s="15" t="s">
        <v>129</v>
      </c>
      <c r="R758" s="15" t="s">
        <v>185</v>
      </c>
      <c r="S758" s="15"/>
      <c r="T758" s="15"/>
      <c r="U758" s="3" t="s">
        <v>5228</v>
      </c>
      <c r="V758" s="3" t="s">
        <v>5229</v>
      </c>
      <c r="W758" s="3"/>
      <c r="X758" s="3"/>
      <c r="Y758" s="15" t="n">
        <v>0</v>
      </c>
      <c r="Z758" s="15" t="n">
        <v>0</v>
      </c>
      <c r="AA758" s="15" t="n">
        <v>0</v>
      </c>
      <c r="AB758" s="15" t="n">
        <v>0</v>
      </c>
      <c r="AC758" s="15" t="n">
        <v>0</v>
      </c>
      <c r="AD758" s="15" t="n">
        <v>0</v>
      </c>
      <c r="AE758" s="15" t="n">
        <v>0</v>
      </c>
      <c r="AF758" s="15" t="n">
        <v>0</v>
      </c>
      <c r="AG758" s="15" t="n">
        <v>0</v>
      </c>
      <c r="AH758" s="15" t="n">
        <v>0</v>
      </c>
    </row>
    <row r="759" customFormat="false" ht="46.25" hidden="false" customHeight="false" outlineLevel="0" collapsed="false">
      <c r="A759" s="15" t="s">
        <v>5230</v>
      </c>
      <c r="B759" s="15" t="s">
        <v>38</v>
      </c>
      <c r="C759" s="15" t="s">
        <v>1995</v>
      </c>
      <c r="D759" s="15" t="n">
        <v>69</v>
      </c>
      <c r="E759" s="15" t="s">
        <v>2057</v>
      </c>
      <c r="F759" s="15" t="n">
        <v>1</v>
      </c>
      <c r="G759" s="15" t="s">
        <v>197</v>
      </c>
      <c r="H759" s="15" t="s">
        <v>142</v>
      </c>
      <c r="I759" s="3" t="s">
        <v>5231</v>
      </c>
      <c r="J759" s="3" t="s">
        <v>5232</v>
      </c>
      <c r="K759" s="15" t="s">
        <v>145</v>
      </c>
      <c r="L759" s="16" t="s">
        <v>7</v>
      </c>
      <c r="M759" s="15" t="s">
        <v>66</v>
      </c>
      <c r="N759" s="15" t="s">
        <v>87</v>
      </c>
      <c r="O759" s="15" t="s">
        <v>4548</v>
      </c>
      <c r="P759" s="15" t="s">
        <v>135</v>
      </c>
      <c r="Q759" s="15" t="s">
        <v>129</v>
      </c>
      <c r="R759" s="15" t="s">
        <v>135</v>
      </c>
      <c r="S759" s="15"/>
      <c r="T759" s="15"/>
      <c r="U759" s="3" t="s">
        <v>5233</v>
      </c>
      <c r="V759" s="3" t="s">
        <v>5234</v>
      </c>
      <c r="W759" s="3" t="s">
        <v>5235</v>
      </c>
      <c r="X759" s="3" t="s">
        <v>5236</v>
      </c>
      <c r="Y759" s="15" t="n">
        <v>0</v>
      </c>
      <c r="Z759" s="15" t="n">
        <v>0</v>
      </c>
      <c r="AA759" s="15" t="n">
        <v>0</v>
      </c>
      <c r="AB759" s="15" t="n">
        <v>0</v>
      </c>
      <c r="AC759" s="15" t="n">
        <v>0</v>
      </c>
      <c r="AD759" s="15" t="n">
        <v>0</v>
      </c>
      <c r="AE759" s="15" t="n">
        <v>1</v>
      </c>
      <c r="AF759" s="15" t="n">
        <v>1</v>
      </c>
      <c r="AG759" s="15" t="n">
        <v>0</v>
      </c>
      <c r="AH759" s="15" t="n">
        <v>1</v>
      </c>
    </row>
    <row r="760" customFormat="false" ht="35.05" hidden="false" customHeight="false" outlineLevel="0" collapsed="false">
      <c r="A760" s="15" t="s">
        <v>5237</v>
      </c>
      <c r="B760" s="15" t="s">
        <v>38</v>
      </c>
      <c r="C760" s="15" t="s">
        <v>1995</v>
      </c>
      <c r="D760" s="15" t="n">
        <v>69</v>
      </c>
      <c r="E760" s="15" t="s">
        <v>2057</v>
      </c>
      <c r="F760" s="15" t="n">
        <v>2</v>
      </c>
      <c r="G760" s="15" t="s">
        <v>141</v>
      </c>
      <c r="H760" s="15" t="s">
        <v>142</v>
      </c>
      <c r="I760" s="3" t="s">
        <v>5238</v>
      </c>
      <c r="J760" s="3" t="s">
        <v>5239</v>
      </c>
      <c r="K760" s="15" t="s">
        <v>133</v>
      </c>
      <c r="L760" s="16" t="s">
        <v>7</v>
      </c>
      <c r="M760" s="15" t="s">
        <v>66</v>
      </c>
      <c r="N760" s="15" t="s">
        <v>87</v>
      </c>
      <c r="O760" s="15" t="s">
        <v>3737</v>
      </c>
      <c r="P760" s="15" t="s">
        <v>135</v>
      </c>
      <c r="Q760" s="15" t="s">
        <v>136</v>
      </c>
      <c r="R760" s="15" t="s">
        <v>135</v>
      </c>
      <c r="S760" s="15"/>
      <c r="T760" s="15"/>
      <c r="U760" s="3" t="s">
        <v>5240</v>
      </c>
      <c r="V760" s="3" t="s">
        <v>5241</v>
      </c>
      <c r="W760" s="3" t="s">
        <v>5242</v>
      </c>
      <c r="X760" s="3" t="s">
        <v>5243</v>
      </c>
      <c r="Y760" s="15" t="n">
        <v>0</v>
      </c>
      <c r="Z760" s="15" t="n">
        <v>0</v>
      </c>
      <c r="AA760" s="15" t="n">
        <v>0</v>
      </c>
      <c r="AB760" s="15" t="n">
        <v>0</v>
      </c>
      <c r="AC760" s="15" t="n">
        <v>0</v>
      </c>
      <c r="AD760" s="15" t="n">
        <v>0</v>
      </c>
      <c r="AE760" s="15" t="n">
        <v>1</v>
      </c>
      <c r="AF760" s="15" t="n">
        <v>1</v>
      </c>
      <c r="AG760" s="15" t="n">
        <v>0</v>
      </c>
      <c r="AH760" s="15" t="n">
        <v>0</v>
      </c>
    </row>
    <row r="761" customFormat="false" ht="35.05" hidden="false" customHeight="false" outlineLevel="0" collapsed="false">
      <c r="A761" s="15" t="s">
        <v>5244</v>
      </c>
      <c r="B761" s="15" t="s">
        <v>38</v>
      </c>
      <c r="C761" s="15" t="s">
        <v>1995</v>
      </c>
      <c r="D761" s="15" t="n">
        <v>70</v>
      </c>
      <c r="E761" s="15" t="s">
        <v>2079</v>
      </c>
      <c r="F761" s="15" t="n">
        <v>0</v>
      </c>
      <c r="G761" s="15" t="s">
        <v>129</v>
      </c>
      <c r="H761" s="15" t="s">
        <v>130</v>
      </c>
      <c r="I761" s="3" t="s">
        <v>5245</v>
      </c>
      <c r="J761" s="3" t="s">
        <v>5246</v>
      </c>
      <c r="K761" s="15" t="s">
        <v>133</v>
      </c>
      <c r="L761" s="18" t="s">
        <v>5</v>
      </c>
      <c r="M761" s="15" t="s">
        <v>426</v>
      </c>
      <c r="N761" s="15" t="s">
        <v>426</v>
      </c>
      <c r="O761" s="15"/>
      <c r="P761" s="15" t="s">
        <v>185</v>
      </c>
      <c r="Q761" s="15" t="s">
        <v>129</v>
      </c>
      <c r="R761" s="15" t="s">
        <v>185</v>
      </c>
      <c r="S761" s="15"/>
      <c r="T761" s="15"/>
      <c r="U761" s="3" t="s">
        <v>5247</v>
      </c>
      <c r="V761" s="3" t="s">
        <v>5248</v>
      </c>
      <c r="W761" s="3"/>
      <c r="X761" s="3"/>
      <c r="Y761" s="15" t="n">
        <v>0</v>
      </c>
      <c r="Z761" s="15" t="n">
        <v>0</v>
      </c>
      <c r="AA761" s="15" t="n">
        <v>0</v>
      </c>
      <c r="AB761" s="15" t="n">
        <v>0</v>
      </c>
      <c r="AC761" s="15" t="n">
        <v>0</v>
      </c>
      <c r="AD761" s="15" t="n">
        <v>0</v>
      </c>
      <c r="AE761" s="15" t="n">
        <v>0</v>
      </c>
      <c r="AF761" s="15" t="n">
        <v>0</v>
      </c>
      <c r="AG761" s="15" t="n">
        <v>0</v>
      </c>
      <c r="AH761" s="15" t="n">
        <v>0</v>
      </c>
    </row>
    <row r="762" customFormat="false" ht="35.05" hidden="false" customHeight="false" outlineLevel="0" collapsed="false">
      <c r="A762" s="15" t="s">
        <v>5249</v>
      </c>
      <c r="B762" s="15" t="s">
        <v>38</v>
      </c>
      <c r="C762" s="15" t="s">
        <v>1995</v>
      </c>
      <c r="D762" s="15" t="n">
        <v>70</v>
      </c>
      <c r="E762" s="15" t="s">
        <v>2079</v>
      </c>
      <c r="F762" s="15" t="n">
        <v>1</v>
      </c>
      <c r="G762" s="15" t="s">
        <v>197</v>
      </c>
      <c r="H762" s="15" t="s">
        <v>142</v>
      </c>
      <c r="I762" s="3" t="s">
        <v>5250</v>
      </c>
      <c r="J762" s="3" t="s">
        <v>5251</v>
      </c>
      <c r="K762" s="15" t="s">
        <v>145</v>
      </c>
      <c r="L762" s="16" t="s">
        <v>7</v>
      </c>
      <c r="M762" s="15" t="s">
        <v>68</v>
      </c>
      <c r="N762" s="15" t="s">
        <v>83</v>
      </c>
      <c r="O762" s="15" t="s">
        <v>1107</v>
      </c>
      <c r="P762" s="15" t="s">
        <v>135</v>
      </c>
      <c r="Q762" s="15" t="s">
        <v>307</v>
      </c>
      <c r="R762" s="15" t="s">
        <v>135</v>
      </c>
      <c r="S762" s="15"/>
      <c r="T762" s="15"/>
      <c r="U762" s="3" t="s">
        <v>5252</v>
      </c>
      <c r="V762" s="3" t="s">
        <v>5253</v>
      </c>
      <c r="W762" s="3" t="s">
        <v>5254</v>
      </c>
      <c r="X762" s="3" t="s">
        <v>5255</v>
      </c>
      <c r="Y762" s="15" t="n">
        <v>0</v>
      </c>
      <c r="Z762" s="15" t="n">
        <v>1</v>
      </c>
      <c r="AA762" s="15" t="n">
        <v>1</v>
      </c>
      <c r="AB762" s="15" t="n">
        <v>0</v>
      </c>
      <c r="AC762" s="15" t="n">
        <v>0</v>
      </c>
      <c r="AD762" s="15" t="n">
        <v>0</v>
      </c>
      <c r="AE762" s="15" t="n">
        <v>0</v>
      </c>
      <c r="AF762" s="15" t="n">
        <v>1</v>
      </c>
      <c r="AG762" s="15" t="n">
        <v>0</v>
      </c>
      <c r="AH762" s="15" t="n">
        <v>0</v>
      </c>
    </row>
    <row r="763" customFormat="false" ht="46.25" hidden="false" customHeight="false" outlineLevel="0" collapsed="false">
      <c r="A763" s="15" t="s">
        <v>5256</v>
      </c>
      <c r="B763" s="15" t="s">
        <v>38</v>
      </c>
      <c r="C763" s="15" t="s">
        <v>1995</v>
      </c>
      <c r="D763" s="15" t="n">
        <v>70</v>
      </c>
      <c r="E763" s="15" t="s">
        <v>2079</v>
      </c>
      <c r="F763" s="15" t="n">
        <v>2</v>
      </c>
      <c r="G763" s="15" t="s">
        <v>141</v>
      </c>
      <c r="H763" s="15" t="s">
        <v>142</v>
      </c>
      <c r="I763" s="3" t="s">
        <v>5257</v>
      </c>
      <c r="J763" s="3" t="s">
        <v>5258</v>
      </c>
      <c r="K763" s="15" t="s">
        <v>133</v>
      </c>
      <c r="L763" s="16" t="s">
        <v>7</v>
      </c>
      <c r="M763" s="15" t="s">
        <v>66</v>
      </c>
      <c r="N763" s="15" t="s">
        <v>90</v>
      </c>
      <c r="O763" s="15" t="s">
        <v>5064</v>
      </c>
      <c r="P763" s="15" t="s">
        <v>135</v>
      </c>
      <c r="Q763" s="15" t="s">
        <v>129</v>
      </c>
      <c r="R763" s="15" t="s">
        <v>135</v>
      </c>
      <c r="S763" s="15"/>
      <c r="T763" s="15"/>
      <c r="U763" s="3" t="s">
        <v>5259</v>
      </c>
      <c r="V763" s="3" t="s">
        <v>5260</v>
      </c>
      <c r="W763" s="3" t="s">
        <v>5261</v>
      </c>
      <c r="X763" s="3" t="s">
        <v>5262</v>
      </c>
      <c r="Y763" s="15" t="n">
        <v>0</v>
      </c>
      <c r="Z763" s="15" t="n">
        <v>0</v>
      </c>
      <c r="AA763" s="15" t="n">
        <v>0</v>
      </c>
      <c r="AB763" s="15" t="n">
        <v>0</v>
      </c>
      <c r="AC763" s="15" t="n">
        <v>1</v>
      </c>
      <c r="AD763" s="15" t="n">
        <v>0</v>
      </c>
      <c r="AE763" s="15" t="n">
        <v>0</v>
      </c>
      <c r="AF763" s="15" t="n">
        <v>1</v>
      </c>
      <c r="AG763" s="15" t="n">
        <v>0</v>
      </c>
      <c r="AH763" s="15" t="n">
        <v>1</v>
      </c>
    </row>
    <row r="764" customFormat="false" ht="35.05" hidden="false" customHeight="false" outlineLevel="0" collapsed="false">
      <c r="A764" s="15" t="s">
        <v>5263</v>
      </c>
      <c r="B764" s="15" t="s">
        <v>38</v>
      </c>
      <c r="C764" s="15" t="s">
        <v>1995</v>
      </c>
      <c r="D764" s="15" t="n">
        <v>71</v>
      </c>
      <c r="E764" s="15" t="s">
        <v>2101</v>
      </c>
      <c r="F764" s="15" t="n">
        <v>0</v>
      </c>
      <c r="G764" s="15" t="s">
        <v>129</v>
      </c>
      <c r="H764" s="15" t="s">
        <v>130</v>
      </c>
      <c r="I764" s="3" t="s">
        <v>5264</v>
      </c>
      <c r="J764" s="3" t="s">
        <v>5265</v>
      </c>
      <c r="K764" s="15" t="s">
        <v>133</v>
      </c>
      <c r="L764" s="16" t="s">
        <v>7</v>
      </c>
      <c r="M764" s="15" t="s">
        <v>68</v>
      </c>
      <c r="N764" s="15" t="s">
        <v>84</v>
      </c>
      <c r="O764" s="15" t="s">
        <v>5266</v>
      </c>
      <c r="P764" s="15" t="s">
        <v>185</v>
      </c>
      <c r="Q764" s="15" t="s">
        <v>129</v>
      </c>
      <c r="R764" s="15" t="s">
        <v>135</v>
      </c>
      <c r="S764" s="15"/>
      <c r="T764" s="15"/>
      <c r="U764" s="3" t="s">
        <v>5267</v>
      </c>
      <c r="V764" s="3" t="s">
        <v>5268</v>
      </c>
      <c r="W764" s="3" t="s">
        <v>5269</v>
      </c>
      <c r="X764" s="3" t="s">
        <v>5270</v>
      </c>
      <c r="Y764" s="15" t="n">
        <v>0</v>
      </c>
      <c r="Z764" s="15" t="n">
        <v>0</v>
      </c>
      <c r="AA764" s="15" t="n">
        <v>0</v>
      </c>
      <c r="AB764" s="15" t="n">
        <v>1</v>
      </c>
      <c r="AC764" s="15" t="n">
        <v>1</v>
      </c>
      <c r="AD764" s="15" t="n">
        <v>1</v>
      </c>
      <c r="AE764" s="15" t="n">
        <v>0</v>
      </c>
      <c r="AF764" s="15" t="n">
        <v>0</v>
      </c>
      <c r="AG764" s="15" t="n">
        <v>0</v>
      </c>
      <c r="AH764" s="15" t="n">
        <v>0</v>
      </c>
    </row>
    <row r="765" customFormat="false" ht="46.25" hidden="false" customHeight="false" outlineLevel="0" collapsed="false">
      <c r="A765" s="15" t="s">
        <v>5271</v>
      </c>
      <c r="B765" s="15" t="s">
        <v>38</v>
      </c>
      <c r="C765" s="15" t="s">
        <v>1995</v>
      </c>
      <c r="D765" s="15" t="n">
        <v>71</v>
      </c>
      <c r="E765" s="15" t="s">
        <v>2101</v>
      </c>
      <c r="F765" s="15" t="n">
        <v>1</v>
      </c>
      <c r="G765" s="15" t="s">
        <v>197</v>
      </c>
      <c r="H765" s="15" t="s">
        <v>142</v>
      </c>
      <c r="I765" s="3" t="s">
        <v>5272</v>
      </c>
      <c r="J765" s="3" t="s">
        <v>5273</v>
      </c>
      <c r="K765" s="15" t="s">
        <v>145</v>
      </c>
      <c r="L765" s="16" t="s">
        <v>7</v>
      </c>
      <c r="M765" s="15" t="s">
        <v>68</v>
      </c>
      <c r="N765" s="15" t="s">
        <v>82</v>
      </c>
      <c r="O765" s="15" t="s">
        <v>82</v>
      </c>
      <c r="P765" s="15" t="s">
        <v>185</v>
      </c>
      <c r="Q765" s="15" t="s">
        <v>197</v>
      </c>
      <c r="R765" s="15" t="s">
        <v>135</v>
      </c>
      <c r="S765" s="15"/>
      <c r="T765" s="15"/>
      <c r="U765" s="3" t="s">
        <v>5274</v>
      </c>
      <c r="V765" s="3" t="s">
        <v>5275</v>
      </c>
      <c r="W765" s="3"/>
      <c r="X765" s="3" t="s">
        <v>5276</v>
      </c>
      <c r="Y765" s="15" t="n">
        <v>0</v>
      </c>
      <c r="Z765" s="15" t="n">
        <v>1</v>
      </c>
      <c r="AA765" s="15" t="n">
        <v>0</v>
      </c>
      <c r="AB765" s="15" t="n">
        <v>0</v>
      </c>
      <c r="AC765" s="15" t="n">
        <v>0</v>
      </c>
      <c r="AD765" s="15" t="n">
        <v>0</v>
      </c>
      <c r="AE765" s="15" t="n">
        <v>0</v>
      </c>
      <c r="AF765" s="15" t="n">
        <v>0</v>
      </c>
      <c r="AG765" s="15" t="n">
        <v>0</v>
      </c>
      <c r="AH765" s="15" t="n">
        <v>0</v>
      </c>
    </row>
    <row r="766" customFormat="false" ht="35.05" hidden="false" customHeight="false" outlineLevel="0" collapsed="false">
      <c r="A766" s="15" t="s">
        <v>5277</v>
      </c>
      <c r="B766" s="15" t="s">
        <v>38</v>
      </c>
      <c r="C766" s="15" t="s">
        <v>1995</v>
      </c>
      <c r="D766" s="15" t="n">
        <v>71</v>
      </c>
      <c r="E766" s="15" t="s">
        <v>2101</v>
      </c>
      <c r="F766" s="15" t="n">
        <v>2</v>
      </c>
      <c r="G766" s="15" t="s">
        <v>141</v>
      </c>
      <c r="H766" s="15" t="s">
        <v>142</v>
      </c>
      <c r="I766" s="3" t="s">
        <v>5278</v>
      </c>
      <c r="J766" s="3" t="s">
        <v>5279</v>
      </c>
      <c r="K766" s="15" t="s">
        <v>133</v>
      </c>
      <c r="L766" s="16" t="s">
        <v>7</v>
      </c>
      <c r="M766" s="15" t="s">
        <v>66</v>
      </c>
      <c r="N766" s="15" t="s">
        <v>88</v>
      </c>
      <c r="O766" s="15" t="s">
        <v>88</v>
      </c>
      <c r="P766" s="15" t="s">
        <v>135</v>
      </c>
      <c r="Q766" s="15" t="s">
        <v>129</v>
      </c>
      <c r="R766" s="15" t="s">
        <v>185</v>
      </c>
      <c r="S766" s="15"/>
      <c r="T766" s="15"/>
      <c r="U766" s="3" t="s">
        <v>5280</v>
      </c>
      <c r="V766" s="3" t="s">
        <v>5281</v>
      </c>
      <c r="W766" s="3"/>
      <c r="X766" s="3" t="s">
        <v>5282</v>
      </c>
      <c r="Y766" s="15" t="n">
        <v>0</v>
      </c>
      <c r="Z766" s="15" t="n">
        <v>0</v>
      </c>
      <c r="AA766" s="15" t="n">
        <v>0</v>
      </c>
      <c r="AB766" s="15" t="n">
        <v>0</v>
      </c>
      <c r="AC766" s="15" t="n">
        <v>0</v>
      </c>
      <c r="AD766" s="15" t="n">
        <v>0</v>
      </c>
      <c r="AE766" s="15" t="n">
        <v>0</v>
      </c>
      <c r="AF766" s="15" t="n">
        <v>1</v>
      </c>
      <c r="AG766" s="15" t="n">
        <v>0</v>
      </c>
      <c r="AH766" s="15" t="n">
        <v>0</v>
      </c>
    </row>
    <row r="767" customFormat="false" ht="57.45" hidden="false" customHeight="false" outlineLevel="0" collapsed="false">
      <c r="A767" s="15" t="s">
        <v>5283</v>
      </c>
      <c r="B767" s="15" t="s">
        <v>38</v>
      </c>
      <c r="C767" s="15" t="s">
        <v>2122</v>
      </c>
      <c r="D767" s="15" t="n">
        <v>33</v>
      </c>
      <c r="E767" s="15" t="s">
        <v>2123</v>
      </c>
      <c r="F767" s="15" t="n">
        <v>0</v>
      </c>
      <c r="G767" s="15" t="s">
        <v>129</v>
      </c>
      <c r="H767" s="15" t="s">
        <v>130</v>
      </c>
      <c r="I767" s="3" t="s">
        <v>5284</v>
      </c>
      <c r="J767" s="3" t="s">
        <v>5285</v>
      </c>
      <c r="K767" s="15" t="s">
        <v>133</v>
      </c>
      <c r="L767" s="18" t="s">
        <v>5</v>
      </c>
      <c r="M767" s="15" t="s">
        <v>426</v>
      </c>
      <c r="N767" s="15" t="s">
        <v>426</v>
      </c>
      <c r="O767" s="15"/>
      <c r="P767" s="15" t="s">
        <v>185</v>
      </c>
      <c r="Q767" s="15" t="s">
        <v>129</v>
      </c>
      <c r="R767" s="15" t="s">
        <v>185</v>
      </c>
      <c r="S767" s="15"/>
      <c r="T767" s="15"/>
      <c r="U767" s="3" t="s">
        <v>5286</v>
      </c>
      <c r="V767" s="3" t="s">
        <v>5287</v>
      </c>
      <c r="W767" s="3"/>
      <c r="X767" s="3"/>
      <c r="Y767" s="15" t="n">
        <v>0</v>
      </c>
      <c r="Z767" s="15" t="n">
        <v>0</v>
      </c>
      <c r="AA767" s="15" t="n">
        <v>0</v>
      </c>
      <c r="AB767" s="15" t="n">
        <v>0</v>
      </c>
      <c r="AC767" s="15" t="n">
        <v>0</v>
      </c>
      <c r="AD767" s="15" t="n">
        <v>0</v>
      </c>
      <c r="AE767" s="15" t="n">
        <v>0</v>
      </c>
      <c r="AF767" s="15" t="n">
        <v>0</v>
      </c>
      <c r="AG767" s="15" t="n">
        <v>0</v>
      </c>
      <c r="AH767" s="15" t="n">
        <v>0</v>
      </c>
    </row>
    <row r="768" customFormat="false" ht="79.85" hidden="false" customHeight="false" outlineLevel="0" collapsed="false">
      <c r="A768" s="15" t="s">
        <v>5288</v>
      </c>
      <c r="B768" s="15" t="s">
        <v>38</v>
      </c>
      <c r="C768" s="15" t="s">
        <v>2122</v>
      </c>
      <c r="D768" s="15" t="n">
        <v>33</v>
      </c>
      <c r="E768" s="15" t="s">
        <v>2123</v>
      </c>
      <c r="F768" s="15" t="n">
        <v>1</v>
      </c>
      <c r="G768" s="15" t="s">
        <v>197</v>
      </c>
      <c r="H768" s="15" t="s">
        <v>142</v>
      </c>
      <c r="I768" s="3" t="s">
        <v>5289</v>
      </c>
      <c r="J768" s="3" t="s">
        <v>5290</v>
      </c>
      <c r="K768" s="15" t="s">
        <v>145</v>
      </c>
      <c r="L768" s="16" t="s">
        <v>7</v>
      </c>
      <c r="M768" s="15" t="s">
        <v>68</v>
      </c>
      <c r="N768" s="15" t="s">
        <v>82</v>
      </c>
      <c r="O768" s="15" t="s">
        <v>271</v>
      </c>
      <c r="P768" s="15" t="s">
        <v>185</v>
      </c>
      <c r="Q768" s="15" t="s">
        <v>197</v>
      </c>
      <c r="R768" s="15" t="s">
        <v>135</v>
      </c>
      <c r="S768" s="15"/>
      <c r="T768" s="15"/>
      <c r="U768" s="3" t="s">
        <v>5291</v>
      </c>
      <c r="V768" s="3" t="s">
        <v>5292</v>
      </c>
      <c r="W768" s="3"/>
      <c r="X768" s="3" t="s">
        <v>5293</v>
      </c>
      <c r="Y768" s="15" t="n">
        <v>0</v>
      </c>
      <c r="Z768" s="15" t="n">
        <v>1</v>
      </c>
      <c r="AA768" s="15" t="n">
        <v>0</v>
      </c>
      <c r="AB768" s="15" t="n">
        <v>1</v>
      </c>
      <c r="AC768" s="15" t="n">
        <v>0</v>
      </c>
      <c r="AD768" s="15" t="n">
        <v>0</v>
      </c>
      <c r="AE768" s="15" t="n">
        <v>0</v>
      </c>
      <c r="AF768" s="15" t="n">
        <v>0</v>
      </c>
      <c r="AG768" s="15" t="n">
        <v>0</v>
      </c>
      <c r="AH768" s="15" t="n">
        <v>0</v>
      </c>
    </row>
    <row r="769" customFormat="false" ht="57.45" hidden="false" customHeight="false" outlineLevel="0" collapsed="false">
      <c r="A769" s="15" t="s">
        <v>5294</v>
      </c>
      <c r="B769" s="15" t="s">
        <v>38</v>
      </c>
      <c r="C769" s="15" t="s">
        <v>2122</v>
      </c>
      <c r="D769" s="15" t="n">
        <v>33</v>
      </c>
      <c r="E769" s="15" t="s">
        <v>2123</v>
      </c>
      <c r="F769" s="15" t="n">
        <v>2</v>
      </c>
      <c r="G769" s="15" t="s">
        <v>141</v>
      </c>
      <c r="H769" s="15" t="s">
        <v>142</v>
      </c>
      <c r="I769" s="3" t="s">
        <v>5295</v>
      </c>
      <c r="J769" s="3" t="s">
        <v>5296</v>
      </c>
      <c r="K769" s="15" t="s">
        <v>133</v>
      </c>
      <c r="L769" s="16" t="s">
        <v>7</v>
      </c>
      <c r="M769" s="15" t="s">
        <v>66</v>
      </c>
      <c r="N769" s="15" t="s">
        <v>85</v>
      </c>
      <c r="O769" s="15" t="s">
        <v>146</v>
      </c>
      <c r="P769" s="15" t="s">
        <v>135</v>
      </c>
      <c r="Q769" s="15" t="s">
        <v>129</v>
      </c>
      <c r="R769" s="15" t="s">
        <v>135</v>
      </c>
      <c r="S769" s="15"/>
      <c r="T769" s="15"/>
      <c r="U769" s="3" t="s">
        <v>5297</v>
      </c>
      <c r="V769" s="3" t="s">
        <v>5298</v>
      </c>
      <c r="W769" s="3"/>
      <c r="X769" s="3" t="s">
        <v>5299</v>
      </c>
      <c r="Y769" s="15" t="n">
        <v>0</v>
      </c>
      <c r="Z769" s="15" t="n">
        <v>0</v>
      </c>
      <c r="AA769" s="15" t="n">
        <v>0</v>
      </c>
      <c r="AB769" s="15" t="n">
        <v>0</v>
      </c>
      <c r="AC769" s="15" t="n">
        <v>1</v>
      </c>
      <c r="AD769" s="15" t="n">
        <v>0</v>
      </c>
      <c r="AE769" s="15" t="n">
        <v>0</v>
      </c>
      <c r="AF769" s="15" t="n">
        <v>1</v>
      </c>
      <c r="AG769" s="15" t="n">
        <v>0</v>
      </c>
      <c r="AH769" s="15" t="n">
        <v>0</v>
      </c>
    </row>
    <row r="770" customFormat="false" ht="35.05" hidden="false" customHeight="false" outlineLevel="0" collapsed="false">
      <c r="A770" s="15" t="s">
        <v>5300</v>
      </c>
      <c r="B770" s="15" t="s">
        <v>38</v>
      </c>
      <c r="C770" s="15" t="s">
        <v>2122</v>
      </c>
      <c r="D770" s="15" t="n">
        <v>35</v>
      </c>
      <c r="E770" s="15" t="s">
        <v>2143</v>
      </c>
      <c r="F770" s="15" t="n">
        <v>0</v>
      </c>
      <c r="G770" s="15" t="s">
        <v>197</v>
      </c>
      <c r="H770" s="15" t="s">
        <v>142</v>
      </c>
      <c r="I770" s="3" t="s">
        <v>5301</v>
      </c>
      <c r="J770" s="3" t="s">
        <v>5302</v>
      </c>
      <c r="K770" s="15" t="s">
        <v>133</v>
      </c>
      <c r="L770" s="16" t="s">
        <v>7</v>
      </c>
      <c r="M770" s="15" t="s">
        <v>68</v>
      </c>
      <c r="N770" s="15" t="s">
        <v>82</v>
      </c>
      <c r="O770" s="15" t="s">
        <v>215</v>
      </c>
      <c r="P770" s="15" t="s">
        <v>135</v>
      </c>
      <c r="Q770" s="15" t="s">
        <v>129</v>
      </c>
      <c r="R770" s="15" t="s">
        <v>135</v>
      </c>
      <c r="S770" s="15"/>
      <c r="T770" s="15"/>
      <c r="U770" s="3" t="s">
        <v>5303</v>
      </c>
      <c r="V770" s="3" t="s">
        <v>5304</v>
      </c>
      <c r="W770" s="3"/>
      <c r="X770" s="3" t="s">
        <v>5305</v>
      </c>
      <c r="Y770" s="15" t="n">
        <v>0</v>
      </c>
      <c r="Z770" s="15" t="n">
        <v>1</v>
      </c>
      <c r="AA770" s="15" t="n">
        <v>0</v>
      </c>
      <c r="AB770" s="15" t="n">
        <v>0</v>
      </c>
      <c r="AC770" s="15" t="n">
        <v>0</v>
      </c>
      <c r="AD770" s="15" t="n">
        <v>0</v>
      </c>
      <c r="AE770" s="15" t="n">
        <v>0</v>
      </c>
      <c r="AF770" s="15" t="n">
        <v>1</v>
      </c>
      <c r="AG770" s="15" t="n">
        <v>0</v>
      </c>
      <c r="AH770" s="15" t="n">
        <v>0</v>
      </c>
    </row>
    <row r="771" customFormat="false" ht="35.05" hidden="false" customHeight="false" outlineLevel="0" collapsed="false">
      <c r="A771" s="15" t="s">
        <v>5306</v>
      </c>
      <c r="B771" s="15" t="s">
        <v>38</v>
      </c>
      <c r="C771" s="15" t="s">
        <v>2122</v>
      </c>
      <c r="D771" s="15" t="n">
        <v>35</v>
      </c>
      <c r="E771" s="15" t="s">
        <v>2143</v>
      </c>
      <c r="F771" s="15" t="n">
        <v>1</v>
      </c>
      <c r="G771" s="15" t="s">
        <v>129</v>
      </c>
      <c r="H771" s="15" t="s">
        <v>130</v>
      </c>
      <c r="I771" s="3" t="s">
        <v>5307</v>
      </c>
      <c r="J771" s="3" t="s">
        <v>5308</v>
      </c>
      <c r="K771" s="15" t="s">
        <v>145</v>
      </c>
      <c r="L771" s="17" t="s">
        <v>9</v>
      </c>
      <c r="M771" s="15" t="s">
        <v>70</v>
      </c>
      <c r="N771" s="15" t="s">
        <v>81</v>
      </c>
      <c r="O771" s="15" t="s">
        <v>1146</v>
      </c>
      <c r="P771" s="15" t="s">
        <v>185</v>
      </c>
      <c r="Q771" s="15" t="s">
        <v>129</v>
      </c>
      <c r="R771" s="15" t="s">
        <v>135</v>
      </c>
      <c r="S771" s="15" t="s">
        <v>405</v>
      </c>
      <c r="T771" s="15" t="s">
        <v>390</v>
      </c>
      <c r="U771" s="3" t="s">
        <v>5309</v>
      </c>
      <c r="V771" s="3" t="s">
        <v>5310</v>
      </c>
      <c r="W771" s="3"/>
      <c r="X771" s="3"/>
      <c r="Y771" s="15" t="n">
        <v>1</v>
      </c>
      <c r="Z771" s="15" t="n">
        <v>1</v>
      </c>
      <c r="AA771" s="15" t="n">
        <v>0</v>
      </c>
      <c r="AB771" s="15" t="n">
        <v>0</v>
      </c>
      <c r="AC771" s="15" t="n">
        <v>0</v>
      </c>
      <c r="AD771" s="15" t="n">
        <v>0</v>
      </c>
      <c r="AE771" s="15" t="n">
        <v>0</v>
      </c>
      <c r="AF771" s="15" t="n">
        <v>0</v>
      </c>
      <c r="AG771" s="15" t="n">
        <v>0</v>
      </c>
      <c r="AH771" s="15" t="n">
        <v>0</v>
      </c>
    </row>
    <row r="772" customFormat="false" ht="23.85" hidden="false" customHeight="false" outlineLevel="0" collapsed="false">
      <c r="A772" s="15" t="s">
        <v>5311</v>
      </c>
      <c r="B772" s="15" t="s">
        <v>38</v>
      </c>
      <c r="C772" s="15" t="s">
        <v>2122</v>
      </c>
      <c r="D772" s="15" t="n">
        <v>35</v>
      </c>
      <c r="E772" s="15" t="s">
        <v>2143</v>
      </c>
      <c r="F772" s="15" t="n">
        <v>2</v>
      </c>
      <c r="G772" s="15" t="s">
        <v>141</v>
      </c>
      <c r="H772" s="15" t="s">
        <v>142</v>
      </c>
      <c r="I772" s="3" t="s">
        <v>5312</v>
      </c>
      <c r="J772" s="3" t="s">
        <v>5313</v>
      </c>
      <c r="K772" s="15" t="s">
        <v>133</v>
      </c>
      <c r="L772" s="16" t="s">
        <v>7</v>
      </c>
      <c r="M772" s="15" t="s">
        <v>66</v>
      </c>
      <c r="N772" s="15" t="s">
        <v>88</v>
      </c>
      <c r="O772" s="15" t="s">
        <v>88</v>
      </c>
      <c r="P772" s="15" t="s">
        <v>135</v>
      </c>
      <c r="Q772" s="15" t="s">
        <v>129</v>
      </c>
      <c r="R772" s="15" t="s">
        <v>185</v>
      </c>
      <c r="S772" s="15"/>
      <c r="T772" s="15"/>
      <c r="U772" s="3" t="s">
        <v>5314</v>
      </c>
      <c r="V772" s="3" t="s">
        <v>5315</v>
      </c>
      <c r="W772" s="3"/>
      <c r="X772" s="3" t="s">
        <v>5316</v>
      </c>
      <c r="Y772" s="15" t="n">
        <v>0</v>
      </c>
      <c r="Z772" s="15" t="n">
        <v>0</v>
      </c>
      <c r="AA772" s="15" t="n">
        <v>0</v>
      </c>
      <c r="AB772" s="15" t="n">
        <v>0</v>
      </c>
      <c r="AC772" s="15" t="n">
        <v>0</v>
      </c>
      <c r="AD772" s="15" t="n">
        <v>0</v>
      </c>
      <c r="AE772" s="15" t="n">
        <v>0</v>
      </c>
      <c r="AF772" s="15" t="n">
        <v>1</v>
      </c>
      <c r="AG772" s="15" t="n">
        <v>0</v>
      </c>
      <c r="AH772" s="15" t="n">
        <v>0</v>
      </c>
    </row>
    <row r="773" customFormat="false" ht="46.25" hidden="false" customHeight="false" outlineLevel="0" collapsed="false">
      <c r="A773" s="15" t="s">
        <v>5317</v>
      </c>
      <c r="B773" s="15" t="s">
        <v>38</v>
      </c>
      <c r="C773" s="15" t="s">
        <v>2122</v>
      </c>
      <c r="D773" s="15" t="n">
        <v>36</v>
      </c>
      <c r="E773" s="15" t="s">
        <v>2166</v>
      </c>
      <c r="F773" s="15" t="n">
        <v>0</v>
      </c>
      <c r="G773" s="15" t="s">
        <v>197</v>
      </c>
      <c r="H773" s="15" t="s">
        <v>142</v>
      </c>
      <c r="I773" s="3" t="s">
        <v>5318</v>
      </c>
      <c r="J773" s="3" t="s">
        <v>5319</v>
      </c>
      <c r="K773" s="15" t="s">
        <v>133</v>
      </c>
      <c r="L773" s="16" t="s">
        <v>7</v>
      </c>
      <c r="M773" s="15" t="s">
        <v>66</v>
      </c>
      <c r="N773" s="15" t="s">
        <v>88</v>
      </c>
      <c r="O773" s="15" t="s">
        <v>88</v>
      </c>
      <c r="P773" s="15" t="s">
        <v>135</v>
      </c>
      <c r="Q773" s="15" t="s">
        <v>129</v>
      </c>
      <c r="R773" s="15" t="s">
        <v>185</v>
      </c>
      <c r="S773" s="15"/>
      <c r="T773" s="15"/>
      <c r="U773" s="3" t="s">
        <v>5320</v>
      </c>
      <c r="V773" s="3" t="s">
        <v>5321</v>
      </c>
      <c r="W773" s="3"/>
      <c r="X773" s="3" t="s">
        <v>5322</v>
      </c>
      <c r="Y773" s="15" t="n">
        <v>0</v>
      </c>
      <c r="Z773" s="15" t="n">
        <v>0</v>
      </c>
      <c r="AA773" s="15" t="n">
        <v>0</v>
      </c>
      <c r="AB773" s="15" t="n">
        <v>0</v>
      </c>
      <c r="AC773" s="15" t="n">
        <v>0</v>
      </c>
      <c r="AD773" s="15" t="n">
        <v>0</v>
      </c>
      <c r="AE773" s="15" t="n">
        <v>0</v>
      </c>
      <c r="AF773" s="15" t="n">
        <v>1</v>
      </c>
      <c r="AG773" s="15" t="n">
        <v>0</v>
      </c>
      <c r="AH773" s="15" t="n">
        <v>0</v>
      </c>
    </row>
    <row r="774" customFormat="false" ht="35.05" hidden="false" customHeight="false" outlineLevel="0" collapsed="false">
      <c r="A774" s="15" t="s">
        <v>5323</v>
      </c>
      <c r="B774" s="15" t="s">
        <v>38</v>
      </c>
      <c r="C774" s="15" t="s">
        <v>2122</v>
      </c>
      <c r="D774" s="15" t="n">
        <v>36</v>
      </c>
      <c r="E774" s="15" t="s">
        <v>2166</v>
      </c>
      <c r="F774" s="15" t="n">
        <v>1</v>
      </c>
      <c r="G774" s="15" t="s">
        <v>129</v>
      </c>
      <c r="H774" s="15" t="s">
        <v>130</v>
      </c>
      <c r="I774" s="3" t="s">
        <v>5324</v>
      </c>
      <c r="J774" s="3" t="s">
        <v>5325</v>
      </c>
      <c r="K774" s="15" t="s">
        <v>145</v>
      </c>
      <c r="L774" s="18" t="s">
        <v>5</v>
      </c>
      <c r="M774" s="15" t="s">
        <v>426</v>
      </c>
      <c r="N774" s="15" t="s">
        <v>426</v>
      </c>
      <c r="O774" s="15"/>
      <c r="P774" s="15" t="s">
        <v>185</v>
      </c>
      <c r="Q774" s="15" t="s">
        <v>129</v>
      </c>
      <c r="R774" s="15" t="s">
        <v>185</v>
      </c>
      <c r="S774" s="15"/>
      <c r="T774" s="15"/>
      <c r="U774" s="3" t="s">
        <v>5326</v>
      </c>
      <c r="V774" s="3" t="s">
        <v>5327</v>
      </c>
      <c r="W774" s="3"/>
      <c r="X774" s="3"/>
      <c r="Y774" s="15" t="n">
        <v>0</v>
      </c>
      <c r="Z774" s="15" t="n">
        <v>0</v>
      </c>
      <c r="AA774" s="15" t="n">
        <v>0</v>
      </c>
      <c r="AB774" s="15" t="n">
        <v>0</v>
      </c>
      <c r="AC774" s="15" t="n">
        <v>0</v>
      </c>
      <c r="AD774" s="15" t="n">
        <v>0</v>
      </c>
      <c r="AE774" s="15" t="n">
        <v>0</v>
      </c>
      <c r="AF774" s="15" t="n">
        <v>0</v>
      </c>
      <c r="AG774" s="15" t="n">
        <v>0</v>
      </c>
      <c r="AH774" s="15" t="n">
        <v>0</v>
      </c>
    </row>
    <row r="775" customFormat="false" ht="35.05" hidden="false" customHeight="false" outlineLevel="0" collapsed="false">
      <c r="A775" s="15" t="s">
        <v>5328</v>
      </c>
      <c r="B775" s="15" t="s">
        <v>38</v>
      </c>
      <c r="C775" s="15" t="s">
        <v>2122</v>
      </c>
      <c r="D775" s="15" t="n">
        <v>36</v>
      </c>
      <c r="E775" s="15" t="s">
        <v>2166</v>
      </c>
      <c r="F775" s="15" t="n">
        <v>2</v>
      </c>
      <c r="G775" s="15" t="s">
        <v>141</v>
      </c>
      <c r="H775" s="15" t="s">
        <v>142</v>
      </c>
      <c r="I775" s="3" t="s">
        <v>5329</v>
      </c>
      <c r="J775" s="3" t="s">
        <v>5330</v>
      </c>
      <c r="K775" s="15" t="s">
        <v>145</v>
      </c>
      <c r="L775" s="16" t="s">
        <v>7</v>
      </c>
      <c r="M775" s="15" t="s">
        <v>66</v>
      </c>
      <c r="N775" s="15" t="s">
        <v>88</v>
      </c>
      <c r="O775" s="15" t="s">
        <v>4158</v>
      </c>
      <c r="P775" s="15" t="s">
        <v>135</v>
      </c>
      <c r="Q775" s="15" t="s">
        <v>129</v>
      </c>
      <c r="R775" s="15" t="s">
        <v>135</v>
      </c>
      <c r="S775" s="15"/>
      <c r="T775" s="15"/>
      <c r="U775" s="3" t="s">
        <v>5331</v>
      </c>
      <c r="V775" s="3" t="s">
        <v>5332</v>
      </c>
      <c r="W775" s="3"/>
      <c r="X775" s="3" t="s">
        <v>5333</v>
      </c>
      <c r="Y775" s="15" t="n">
        <v>0</v>
      </c>
      <c r="Z775" s="15" t="n">
        <v>0</v>
      </c>
      <c r="AA775" s="15" t="n">
        <v>0</v>
      </c>
      <c r="AB775" s="15" t="n">
        <v>0</v>
      </c>
      <c r="AC775" s="15" t="n">
        <v>0</v>
      </c>
      <c r="AD775" s="15" t="n">
        <v>1</v>
      </c>
      <c r="AE775" s="15" t="n">
        <v>0</v>
      </c>
      <c r="AF775" s="15" t="n">
        <v>1</v>
      </c>
      <c r="AG775" s="15" t="n">
        <v>0</v>
      </c>
      <c r="AH775" s="15" t="n">
        <v>0</v>
      </c>
    </row>
    <row r="776" customFormat="false" ht="23.85" hidden="false" customHeight="false" outlineLevel="0" collapsed="false">
      <c r="A776" s="15" t="s">
        <v>5334</v>
      </c>
      <c r="B776" s="15" t="s">
        <v>38</v>
      </c>
      <c r="C776" s="15" t="s">
        <v>2122</v>
      </c>
      <c r="D776" s="15" t="n">
        <v>39</v>
      </c>
      <c r="E776" s="15" t="s">
        <v>2188</v>
      </c>
      <c r="F776" s="15" t="n">
        <v>0</v>
      </c>
      <c r="G776" s="15" t="s">
        <v>129</v>
      </c>
      <c r="H776" s="15" t="s">
        <v>130</v>
      </c>
      <c r="I776" s="3" t="s">
        <v>5335</v>
      </c>
      <c r="J776" s="3" t="s">
        <v>5336</v>
      </c>
      <c r="K776" s="15" t="s">
        <v>133</v>
      </c>
      <c r="L776" s="18" t="s">
        <v>5</v>
      </c>
      <c r="M776" s="15" t="s">
        <v>426</v>
      </c>
      <c r="N776" s="15" t="s">
        <v>426</v>
      </c>
      <c r="O776" s="15"/>
      <c r="P776" s="15" t="s">
        <v>185</v>
      </c>
      <c r="Q776" s="15" t="s">
        <v>129</v>
      </c>
      <c r="R776" s="15" t="s">
        <v>185</v>
      </c>
      <c r="S776" s="15"/>
      <c r="T776" s="15"/>
      <c r="U776" s="3" t="s">
        <v>5337</v>
      </c>
      <c r="V776" s="3" t="s">
        <v>5147</v>
      </c>
      <c r="W776" s="3"/>
      <c r="X776" s="3"/>
      <c r="Y776" s="15" t="n">
        <v>0</v>
      </c>
      <c r="Z776" s="15" t="n">
        <v>0</v>
      </c>
      <c r="AA776" s="15" t="n">
        <v>0</v>
      </c>
      <c r="AB776" s="15" t="n">
        <v>0</v>
      </c>
      <c r="AC776" s="15" t="n">
        <v>0</v>
      </c>
      <c r="AD776" s="15" t="n">
        <v>0</v>
      </c>
      <c r="AE776" s="15" t="n">
        <v>0</v>
      </c>
      <c r="AF776" s="15" t="n">
        <v>0</v>
      </c>
      <c r="AG776" s="15" t="n">
        <v>0</v>
      </c>
      <c r="AH776" s="15" t="n">
        <v>0</v>
      </c>
    </row>
    <row r="777" customFormat="false" ht="35.05" hidden="false" customHeight="false" outlineLevel="0" collapsed="false">
      <c r="A777" s="15" t="s">
        <v>5338</v>
      </c>
      <c r="B777" s="15" t="s">
        <v>38</v>
      </c>
      <c r="C777" s="15" t="s">
        <v>2122</v>
      </c>
      <c r="D777" s="15" t="n">
        <v>39</v>
      </c>
      <c r="E777" s="15" t="s">
        <v>2188</v>
      </c>
      <c r="F777" s="15" t="n">
        <v>1</v>
      </c>
      <c r="G777" s="15" t="s">
        <v>197</v>
      </c>
      <c r="H777" s="15" t="s">
        <v>142</v>
      </c>
      <c r="I777" s="3" t="s">
        <v>5339</v>
      </c>
      <c r="J777" s="3" t="s">
        <v>5340</v>
      </c>
      <c r="K777" s="15" t="s">
        <v>145</v>
      </c>
      <c r="L777" s="16" t="s">
        <v>7</v>
      </c>
      <c r="M777" s="15" t="s">
        <v>68</v>
      </c>
      <c r="N777" s="15" t="s">
        <v>85</v>
      </c>
      <c r="O777" s="15" t="s">
        <v>838</v>
      </c>
      <c r="P777" s="15" t="s">
        <v>185</v>
      </c>
      <c r="Q777" s="15" t="s">
        <v>197</v>
      </c>
      <c r="R777" s="15" t="s">
        <v>135</v>
      </c>
      <c r="S777" s="15"/>
      <c r="T777" s="15"/>
      <c r="U777" s="3" t="s">
        <v>5341</v>
      </c>
      <c r="V777" s="3" t="s">
        <v>5342</v>
      </c>
      <c r="W777" s="3" t="s">
        <v>5343</v>
      </c>
      <c r="X777" s="3" t="s">
        <v>5344</v>
      </c>
      <c r="Y777" s="15" t="n">
        <v>0</v>
      </c>
      <c r="Z777" s="15" t="n">
        <v>1</v>
      </c>
      <c r="AA777" s="15" t="n">
        <v>0</v>
      </c>
      <c r="AB777" s="15" t="n">
        <v>0</v>
      </c>
      <c r="AC777" s="15" t="n">
        <v>1</v>
      </c>
      <c r="AD777" s="15" t="n">
        <v>0</v>
      </c>
      <c r="AE777" s="15" t="n">
        <v>0</v>
      </c>
      <c r="AF777" s="15" t="n">
        <v>0</v>
      </c>
      <c r="AG777" s="15" t="n">
        <v>0</v>
      </c>
      <c r="AH777" s="15" t="n">
        <v>0</v>
      </c>
    </row>
    <row r="778" customFormat="false" ht="23.85" hidden="false" customHeight="false" outlineLevel="0" collapsed="false">
      <c r="A778" s="15" t="s">
        <v>5345</v>
      </c>
      <c r="B778" s="15" t="s">
        <v>38</v>
      </c>
      <c r="C778" s="15" t="s">
        <v>2122</v>
      </c>
      <c r="D778" s="15" t="n">
        <v>39</v>
      </c>
      <c r="E778" s="15" t="s">
        <v>2188</v>
      </c>
      <c r="F778" s="15" t="n">
        <v>2</v>
      </c>
      <c r="G778" s="15" t="s">
        <v>141</v>
      </c>
      <c r="H778" s="15" t="s">
        <v>142</v>
      </c>
      <c r="I778" s="3" t="s">
        <v>5346</v>
      </c>
      <c r="J778" s="3" t="s">
        <v>5347</v>
      </c>
      <c r="K778" s="15" t="s">
        <v>133</v>
      </c>
      <c r="L778" s="16" t="s">
        <v>7</v>
      </c>
      <c r="M778" s="15" t="s">
        <v>66</v>
      </c>
      <c r="N778" s="15" t="s">
        <v>88</v>
      </c>
      <c r="O778" s="15" t="s">
        <v>88</v>
      </c>
      <c r="P778" s="15" t="s">
        <v>135</v>
      </c>
      <c r="Q778" s="15" t="s">
        <v>197</v>
      </c>
      <c r="R778" s="15" t="s">
        <v>185</v>
      </c>
      <c r="S778" s="15"/>
      <c r="T778" s="15"/>
      <c r="U778" s="3" t="s">
        <v>5348</v>
      </c>
      <c r="V778" s="3" t="s">
        <v>5349</v>
      </c>
      <c r="W778" s="3"/>
      <c r="X778" s="3" t="s">
        <v>5350</v>
      </c>
      <c r="Y778" s="15" t="n">
        <v>0</v>
      </c>
      <c r="Z778" s="15" t="n">
        <v>0</v>
      </c>
      <c r="AA778" s="15" t="n">
        <v>0</v>
      </c>
      <c r="AB778" s="15" t="n">
        <v>0</v>
      </c>
      <c r="AC778" s="15" t="n">
        <v>0</v>
      </c>
      <c r="AD778" s="15" t="n">
        <v>0</v>
      </c>
      <c r="AE778" s="15" t="n">
        <v>0</v>
      </c>
      <c r="AF778" s="15" t="n">
        <v>1</v>
      </c>
      <c r="AG778" s="15" t="n">
        <v>0</v>
      </c>
      <c r="AH778" s="15" t="n">
        <v>0</v>
      </c>
    </row>
    <row r="779" customFormat="false" ht="35.05" hidden="false" customHeight="false" outlineLevel="0" collapsed="false">
      <c r="A779" s="15" t="s">
        <v>5351</v>
      </c>
      <c r="B779" s="15" t="s">
        <v>38</v>
      </c>
      <c r="C779" s="15" t="s">
        <v>2122</v>
      </c>
      <c r="D779" s="15" t="n">
        <v>49</v>
      </c>
      <c r="E779" s="15" t="s">
        <v>2208</v>
      </c>
      <c r="F779" s="15" t="n">
        <v>0</v>
      </c>
      <c r="G779" s="15" t="s">
        <v>129</v>
      </c>
      <c r="H779" s="15" t="s">
        <v>130</v>
      </c>
      <c r="I779" s="3" t="s">
        <v>5352</v>
      </c>
      <c r="J779" s="3" t="s">
        <v>5353</v>
      </c>
      <c r="K779" s="15" t="s">
        <v>133</v>
      </c>
      <c r="L779" s="18" t="s">
        <v>5</v>
      </c>
      <c r="M779" s="15" t="s">
        <v>426</v>
      </c>
      <c r="N779" s="15" t="s">
        <v>426</v>
      </c>
      <c r="O779" s="15"/>
      <c r="P779" s="15" t="s">
        <v>185</v>
      </c>
      <c r="Q779" s="15" t="s">
        <v>129</v>
      </c>
      <c r="R779" s="15" t="s">
        <v>185</v>
      </c>
      <c r="S779" s="15"/>
      <c r="T779" s="15"/>
      <c r="U779" s="3" t="s">
        <v>5354</v>
      </c>
      <c r="V779" s="3" t="s">
        <v>5355</v>
      </c>
      <c r="W779" s="3"/>
      <c r="X779" s="3"/>
      <c r="Y779" s="15" t="n">
        <v>0</v>
      </c>
      <c r="Z779" s="15" t="n">
        <v>0</v>
      </c>
      <c r="AA779" s="15" t="n">
        <v>0</v>
      </c>
      <c r="AB779" s="15" t="n">
        <v>0</v>
      </c>
      <c r="AC779" s="15" t="n">
        <v>0</v>
      </c>
      <c r="AD779" s="15" t="n">
        <v>0</v>
      </c>
      <c r="AE779" s="15" t="n">
        <v>0</v>
      </c>
      <c r="AF779" s="15" t="n">
        <v>0</v>
      </c>
      <c r="AG779" s="15" t="n">
        <v>0</v>
      </c>
      <c r="AH779" s="15" t="n">
        <v>0</v>
      </c>
    </row>
    <row r="780" customFormat="false" ht="35.05" hidden="false" customHeight="false" outlineLevel="0" collapsed="false">
      <c r="A780" s="15" t="s">
        <v>5356</v>
      </c>
      <c r="B780" s="15" t="s">
        <v>38</v>
      </c>
      <c r="C780" s="15" t="s">
        <v>2122</v>
      </c>
      <c r="D780" s="15" t="n">
        <v>49</v>
      </c>
      <c r="E780" s="15" t="s">
        <v>2208</v>
      </c>
      <c r="F780" s="15" t="n">
        <v>1</v>
      </c>
      <c r="G780" s="15" t="s">
        <v>197</v>
      </c>
      <c r="H780" s="15" t="s">
        <v>142</v>
      </c>
      <c r="I780" s="3" t="s">
        <v>5357</v>
      </c>
      <c r="J780" s="3" t="s">
        <v>5358</v>
      </c>
      <c r="K780" s="15" t="s">
        <v>145</v>
      </c>
      <c r="L780" s="16" t="s">
        <v>7</v>
      </c>
      <c r="M780" s="15" t="s">
        <v>66</v>
      </c>
      <c r="N780" s="15" t="s">
        <v>86</v>
      </c>
      <c r="O780" s="15" t="s">
        <v>4928</v>
      </c>
      <c r="P780" s="15" t="s">
        <v>185</v>
      </c>
      <c r="Q780" s="15" t="s">
        <v>197</v>
      </c>
      <c r="R780" s="15" t="s">
        <v>135</v>
      </c>
      <c r="S780" s="15"/>
      <c r="T780" s="15"/>
      <c r="U780" s="3" t="s">
        <v>5359</v>
      </c>
      <c r="V780" s="3" t="s">
        <v>5360</v>
      </c>
      <c r="W780" s="3" t="s">
        <v>5361</v>
      </c>
      <c r="X780" s="3" t="s">
        <v>5362</v>
      </c>
      <c r="Y780" s="15" t="n">
        <v>0</v>
      </c>
      <c r="Z780" s="15" t="n">
        <v>0</v>
      </c>
      <c r="AA780" s="15" t="n">
        <v>0</v>
      </c>
      <c r="AB780" s="15" t="n">
        <v>0</v>
      </c>
      <c r="AC780" s="15" t="n">
        <v>0</v>
      </c>
      <c r="AD780" s="15" t="n">
        <v>1</v>
      </c>
      <c r="AE780" s="15" t="n">
        <v>0</v>
      </c>
      <c r="AF780" s="15" t="n">
        <v>0</v>
      </c>
      <c r="AG780" s="15" t="n">
        <v>1</v>
      </c>
      <c r="AH780" s="15" t="n">
        <v>0</v>
      </c>
    </row>
    <row r="781" customFormat="false" ht="46.25" hidden="false" customHeight="false" outlineLevel="0" collapsed="false">
      <c r="A781" s="15" t="s">
        <v>5363</v>
      </c>
      <c r="B781" s="15" t="s">
        <v>38</v>
      </c>
      <c r="C781" s="15" t="s">
        <v>2122</v>
      </c>
      <c r="D781" s="15" t="n">
        <v>49</v>
      </c>
      <c r="E781" s="15" t="s">
        <v>2208</v>
      </c>
      <c r="F781" s="15" t="n">
        <v>2</v>
      </c>
      <c r="G781" s="15" t="s">
        <v>141</v>
      </c>
      <c r="H781" s="15" t="s">
        <v>142</v>
      </c>
      <c r="I781" s="3" t="s">
        <v>5364</v>
      </c>
      <c r="J781" s="3" t="s">
        <v>5365</v>
      </c>
      <c r="K781" s="15" t="s">
        <v>133</v>
      </c>
      <c r="L781" s="16" t="s">
        <v>7</v>
      </c>
      <c r="M781" s="15" t="s">
        <v>66</v>
      </c>
      <c r="N781" s="15" t="s">
        <v>88</v>
      </c>
      <c r="O781" s="15" t="s">
        <v>88</v>
      </c>
      <c r="P781" s="15" t="s">
        <v>135</v>
      </c>
      <c r="Q781" s="15" t="s">
        <v>129</v>
      </c>
      <c r="R781" s="15" t="s">
        <v>185</v>
      </c>
      <c r="S781" s="15"/>
      <c r="T781" s="15"/>
      <c r="U781" s="3" t="s">
        <v>5366</v>
      </c>
      <c r="V781" s="3" t="s">
        <v>5367</v>
      </c>
      <c r="W781" s="3"/>
      <c r="X781" s="3" t="s">
        <v>5368</v>
      </c>
      <c r="Y781" s="15" t="n">
        <v>0</v>
      </c>
      <c r="Z781" s="15" t="n">
        <v>0</v>
      </c>
      <c r="AA781" s="15" t="n">
        <v>0</v>
      </c>
      <c r="AB781" s="15" t="n">
        <v>0</v>
      </c>
      <c r="AC781" s="15" t="n">
        <v>0</v>
      </c>
      <c r="AD781" s="15" t="n">
        <v>0</v>
      </c>
      <c r="AE781" s="15" t="n">
        <v>0</v>
      </c>
      <c r="AF781" s="15" t="n">
        <v>1</v>
      </c>
      <c r="AG781" s="15" t="n">
        <v>0</v>
      </c>
      <c r="AH781" s="15" t="n">
        <v>0</v>
      </c>
    </row>
    <row r="782" customFormat="false" ht="35.05" hidden="false" customHeight="false" outlineLevel="0" collapsed="false">
      <c r="A782" s="15" t="s">
        <v>5369</v>
      </c>
      <c r="B782" s="15" t="s">
        <v>38</v>
      </c>
      <c r="C782" s="15" t="s">
        <v>2122</v>
      </c>
      <c r="D782" s="15" t="n">
        <v>81</v>
      </c>
      <c r="E782" s="15" t="s">
        <v>2231</v>
      </c>
      <c r="F782" s="15" t="n">
        <v>0</v>
      </c>
      <c r="G782" s="15" t="s">
        <v>129</v>
      </c>
      <c r="H782" s="15" t="s">
        <v>130</v>
      </c>
      <c r="I782" s="3" t="s">
        <v>5370</v>
      </c>
      <c r="J782" s="3" t="s">
        <v>5371</v>
      </c>
      <c r="K782" s="15" t="s">
        <v>133</v>
      </c>
      <c r="L782" s="16" t="s">
        <v>7</v>
      </c>
      <c r="M782" s="15" t="s">
        <v>66</v>
      </c>
      <c r="N782" s="15" t="s">
        <v>90</v>
      </c>
      <c r="O782" s="15" t="s">
        <v>829</v>
      </c>
      <c r="P782" s="15" t="s">
        <v>185</v>
      </c>
      <c r="Q782" s="15" t="s">
        <v>129</v>
      </c>
      <c r="R782" s="15" t="s">
        <v>185</v>
      </c>
      <c r="S782" s="15"/>
      <c r="T782" s="15"/>
      <c r="U782" s="3" t="s">
        <v>5372</v>
      </c>
      <c r="V782" s="3" t="s">
        <v>5373</v>
      </c>
      <c r="W782" s="3" t="s">
        <v>5374</v>
      </c>
      <c r="X782" s="3" t="s">
        <v>5375</v>
      </c>
      <c r="Y782" s="15" t="n">
        <v>0</v>
      </c>
      <c r="Z782" s="15" t="n">
        <v>0</v>
      </c>
      <c r="AA782" s="15" t="n">
        <v>0</v>
      </c>
      <c r="AB782" s="15" t="n">
        <v>0</v>
      </c>
      <c r="AC782" s="15" t="n">
        <v>0</v>
      </c>
      <c r="AD782" s="15" t="n">
        <v>0</v>
      </c>
      <c r="AE782" s="15" t="n">
        <v>0</v>
      </c>
      <c r="AF782" s="15" t="n">
        <v>0</v>
      </c>
      <c r="AG782" s="15" t="n">
        <v>1</v>
      </c>
      <c r="AH782" s="15" t="n">
        <v>1</v>
      </c>
    </row>
    <row r="783" customFormat="false" ht="46.25" hidden="false" customHeight="false" outlineLevel="0" collapsed="false">
      <c r="A783" s="15" t="s">
        <v>5376</v>
      </c>
      <c r="B783" s="15" t="s">
        <v>38</v>
      </c>
      <c r="C783" s="15" t="s">
        <v>2122</v>
      </c>
      <c r="D783" s="15" t="n">
        <v>81</v>
      </c>
      <c r="E783" s="15" t="s">
        <v>2231</v>
      </c>
      <c r="F783" s="15" t="n">
        <v>1</v>
      </c>
      <c r="G783" s="15" t="s">
        <v>197</v>
      </c>
      <c r="H783" s="15" t="s">
        <v>142</v>
      </c>
      <c r="I783" s="3" t="s">
        <v>5377</v>
      </c>
      <c r="J783" s="3" t="s">
        <v>5378</v>
      </c>
      <c r="K783" s="15" t="s">
        <v>145</v>
      </c>
      <c r="L783" s="16" t="s">
        <v>7</v>
      </c>
      <c r="M783" s="15" t="s">
        <v>66</v>
      </c>
      <c r="N783" s="15" t="s">
        <v>88</v>
      </c>
      <c r="O783" s="15" t="s">
        <v>1790</v>
      </c>
      <c r="P783" s="15" t="s">
        <v>135</v>
      </c>
      <c r="Q783" s="15" t="s">
        <v>136</v>
      </c>
      <c r="R783" s="15" t="s">
        <v>135</v>
      </c>
      <c r="S783" s="15"/>
      <c r="T783" s="15"/>
      <c r="U783" s="3" t="s">
        <v>5379</v>
      </c>
      <c r="V783" s="3" t="s">
        <v>5380</v>
      </c>
      <c r="W783" s="3" t="s">
        <v>5381</v>
      </c>
      <c r="X783" s="3" t="s">
        <v>5382</v>
      </c>
      <c r="Y783" s="15" t="n">
        <v>0</v>
      </c>
      <c r="Z783" s="15" t="n">
        <v>0</v>
      </c>
      <c r="AA783" s="15" t="n">
        <v>0</v>
      </c>
      <c r="AB783" s="15" t="n">
        <v>0</v>
      </c>
      <c r="AC783" s="15" t="n">
        <v>0</v>
      </c>
      <c r="AD783" s="15" t="n">
        <v>0</v>
      </c>
      <c r="AE783" s="15" t="n">
        <v>1</v>
      </c>
      <c r="AF783" s="15" t="n">
        <v>1</v>
      </c>
      <c r="AG783" s="15" t="n">
        <v>0</v>
      </c>
      <c r="AH783" s="15" t="n">
        <v>0</v>
      </c>
    </row>
    <row r="784" customFormat="false" ht="35.05" hidden="false" customHeight="false" outlineLevel="0" collapsed="false">
      <c r="A784" s="15" t="s">
        <v>5383</v>
      </c>
      <c r="B784" s="15" t="s">
        <v>38</v>
      </c>
      <c r="C784" s="15" t="s">
        <v>2122</v>
      </c>
      <c r="D784" s="15" t="n">
        <v>81</v>
      </c>
      <c r="E784" s="15" t="s">
        <v>2231</v>
      </c>
      <c r="F784" s="15" t="n">
        <v>2</v>
      </c>
      <c r="G784" s="15" t="s">
        <v>141</v>
      </c>
      <c r="H784" s="15" t="s">
        <v>142</v>
      </c>
      <c r="I784" s="3" t="s">
        <v>5384</v>
      </c>
      <c r="J784" s="3" t="s">
        <v>5385</v>
      </c>
      <c r="K784" s="15" t="s">
        <v>133</v>
      </c>
      <c r="L784" s="16" t="s">
        <v>7</v>
      </c>
      <c r="M784" s="15" t="s">
        <v>66</v>
      </c>
      <c r="N784" s="15" t="s">
        <v>88</v>
      </c>
      <c r="O784" s="15" t="s">
        <v>3940</v>
      </c>
      <c r="P784" s="15" t="s">
        <v>135</v>
      </c>
      <c r="Q784" s="15" t="s">
        <v>136</v>
      </c>
      <c r="R784" s="15" t="s">
        <v>185</v>
      </c>
      <c r="S784" s="15"/>
      <c r="T784" s="15"/>
      <c r="U784" s="3" t="s">
        <v>5386</v>
      </c>
      <c r="V784" s="3" t="s">
        <v>5387</v>
      </c>
      <c r="W784" s="3"/>
      <c r="X784" s="3" t="s">
        <v>5388</v>
      </c>
      <c r="Y784" s="15" t="n">
        <v>0</v>
      </c>
      <c r="Z784" s="15" t="n">
        <v>0</v>
      </c>
      <c r="AA784" s="15" t="n">
        <v>0</v>
      </c>
      <c r="AB784" s="15" t="n">
        <v>0</v>
      </c>
      <c r="AC784" s="15" t="n">
        <v>0</v>
      </c>
      <c r="AD784" s="15" t="n">
        <v>0</v>
      </c>
      <c r="AE784" s="15" t="n">
        <v>0</v>
      </c>
      <c r="AF784" s="15" t="n">
        <v>1</v>
      </c>
      <c r="AG784" s="15" t="n">
        <v>1</v>
      </c>
      <c r="AH784" s="15" t="n">
        <v>0</v>
      </c>
    </row>
    <row r="785" customFormat="false" ht="35.05" hidden="false" customHeight="false" outlineLevel="0" collapsed="false">
      <c r="A785" s="15" t="s">
        <v>5389</v>
      </c>
      <c r="B785" s="15" t="s">
        <v>38</v>
      </c>
      <c r="C785" s="15" t="s">
        <v>2122</v>
      </c>
      <c r="D785" s="15" t="n">
        <v>82</v>
      </c>
      <c r="E785" s="15" t="s">
        <v>2255</v>
      </c>
      <c r="F785" s="15" t="n">
        <v>0</v>
      </c>
      <c r="G785" s="15" t="s">
        <v>129</v>
      </c>
      <c r="H785" s="15" t="s">
        <v>130</v>
      </c>
      <c r="I785" s="3" t="s">
        <v>5390</v>
      </c>
      <c r="J785" s="3" t="s">
        <v>5391</v>
      </c>
      <c r="K785" s="15" t="s">
        <v>133</v>
      </c>
      <c r="L785" s="18" t="s">
        <v>5</v>
      </c>
      <c r="M785" s="15" t="s">
        <v>426</v>
      </c>
      <c r="N785" s="15" t="s">
        <v>426</v>
      </c>
      <c r="O785" s="15"/>
      <c r="P785" s="15" t="s">
        <v>185</v>
      </c>
      <c r="Q785" s="15" t="s">
        <v>129</v>
      </c>
      <c r="R785" s="15" t="s">
        <v>185</v>
      </c>
      <c r="S785" s="15"/>
      <c r="T785" s="15"/>
      <c r="U785" s="3" t="s">
        <v>5392</v>
      </c>
      <c r="V785" s="3" t="s">
        <v>5393</v>
      </c>
      <c r="W785" s="3"/>
      <c r="X785" s="3"/>
      <c r="Y785" s="15" t="n">
        <v>0</v>
      </c>
      <c r="Z785" s="15" t="n">
        <v>0</v>
      </c>
      <c r="AA785" s="15" t="n">
        <v>0</v>
      </c>
      <c r="AB785" s="15" t="n">
        <v>0</v>
      </c>
      <c r="AC785" s="15" t="n">
        <v>0</v>
      </c>
      <c r="AD785" s="15" t="n">
        <v>0</v>
      </c>
      <c r="AE785" s="15" t="n">
        <v>0</v>
      </c>
      <c r="AF785" s="15" t="n">
        <v>0</v>
      </c>
      <c r="AG785" s="15" t="n">
        <v>0</v>
      </c>
      <c r="AH785" s="15" t="n">
        <v>0</v>
      </c>
    </row>
    <row r="786" customFormat="false" ht="57.45" hidden="false" customHeight="false" outlineLevel="0" collapsed="false">
      <c r="A786" s="15" t="s">
        <v>5394</v>
      </c>
      <c r="B786" s="15" t="s">
        <v>38</v>
      </c>
      <c r="C786" s="15" t="s">
        <v>2122</v>
      </c>
      <c r="D786" s="15" t="n">
        <v>82</v>
      </c>
      <c r="E786" s="15" t="s">
        <v>2255</v>
      </c>
      <c r="F786" s="15" t="n">
        <v>1</v>
      </c>
      <c r="G786" s="15" t="s">
        <v>197</v>
      </c>
      <c r="H786" s="15" t="s">
        <v>142</v>
      </c>
      <c r="I786" s="3" t="s">
        <v>5395</v>
      </c>
      <c r="J786" s="3" t="s">
        <v>5396</v>
      </c>
      <c r="K786" s="15" t="s">
        <v>145</v>
      </c>
      <c r="L786" s="16" t="s">
        <v>7</v>
      </c>
      <c r="M786" s="15" t="s">
        <v>68</v>
      </c>
      <c r="N786" s="15" t="s">
        <v>82</v>
      </c>
      <c r="O786" s="15" t="s">
        <v>5397</v>
      </c>
      <c r="P786" s="15" t="s">
        <v>185</v>
      </c>
      <c r="Q786" s="15" t="s">
        <v>197</v>
      </c>
      <c r="R786" s="15" t="s">
        <v>135</v>
      </c>
      <c r="S786" s="15"/>
      <c r="T786" s="15"/>
      <c r="U786" s="3" t="s">
        <v>5398</v>
      </c>
      <c r="V786" s="3" t="s">
        <v>5399</v>
      </c>
      <c r="W786" s="3"/>
      <c r="X786" s="3" t="s">
        <v>5400</v>
      </c>
      <c r="Y786" s="15" t="n">
        <v>0</v>
      </c>
      <c r="Z786" s="15" t="n">
        <v>1</v>
      </c>
      <c r="AA786" s="15" t="n">
        <v>0</v>
      </c>
      <c r="AB786" s="15" t="n">
        <v>1</v>
      </c>
      <c r="AC786" s="15" t="n">
        <v>1</v>
      </c>
      <c r="AD786" s="15" t="n">
        <v>0</v>
      </c>
      <c r="AE786" s="15" t="n">
        <v>0</v>
      </c>
      <c r="AF786" s="15" t="n">
        <v>0</v>
      </c>
      <c r="AG786" s="15" t="n">
        <v>0</v>
      </c>
      <c r="AH786" s="15" t="n">
        <v>0</v>
      </c>
    </row>
    <row r="787" customFormat="false" ht="35.05" hidden="false" customHeight="false" outlineLevel="0" collapsed="false">
      <c r="A787" s="15" t="s">
        <v>5401</v>
      </c>
      <c r="B787" s="15" t="s">
        <v>38</v>
      </c>
      <c r="C787" s="15" t="s">
        <v>2122</v>
      </c>
      <c r="D787" s="15" t="n">
        <v>82</v>
      </c>
      <c r="E787" s="15" t="s">
        <v>2255</v>
      </c>
      <c r="F787" s="15" t="n">
        <v>2</v>
      </c>
      <c r="G787" s="15" t="s">
        <v>141</v>
      </c>
      <c r="H787" s="15" t="s">
        <v>142</v>
      </c>
      <c r="I787" s="3" t="s">
        <v>5402</v>
      </c>
      <c r="J787" s="3" t="s">
        <v>5403</v>
      </c>
      <c r="K787" s="15" t="s">
        <v>133</v>
      </c>
      <c r="L787" s="17" t="s">
        <v>9</v>
      </c>
      <c r="M787" s="15" t="s">
        <v>70</v>
      </c>
      <c r="N787" s="15" t="s">
        <v>81</v>
      </c>
      <c r="O787" s="15" t="s">
        <v>81</v>
      </c>
      <c r="P787" s="15" t="s">
        <v>135</v>
      </c>
      <c r="Q787" s="15" t="s">
        <v>136</v>
      </c>
      <c r="R787" s="15" t="s">
        <v>135</v>
      </c>
      <c r="S787" s="15" t="s">
        <v>405</v>
      </c>
      <c r="T787" s="15" t="s">
        <v>327</v>
      </c>
      <c r="U787" s="3" t="s">
        <v>5404</v>
      </c>
      <c r="V787" s="3" t="s">
        <v>5405</v>
      </c>
      <c r="W787" s="3"/>
      <c r="X787" s="3"/>
      <c r="Y787" s="15" t="n">
        <v>1</v>
      </c>
      <c r="Z787" s="15" t="n">
        <v>0</v>
      </c>
      <c r="AA787" s="15" t="n">
        <v>0</v>
      </c>
      <c r="AB787" s="15" t="n">
        <v>0</v>
      </c>
      <c r="AC787" s="15" t="n">
        <v>0</v>
      </c>
      <c r="AD787" s="15" t="n">
        <v>0</v>
      </c>
      <c r="AE787" s="15" t="n">
        <v>0</v>
      </c>
      <c r="AF787" s="15" t="n">
        <v>0</v>
      </c>
      <c r="AG787" s="15" t="n">
        <v>0</v>
      </c>
      <c r="AH787" s="15" t="n">
        <v>0</v>
      </c>
    </row>
    <row r="788" customFormat="false" ht="23.85" hidden="false" customHeight="false" outlineLevel="0" collapsed="false">
      <c r="A788" s="15" t="s">
        <v>5406</v>
      </c>
      <c r="B788" s="15" t="s">
        <v>38</v>
      </c>
      <c r="C788" s="15" t="s">
        <v>2122</v>
      </c>
      <c r="D788" s="15" t="n">
        <v>83</v>
      </c>
      <c r="E788" s="15" t="s">
        <v>2277</v>
      </c>
      <c r="F788" s="15" t="n">
        <v>0</v>
      </c>
      <c r="G788" s="15" t="s">
        <v>129</v>
      </c>
      <c r="H788" s="15" t="s">
        <v>130</v>
      </c>
      <c r="I788" s="3" t="s">
        <v>5407</v>
      </c>
      <c r="J788" s="3" t="s">
        <v>5408</v>
      </c>
      <c r="K788" s="15" t="s">
        <v>133</v>
      </c>
      <c r="L788" s="18" t="s">
        <v>5</v>
      </c>
      <c r="M788" s="15" t="s">
        <v>426</v>
      </c>
      <c r="N788" s="15" t="s">
        <v>426</v>
      </c>
      <c r="O788" s="15"/>
      <c r="P788" s="15" t="s">
        <v>185</v>
      </c>
      <c r="Q788" s="15" t="s">
        <v>129</v>
      </c>
      <c r="R788" s="15" t="s">
        <v>185</v>
      </c>
      <c r="S788" s="15"/>
      <c r="T788" s="15"/>
      <c r="U788" s="3" t="s">
        <v>5409</v>
      </c>
      <c r="V788" s="3" t="s">
        <v>4268</v>
      </c>
      <c r="W788" s="3"/>
      <c r="X788" s="3"/>
      <c r="Y788" s="15" t="n">
        <v>0</v>
      </c>
      <c r="Z788" s="15" t="n">
        <v>0</v>
      </c>
      <c r="AA788" s="15" t="n">
        <v>0</v>
      </c>
      <c r="AB788" s="15" t="n">
        <v>0</v>
      </c>
      <c r="AC788" s="15" t="n">
        <v>0</v>
      </c>
      <c r="AD788" s="15" t="n">
        <v>0</v>
      </c>
      <c r="AE788" s="15" t="n">
        <v>0</v>
      </c>
      <c r="AF788" s="15" t="n">
        <v>0</v>
      </c>
      <c r="AG788" s="15" t="n">
        <v>0</v>
      </c>
      <c r="AH788" s="15" t="n">
        <v>0</v>
      </c>
    </row>
    <row r="789" customFormat="false" ht="35.05" hidden="false" customHeight="false" outlineLevel="0" collapsed="false">
      <c r="A789" s="15" t="s">
        <v>5410</v>
      </c>
      <c r="B789" s="15" t="s">
        <v>38</v>
      </c>
      <c r="C789" s="15" t="s">
        <v>2122</v>
      </c>
      <c r="D789" s="15" t="n">
        <v>83</v>
      </c>
      <c r="E789" s="15" t="s">
        <v>2277</v>
      </c>
      <c r="F789" s="15" t="n">
        <v>1</v>
      </c>
      <c r="G789" s="15" t="s">
        <v>197</v>
      </c>
      <c r="H789" s="15" t="s">
        <v>142</v>
      </c>
      <c r="I789" s="3" t="s">
        <v>5411</v>
      </c>
      <c r="J789" s="3" t="s">
        <v>5412</v>
      </c>
      <c r="K789" s="15" t="s">
        <v>145</v>
      </c>
      <c r="L789" s="16" t="s">
        <v>7</v>
      </c>
      <c r="M789" s="15" t="s">
        <v>66</v>
      </c>
      <c r="N789" s="15" t="s">
        <v>88</v>
      </c>
      <c r="O789" s="15" t="s">
        <v>88</v>
      </c>
      <c r="P789" s="15" t="s">
        <v>135</v>
      </c>
      <c r="Q789" s="15" t="s">
        <v>129</v>
      </c>
      <c r="R789" s="15" t="s">
        <v>185</v>
      </c>
      <c r="S789" s="15"/>
      <c r="T789" s="15"/>
      <c r="U789" s="3" t="s">
        <v>5413</v>
      </c>
      <c r="V789" s="3" t="s">
        <v>5414</v>
      </c>
      <c r="W789" s="3"/>
      <c r="X789" s="3" t="s">
        <v>5415</v>
      </c>
      <c r="Y789" s="15" t="n">
        <v>0</v>
      </c>
      <c r="Z789" s="15" t="n">
        <v>0</v>
      </c>
      <c r="AA789" s="15" t="n">
        <v>0</v>
      </c>
      <c r="AB789" s="15" t="n">
        <v>0</v>
      </c>
      <c r="AC789" s="15" t="n">
        <v>0</v>
      </c>
      <c r="AD789" s="15" t="n">
        <v>0</v>
      </c>
      <c r="AE789" s="15" t="n">
        <v>0</v>
      </c>
      <c r="AF789" s="15" t="n">
        <v>1</v>
      </c>
      <c r="AG789" s="15" t="n">
        <v>0</v>
      </c>
      <c r="AH789" s="15" t="n">
        <v>0</v>
      </c>
    </row>
    <row r="790" customFormat="false" ht="46.25" hidden="false" customHeight="false" outlineLevel="0" collapsed="false">
      <c r="A790" s="15" t="s">
        <v>5416</v>
      </c>
      <c r="B790" s="15" t="s">
        <v>38</v>
      </c>
      <c r="C790" s="15" t="s">
        <v>2122</v>
      </c>
      <c r="D790" s="15" t="n">
        <v>83</v>
      </c>
      <c r="E790" s="15" t="s">
        <v>2277</v>
      </c>
      <c r="F790" s="15" t="n">
        <v>2</v>
      </c>
      <c r="G790" s="15" t="s">
        <v>141</v>
      </c>
      <c r="H790" s="15" t="s">
        <v>142</v>
      </c>
      <c r="I790" s="3" t="s">
        <v>5417</v>
      </c>
      <c r="J790" s="3" t="s">
        <v>5418</v>
      </c>
      <c r="K790" s="15" t="s">
        <v>133</v>
      </c>
      <c r="L790" s="16" t="s">
        <v>7</v>
      </c>
      <c r="M790" s="15" t="s">
        <v>68</v>
      </c>
      <c r="N790" s="15" t="s">
        <v>83</v>
      </c>
      <c r="O790" s="15" t="s">
        <v>2117</v>
      </c>
      <c r="P790" s="15" t="s">
        <v>135</v>
      </c>
      <c r="Q790" s="15" t="s">
        <v>307</v>
      </c>
      <c r="R790" s="15" t="s">
        <v>135</v>
      </c>
      <c r="S790" s="15"/>
      <c r="T790" s="15"/>
      <c r="U790" s="3" t="s">
        <v>5419</v>
      </c>
      <c r="V790" s="3" t="s">
        <v>5420</v>
      </c>
      <c r="W790" s="3" t="s">
        <v>5421</v>
      </c>
      <c r="X790" s="3" t="s">
        <v>5422</v>
      </c>
      <c r="Y790" s="15" t="n">
        <v>0</v>
      </c>
      <c r="Z790" s="15" t="n">
        <v>0</v>
      </c>
      <c r="AA790" s="15" t="n">
        <v>1</v>
      </c>
      <c r="AB790" s="15" t="n">
        <v>1</v>
      </c>
      <c r="AC790" s="15" t="n">
        <v>0</v>
      </c>
      <c r="AD790" s="15" t="n">
        <v>0</v>
      </c>
      <c r="AE790" s="15" t="n">
        <v>0</v>
      </c>
      <c r="AF790" s="15" t="n">
        <v>1</v>
      </c>
      <c r="AG790" s="15" t="n">
        <v>0</v>
      </c>
      <c r="AH790" s="15" t="n">
        <v>0</v>
      </c>
    </row>
    <row r="791" customFormat="false" ht="79.85" hidden="false" customHeight="false" outlineLevel="0" collapsed="false">
      <c r="A791" s="15" t="s">
        <v>5423</v>
      </c>
      <c r="B791" s="15" t="s">
        <v>38</v>
      </c>
      <c r="C791" s="15" t="s">
        <v>2295</v>
      </c>
      <c r="D791" s="15" t="n">
        <v>23</v>
      </c>
      <c r="E791" s="15" t="s">
        <v>2296</v>
      </c>
      <c r="F791" s="15" t="n">
        <v>0</v>
      </c>
      <c r="G791" s="15" t="s">
        <v>129</v>
      </c>
      <c r="H791" s="15" t="s">
        <v>130</v>
      </c>
      <c r="I791" s="3" t="s">
        <v>5424</v>
      </c>
      <c r="J791" s="3" t="s">
        <v>5425</v>
      </c>
      <c r="K791" s="15" t="s">
        <v>145</v>
      </c>
      <c r="L791" s="16" t="s">
        <v>7</v>
      </c>
      <c r="M791" s="15" t="s">
        <v>68</v>
      </c>
      <c r="N791" s="15" t="s">
        <v>84</v>
      </c>
      <c r="O791" s="15" t="s">
        <v>3186</v>
      </c>
      <c r="P791" s="15" t="s">
        <v>185</v>
      </c>
      <c r="Q791" s="15" t="s">
        <v>129</v>
      </c>
      <c r="R791" s="15" t="s">
        <v>135</v>
      </c>
      <c r="S791" s="15"/>
      <c r="T791" s="15"/>
      <c r="U791" s="3" t="s">
        <v>5426</v>
      </c>
      <c r="V791" s="3" t="s">
        <v>5427</v>
      </c>
      <c r="W791" s="3"/>
      <c r="X791" s="3" t="s">
        <v>5428</v>
      </c>
      <c r="Y791" s="15" t="n">
        <v>0</v>
      </c>
      <c r="Z791" s="15" t="n">
        <v>0</v>
      </c>
      <c r="AA791" s="15" t="n">
        <v>0</v>
      </c>
      <c r="AB791" s="15" t="n">
        <v>1</v>
      </c>
      <c r="AC791" s="15" t="n">
        <v>0</v>
      </c>
      <c r="AD791" s="15" t="n">
        <v>0</v>
      </c>
      <c r="AE791" s="15" t="n">
        <v>1</v>
      </c>
      <c r="AF791" s="15" t="n">
        <v>0</v>
      </c>
      <c r="AG791" s="15" t="n">
        <v>0</v>
      </c>
      <c r="AH791" s="15" t="n">
        <v>0</v>
      </c>
    </row>
    <row r="792" customFormat="false" ht="46.25" hidden="false" customHeight="false" outlineLevel="0" collapsed="false">
      <c r="A792" s="15" t="s">
        <v>5429</v>
      </c>
      <c r="B792" s="15" t="s">
        <v>38</v>
      </c>
      <c r="C792" s="15" t="s">
        <v>2295</v>
      </c>
      <c r="D792" s="15" t="n">
        <v>23</v>
      </c>
      <c r="E792" s="15" t="s">
        <v>2296</v>
      </c>
      <c r="F792" s="15" t="n">
        <v>1</v>
      </c>
      <c r="G792" s="15" t="s">
        <v>197</v>
      </c>
      <c r="H792" s="15" t="s">
        <v>142</v>
      </c>
      <c r="I792" s="3" t="s">
        <v>5430</v>
      </c>
      <c r="J792" s="3" t="s">
        <v>5431</v>
      </c>
      <c r="K792" s="15" t="s">
        <v>133</v>
      </c>
      <c r="L792" s="16" t="s">
        <v>7</v>
      </c>
      <c r="M792" s="15" t="s">
        <v>66</v>
      </c>
      <c r="N792" s="15" t="s">
        <v>88</v>
      </c>
      <c r="O792" s="15" t="s">
        <v>231</v>
      </c>
      <c r="P792" s="15" t="s">
        <v>135</v>
      </c>
      <c r="Q792" s="15" t="s">
        <v>129</v>
      </c>
      <c r="R792" s="15" t="s">
        <v>185</v>
      </c>
      <c r="S792" s="15"/>
      <c r="T792" s="15"/>
      <c r="U792" s="3" t="s">
        <v>5432</v>
      </c>
      <c r="V792" s="3" t="s">
        <v>5433</v>
      </c>
      <c r="W792" s="3"/>
      <c r="X792" s="3" t="s">
        <v>5434</v>
      </c>
      <c r="Y792" s="15" t="n">
        <v>0</v>
      </c>
      <c r="Z792" s="15" t="n">
        <v>0</v>
      </c>
      <c r="AA792" s="15" t="n">
        <v>0</v>
      </c>
      <c r="AB792" s="15" t="n">
        <v>0</v>
      </c>
      <c r="AC792" s="15" t="n">
        <v>0</v>
      </c>
      <c r="AD792" s="15" t="n">
        <v>0</v>
      </c>
      <c r="AE792" s="15" t="n">
        <v>0</v>
      </c>
      <c r="AF792" s="15" t="n">
        <v>1</v>
      </c>
      <c r="AG792" s="15" t="n">
        <v>0</v>
      </c>
      <c r="AH792" s="15" t="n">
        <v>1</v>
      </c>
    </row>
    <row r="793" customFormat="false" ht="46.25" hidden="false" customHeight="false" outlineLevel="0" collapsed="false">
      <c r="A793" s="15" t="s">
        <v>5435</v>
      </c>
      <c r="B793" s="15" t="s">
        <v>38</v>
      </c>
      <c r="C793" s="15" t="s">
        <v>2295</v>
      </c>
      <c r="D793" s="15" t="n">
        <v>23</v>
      </c>
      <c r="E793" s="15" t="s">
        <v>2296</v>
      </c>
      <c r="F793" s="15" t="n">
        <v>2</v>
      </c>
      <c r="G793" s="15" t="s">
        <v>141</v>
      </c>
      <c r="H793" s="15" t="s">
        <v>142</v>
      </c>
      <c r="I793" s="3" t="s">
        <v>5436</v>
      </c>
      <c r="J793" s="3" t="s">
        <v>5437</v>
      </c>
      <c r="K793" s="15" t="s">
        <v>145</v>
      </c>
      <c r="L793" s="16" t="s">
        <v>7</v>
      </c>
      <c r="M793" s="15" t="s">
        <v>68</v>
      </c>
      <c r="N793" s="15" t="s">
        <v>84</v>
      </c>
      <c r="O793" s="15" t="s">
        <v>5438</v>
      </c>
      <c r="P793" s="15" t="s">
        <v>135</v>
      </c>
      <c r="Q793" s="15" t="s">
        <v>129</v>
      </c>
      <c r="R793" s="15" t="s">
        <v>135</v>
      </c>
      <c r="S793" s="15"/>
      <c r="T793" s="15"/>
      <c r="U793" s="3" t="s">
        <v>5439</v>
      </c>
      <c r="V793" s="3" t="s">
        <v>5440</v>
      </c>
      <c r="W793" s="3"/>
      <c r="X793" s="3" t="s">
        <v>5441</v>
      </c>
      <c r="Y793" s="15" t="n">
        <v>0</v>
      </c>
      <c r="Z793" s="15" t="n">
        <v>0</v>
      </c>
      <c r="AA793" s="15" t="n">
        <v>0</v>
      </c>
      <c r="AB793" s="15" t="n">
        <v>1</v>
      </c>
      <c r="AC793" s="15" t="n">
        <v>0</v>
      </c>
      <c r="AD793" s="15" t="n">
        <v>0</v>
      </c>
      <c r="AE793" s="15" t="n">
        <v>1</v>
      </c>
      <c r="AF793" s="15" t="n">
        <v>1</v>
      </c>
      <c r="AG793" s="15" t="n">
        <v>0</v>
      </c>
      <c r="AH793" s="15" t="n">
        <v>1</v>
      </c>
    </row>
    <row r="794" customFormat="false" ht="68.65" hidden="false" customHeight="false" outlineLevel="0" collapsed="false">
      <c r="A794" s="15" t="s">
        <v>5442</v>
      </c>
      <c r="B794" s="15" t="s">
        <v>38</v>
      </c>
      <c r="C794" s="15" t="s">
        <v>2295</v>
      </c>
      <c r="D794" s="15" t="n">
        <v>42</v>
      </c>
      <c r="E794" s="15" t="s">
        <v>2319</v>
      </c>
      <c r="F794" s="15" t="n">
        <v>0</v>
      </c>
      <c r="G794" s="15" t="s">
        <v>197</v>
      </c>
      <c r="H794" s="15" t="s">
        <v>142</v>
      </c>
      <c r="I794" s="3" t="s">
        <v>5443</v>
      </c>
      <c r="J794" s="3" t="s">
        <v>5444</v>
      </c>
      <c r="K794" s="15" t="s">
        <v>133</v>
      </c>
      <c r="L794" s="16" t="s">
        <v>7</v>
      </c>
      <c r="M794" s="15" t="s">
        <v>68</v>
      </c>
      <c r="N794" s="15" t="s">
        <v>84</v>
      </c>
      <c r="O794" s="15" t="s">
        <v>4358</v>
      </c>
      <c r="P794" s="15" t="s">
        <v>135</v>
      </c>
      <c r="Q794" s="15" t="s">
        <v>152</v>
      </c>
      <c r="R794" s="15" t="s">
        <v>135</v>
      </c>
      <c r="S794" s="15"/>
      <c r="T794" s="15"/>
      <c r="U794" s="3" t="s">
        <v>5445</v>
      </c>
      <c r="V794" s="3" t="s">
        <v>5446</v>
      </c>
      <c r="W794" s="3" t="s">
        <v>5447</v>
      </c>
      <c r="X794" s="3" t="s">
        <v>5448</v>
      </c>
      <c r="Y794" s="15" t="n">
        <v>0</v>
      </c>
      <c r="Z794" s="15" t="n">
        <v>0</v>
      </c>
      <c r="AA794" s="15" t="n">
        <v>0</v>
      </c>
      <c r="AB794" s="15" t="n">
        <v>1</v>
      </c>
      <c r="AC794" s="15" t="n">
        <v>0</v>
      </c>
      <c r="AD794" s="15" t="n">
        <v>0</v>
      </c>
      <c r="AE794" s="15" t="n">
        <v>1</v>
      </c>
      <c r="AF794" s="15" t="n">
        <v>1</v>
      </c>
      <c r="AG794" s="15" t="n">
        <v>0</v>
      </c>
      <c r="AH794" s="15" t="n">
        <v>0</v>
      </c>
    </row>
    <row r="795" customFormat="false" ht="35.05" hidden="false" customHeight="false" outlineLevel="0" collapsed="false">
      <c r="A795" s="15" t="s">
        <v>5449</v>
      </c>
      <c r="B795" s="15" t="s">
        <v>38</v>
      </c>
      <c r="C795" s="15" t="s">
        <v>2295</v>
      </c>
      <c r="D795" s="15" t="n">
        <v>42</v>
      </c>
      <c r="E795" s="15" t="s">
        <v>2319</v>
      </c>
      <c r="F795" s="15" t="n">
        <v>1</v>
      </c>
      <c r="G795" s="15" t="s">
        <v>129</v>
      </c>
      <c r="H795" s="15" t="s">
        <v>130</v>
      </c>
      <c r="I795" s="3" t="s">
        <v>5450</v>
      </c>
      <c r="J795" s="3" t="s">
        <v>5451</v>
      </c>
      <c r="K795" s="15" t="s">
        <v>145</v>
      </c>
      <c r="L795" s="16" t="s">
        <v>7</v>
      </c>
      <c r="M795" s="15" t="s">
        <v>68</v>
      </c>
      <c r="N795" s="15" t="s">
        <v>82</v>
      </c>
      <c r="O795" s="15" t="s">
        <v>82</v>
      </c>
      <c r="P795" s="15" t="s">
        <v>185</v>
      </c>
      <c r="Q795" s="15" t="s">
        <v>129</v>
      </c>
      <c r="R795" s="15" t="s">
        <v>135</v>
      </c>
      <c r="S795" s="15"/>
      <c r="T795" s="15"/>
      <c r="U795" s="3" t="s">
        <v>5452</v>
      </c>
      <c r="V795" s="3" t="s">
        <v>5453</v>
      </c>
      <c r="W795" s="3"/>
      <c r="X795" s="3" t="s">
        <v>5454</v>
      </c>
      <c r="Y795" s="15" t="n">
        <v>0</v>
      </c>
      <c r="Z795" s="15" t="n">
        <v>1</v>
      </c>
      <c r="AA795" s="15" t="n">
        <v>0</v>
      </c>
      <c r="AB795" s="15" t="n">
        <v>0</v>
      </c>
      <c r="AC795" s="15" t="n">
        <v>0</v>
      </c>
      <c r="AD795" s="15" t="n">
        <v>0</v>
      </c>
      <c r="AE795" s="15" t="n">
        <v>0</v>
      </c>
      <c r="AF795" s="15" t="n">
        <v>0</v>
      </c>
      <c r="AG795" s="15" t="n">
        <v>0</v>
      </c>
      <c r="AH795" s="15" t="n">
        <v>0</v>
      </c>
    </row>
    <row r="796" customFormat="false" ht="57.45" hidden="false" customHeight="false" outlineLevel="0" collapsed="false">
      <c r="A796" s="15" t="s">
        <v>5455</v>
      </c>
      <c r="B796" s="15" t="s">
        <v>38</v>
      </c>
      <c r="C796" s="15" t="s">
        <v>2295</v>
      </c>
      <c r="D796" s="15" t="n">
        <v>42</v>
      </c>
      <c r="E796" s="15" t="s">
        <v>2319</v>
      </c>
      <c r="F796" s="15" t="n">
        <v>2</v>
      </c>
      <c r="G796" s="15" t="s">
        <v>141</v>
      </c>
      <c r="H796" s="15" t="s">
        <v>142</v>
      </c>
      <c r="I796" s="3" t="s">
        <v>5456</v>
      </c>
      <c r="J796" s="3" t="s">
        <v>5457</v>
      </c>
      <c r="K796" s="15" t="s">
        <v>133</v>
      </c>
      <c r="L796" s="16" t="s">
        <v>7</v>
      </c>
      <c r="M796" s="15" t="s">
        <v>68</v>
      </c>
      <c r="N796" s="15" t="s">
        <v>82</v>
      </c>
      <c r="O796" s="15" t="s">
        <v>215</v>
      </c>
      <c r="P796" s="15" t="s">
        <v>135</v>
      </c>
      <c r="Q796" s="15" t="s">
        <v>129</v>
      </c>
      <c r="R796" s="15" t="s">
        <v>135</v>
      </c>
      <c r="S796" s="15"/>
      <c r="T796" s="15"/>
      <c r="U796" s="3" t="s">
        <v>5458</v>
      </c>
      <c r="V796" s="3" t="s">
        <v>5459</v>
      </c>
      <c r="W796" s="3"/>
      <c r="X796" s="3" t="s">
        <v>5460</v>
      </c>
      <c r="Y796" s="15" t="n">
        <v>0</v>
      </c>
      <c r="Z796" s="15" t="n">
        <v>1</v>
      </c>
      <c r="AA796" s="15" t="n">
        <v>0</v>
      </c>
      <c r="AB796" s="15" t="n">
        <v>0</v>
      </c>
      <c r="AC796" s="15" t="n">
        <v>0</v>
      </c>
      <c r="AD796" s="15" t="n">
        <v>0</v>
      </c>
      <c r="AE796" s="15" t="n">
        <v>0</v>
      </c>
      <c r="AF796" s="15" t="n">
        <v>1</v>
      </c>
      <c r="AG796" s="15" t="n">
        <v>0</v>
      </c>
      <c r="AH796" s="15" t="n">
        <v>0</v>
      </c>
    </row>
    <row r="797" customFormat="false" ht="23.85" hidden="false" customHeight="false" outlineLevel="0" collapsed="false">
      <c r="A797" s="15" t="s">
        <v>5461</v>
      </c>
      <c r="B797" s="15" t="s">
        <v>38</v>
      </c>
      <c r="C797" s="15" t="s">
        <v>2295</v>
      </c>
      <c r="D797" s="15" t="n">
        <v>43</v>
      </c>
      <c r="E797" s="15" t="s">
        <v>2337</v>
      </c>
      <c r="F797" s="15" t="n">
        <v>0</v>
      </c>
      <c r="G797" s="15" t="s">
        <v>129</v>
      </c>
      <c r="H797" s="15" t="s">
        <v>130</v>
      </c>
      <c r="I797" s="3" t="s">
        <v>5462</v>
      </c>
      <c r="J797" s="3" t="s">
        <v>3838</v>
      </c>
      <c r="K797" s="15" t="s">
        <v>133</v>
      </c>
      <c r="L797" s="18" t="s">
        <v>5</v>
      </c>
      <c r="M797" s="15" t="s">
        <v>426</v>
      </c>
      <c r="N797" s="15" t="s">
        <v>426</v>
      </c>
      <c r="O797" s="15"/>
      <c r="P797" s="15" t="s">
        <v>185</v>
      </c>
      <c r="Q797" s="15" t="s">
        <v>129</v>
      </c>
      <c r="R797" s="15" t="s">
        <v>185</v>
      </c>
      <c r="S797" s="15"/>
      <c r="T797" s="15"/>
      <c r="U797" s="3" t="s">
        <v>5463</v>
      </c>
      <c r="V797" s="3" t="s">
        <v>4313</v>
      </c>
      <c r="W797" s="3"/>
      <c r="X797" s="3"/>
      <c r="Y797" s="15" t="n">
        <v>0</v>
      </c>
      <c r="Z797" s="15" t="n">
        <v>0</v>
      </c>
      <c r="AA797" s="15" t="n">
        <v>0</v>
      </c>
      <c r="AB797" s="15" t="n">
        <v>0</v>
      </c>
      <c r="AC797" s="15" t="n">
        <v>0</v>
      </c>
      <c r="AD797" s="15" t="n">
        <v>0</v>
      </c>
      <c r="AE797" s="15" t="n">
        <v>0</v>
      </c>
      <c r="AF797" s="15" t="n">
        <v>0</v>
      </c>
      <c r="AG797" s="15" t="n">
        <v>0</v>
      </c>
      <c r="AH797" s="15" t="n">
        <v>0</v>
      </c>
    </row>
    <row r="798" customFormat="false" ht="46.25" hidden="false" customHeight="false" outlineLevel="0" collapsed="false">
      <c r="A798" s="15" t="s">
        <v>5464</v>
      </c>
      <c r="B798" s="15" t="s">
        <v>38</v>
      </c>
      <c r="C798" s="15" t="s">
        <v>2295</v>
      </c>
      <c r="D798" s="15" t="n">
        <v>43</v>
      </c>
      <c r="E798" s="15" t="s">
        <v>2337</v>
      </c>
      <c r="F798" s="15" t="n">
        <v>1</v>
      </c>
      <c r="G798" s="15" t="s">
        <v>197</v>
      </c>
      <c r="H798" s="15" t="s">
        <v>142</v>
      </c>
      <c r="I798" s="3" t="s">
        <v>5465</v>
      </c>
      <c r="J798" s="3" t="s">
        <v>5466</v>
      </c>
      <c r="K798" s="15" t="s">
        <v>145</v>
      </c>
      <c r="L798" s="16" t="s">
        <v>7</v>
      </c>
      <c r="M798" s="15" t="s">
        <v>68</v>
      </c>
      <c r="N798" s="15" t="s">
        <v>84</v>
      </c>
      <c r="O798" s="15" t="s">
        <v>2307</v>
      </c>
      <c r="P798" s="15" t="s">
        <v>135</v>
      </c>
      <c r="Q798" s="15" t="s">
        <v>129</v>
      </c>
      <c r="R798" s="15" t="s">
        <v>135</v>
      </c>
      <c r="S798" s="15"/>
      <c r="T798" s="15"/>
      <c r="U798" s="3" t="s">
        <v>5467</v>
      </c>
      <c r="V798" s="3" t="s">
        <v>5468</v>
      </c>
      <c r="W798" s="3" t="s">
        <v>5469</v>
      </c>
      <c r="X798" s="3" t="s">
        <v>5470</v>
      </c>
      <c r="Y798" s="15" t="n">
        <v>0</v>
      </c>
      <c r="Z798" s="15" t="n">
        <v>0</v>
      </c>
      <c r="AA798" s="15" t="n">
        <v>0</v>
      </c>
      <c r="AB798" s="15" t="n">
        <v>1</v>
      </c>
      <c r="AC798" s="15" t="n">
        <v>0</v>
      </c>
      <c r="AD798" s="15" t="n">
        <v>0</v>
      </c>
      <c r="AE798" s="15" t="n">
        <v>0</v>
      </c>
      <c r="AF798" s="15" t="n">
        <v>1</v>
      </c>
      <c r="AG798" s="15" t="n">
        <v>0</v>
      </c>
      <c r="AH798" s="15" t="n">
        <v>1</v>
      </c>
    </row>
    <row r="799" customFormat="false" ht="35.05" hidden="false" customHeight="false" outlineLevel="0" collapsed="false">
      <c r="A799" s="15" t="s">
        <v>5471</v>
      </c>
      <c r="B799" s="15" t="s">
        <v>38</v>
      </c>
      <c r="C799" s="15" t="s">
        <v>2295</v>
      </c>
      <c r="D799" s="15" t="n">
        <v>43</v>
      </c>
      <c r="E799" s="15" t="s">
        <v>2337</v>
      </c>
      <c r="F799" s="15" t="n">
        <v>2</v>
      </c>
      <c r="G799" s="15" t="s">
        <v>141</v>
      </c>
      <c r="H799" s="15" t="s">
        <v>142</v>
      </c>
      <c r="I799" s="3" t="s">
        <v>5462</v>
      </c>
      <c r="J799" s="3" t="s">
        <v>5472</v>
      </c>
      <c r="K799" s="15" t="s">
        <v>145</v>
      </c>
      <c r="L799" s="16" t="s">
        <v>7</v>
      </c>
      <c r="M799" s="15" t="s">
        <v>66</v>
      </c>
      <c r="N799" s="15" t="s">
        <v>88</v>
      </c>
      <c r="O799" s="15" t="s">
        <v>3940</v>
      </c>
      <c r="P799" s="15" t="s">
        <v>135</v>
      </c>
      <c r="Q799" s="15" t="s">
        <v>129</v>
      </c>
      <c r="R799" s="15" t="s">
        <v>185</v>
      </c>
      <c r="S799" s="15"/>
      <c r="T799" s="15"/>
      <c r="U799" s="3" t="s">
        <v>5463</v>
      </c>
      <c r="V799" s="3" t="s">
        <v>5473</v>
      </c>
      <c r="W799" s="3"/>
      <c r="X799" s="3" t="s">
        <v>5474</v>
      </c>
      <c r="Y799" s="15" t="n">
        <v>0</v>
      </c>
      <c r="Z799" s="15" t="n">
        <v>0</v>
      </c>
      <c r="AA799" s="15" t="n">
        <v>0</v>
      </c>
      <c r="AB799" s="15" t="n">
        <v>0</v>
      </c>
      <c r="AC799" s="15" t="n">
        <v>0</v>
      </c>
      <c r="AD799" s="15" t="n">
        <v>0</v>
      </c>
      <c r="AE799" s="15" t="n">
        <v>0</v>
      </c>
      <c r="AF799" s="15" t="n">
        <v>1</v>
      </c>
      <c r="AG799" s="15" t="n">
        <v>1</v>
      </c>
      <c r="AH799" s="15" t="n">
        <v>0</v>
      </c>
    </row>
    <row r="800" customFormat="false" ht="35.05" hidden="false" customHeight="false" outlineLevel="0" collapsed="false">
      <c r="A800" s="15" t="s">
        <v>5475</v>
      </c>
      <c r="B800" s="15" t="s">
        <v>38</v>
      </c>
      <c r="C800" s="15" t="s">
        <v>2295</v>
      </c>
      <c r="D800" s="15" t="n">
        <v>53</v>
      </c>
      <c r="E800" s="15" t="s">
        <v>2355</v>
      </c>
      <c r="F800" s="15" t="n">
        <v>0</v>
      </c>
      <c r="G800" s="15" t="s">
        <v>129</v>
      </c>
      <c r="H800" s="15" t="s">
        <v>130</v>
      </c>
      <c r="I800" s="3" t="s">
        <v>5476</v>
      </c>
      <c r="J800" s="3" t="s">
        <v>5477</v>
      </c>
      <c r="K800" s="15" t="s">
        <v>133</v>
      </c>
      <c r="L800" s="18" t="s">
        <v>5</v>
      </c>
      <c r="M800" s="15" t="s">
        <v>426</v>
      </c>
      <c r="N800" s="15" t="s">
        <v>426</v>
      </c>
      <c r="O800" s="15"/>
      <c r="P800" s="15" t="s">
        <v>185</v>
      </c>
      <c r="Q800" s="15" t="s">
        <v>129</v>
      </c>
      <c r="R800" s="15" t="s">
        <v>185</v>
      </c>
      <c r="S800" s="15"/>
      <c r="T800" s="15"/>
      <c r="U800" s="3" t="s">
        <v>5478</v>
      </c>
      <c r="V800" s="3" t="s">
        <v>4524</v>
      </c>
      <c r="W800" s="3"/>
      <c r="X800" s="3"/>
      <c r="Y800" s="15" t="n">
        <v>0</v>
      </c>
      <c r="Z800" s="15" t="n">
        <v>0</v>
      </c>
      <c r="AA800" s="15" t="n">
        <v>0</v>
      </c>
      <c r="AB800" s="15" t="n">
        <v>0</v>
      </c>
      <c r="AC800" s="15" t="n">
        <v>0</v>
      </c>
      <c r="AD800" s="15" t="n">
        <v>0</v>
      </c>
      <c r="AE800" s="15" t="n">
        <v>0</v>
      </c>
      <c r="AF800" s="15" t="n">
        <v>0</v>
      </c>
      <c r="AG800" s="15" t="n">
        <v>0</v>
      </c>
      <c r="AH800" s="15" t="n">
        <v>0</v>
      </c>
    </row>
    <row r="801" customFormat="false" ht="57.45" hidden="false" customHeight="false" outlineLevel="0" collapsed="false">
      <c r="A801" s="15" t="s">
        <v>5479</v>
      </c>
      <c r="B801" s="15" t="s">
        <v>38</v>
      </c>
      <c r="C801" s="15" t="s">
        <v>2295</v>
      </c>
      <c r="D801" s="15" t="n">
        <v>53</v>
      </c>
      <c r="E801" s="15" t="s">
        <v>2355</v>
      </c>
      <c r="F801" s="15" t="n">
        <v>1</v>
      </c>
      <c r="G801" s="15" t="s">
        <v>197</v>
      </c>
      <c r="H801" s="15" t="s">
        <v>142</v>
      </c>
      <c r="I801" s="3" t="s">
        <v>5480</v>
      </c>
      <c r="J801" s="3" t="s">
        <v>5481</v>
      </c>
      <c r="K801" s="15" t="s">
        <v>145</v>
      </c>
      <c r="L801" s="16" t="s">
        <v>7</v>
      </c>
      <c r="M801" s="15" t="s">
        <v>68</v>
      </c>
      <c r="N801" s="15" t="s">
        <v>82</v>
      </c>
      <c r="O801" s="15" t="s">
        <v>271</v>
      </c>
      <c r="P801" s="15" t="s">
        <v>185</v>
      </c>
      <c r="Q801" s="15" t="s">
        <v>197</v>
      </c>
      <c r="R801" s="15" t="s">
        <v>135</v>
      </c>
      <c r="S801" s="15"/>
      <c r="T801" s="15"/>
      <c r="U801" s="3" t="s">
        <v>5482</v>
      </c>
      <c r="V801" s="3" t="s">
        <v>5483</v>
      </c>
      <c r="W801" s="3"/>
      <c r="X801" s="3" t="s">
        <v>5484</v>
      </c>
      <c r="Y801" s="15" t="n">
        <v>0</v>
      </c>
      <c r="Z801" s="15" t="n">
        <v>1</v>
      </c>
      <c r="AA801" s="15" t="n">
        <v>0</v>
      </c>
      <c r="AB801" s="15" t="n">
        <v>1</v>
      </c>
      <c r="AC801" s="15" t="n">
        <v>0</v>
      </c>
      <c r="AD801" s="15" t="n">
        <v>0</v>
      </c>
      <c r="AE801" s="15" t="n">
        <v>0</v>
      </c>
      <c r="AF801" s="15" t="n">
        <v>0</v>
      </c>
      <c r="AG801" s="15" t="n">
        <v>0</v>
      </c>
      <c r="AH801" s="15" t="n">
        <v>0</v>
      </c>
    </row>
    <row r="802" customFormat="false" ht="57.45" hidden="false" customHeight="false" outlineLevel="0" collapsed="false">
      <c r="A802" s="15" t="s">
        <v>5485</v>
      </c>
      <c r="B802" s="15" t="s">
        <v>38</v>
      </c>
      <c r="C802" s="15" t="s">
        <v>2295</v>
      </c>
      <c r="D802" s="15" t="n">
        <v>53</v>
      </c>
      <c r="E802" s="15" t="s">
        <v>2355</v>
      </c>
      <c r="F802" s="15" t="n">
        <v>2</v>
      </c>
      <c r="G802" s="15" t="s">
        <v>141</v>
      </c>
      <c r="H802" s="15" t="s">
        <v>142</v>
      </c>
      <c r="I802" s="3" t="s">
        <v>5486</v>
      </c>
      <c r="J802" s="3" t="s">
        <v>5487</v>
      </c>
      <c r="K802" s="15" t="s">
        <v>133</v>
      </c>
      <c r="L802" s="16" t="s">
        <v>7</v>
      </c>
      <c r="M802" s="15" t="s">
        <v>66</v>
      </c>
      <c r="N802" s="15" t="s">
        <v>88</v>
      </c>
      <c r="O802" s="15" t="s">
        <v>88</v>
      </c>
      <c r="P802" s="15" t="s">
        <v>135</v>
      </c>
      <c r="Q802" s="15" t="s">
        <v>129</v>
      </c>
      <c r="R802" s="15" t="s">
        <v>185</v>
      </c>
      <c r="S802" s="15"/>
      <c r="T802" s="15"/>
      <c r="U802" s="3" t="s">
        <v>5488</v>
      </c>
      <c r="V802" s="3" t="s">
        <v>5489</v>
      </c>
      <c r="W802" s="3"/>
      <c r="X802" s="3" t="s">
        <v>5490</v>
      </c>
      <c r="Y802" s="15" t="n">
        <v>0</v>
      </c>
      <c r="Z802" s="15" t="n">
        <v>0</v>
      </c>
      <c r="AA802" s="15" t="n">
        <v>0</v>
      </c>
      <c r="AB802" s="15" t="n">
        <v>0</v>
      </c>
      <c r="AC802" s="15" t="n">
        <v>0</v>
      </c>
      <c r="AD802" s="15" t="n">
        <v>0</v>
      </c>
      <c r="AE802" s="15" t="n">
        <v>0</v>
      </c>
      <c r="AF802" s="15" t="n">
        <v>1</v>
      </c>
      <c r="AG802" s="15" t="n">
        <v>0</v>
      </c>
      <c r="AH802" s="15" t="n">
        <v>0</v>
      </c>
    </row>
    <row r="803" customFormat="false" ht="35.05" hidden="false" customHeight="false" outlineLevel="0" collapsed="false">
      <c r="A803" s="15" t="s">
        <v>5491</v>
      </c>
      <c r="B803" s="15" t="s">
        <v>38</v>
      </c>
      <c r="C803" s="15" t="s">
        <v>2295</v>
      </c>
      <c r="D803" s="15" t="n">
        <v>63</v>
      </c>
      <c r="E803" s="15" t="s">
        <v>2377</v>
      </c>
      <c r="F803" s="15" t="n">
        <v>0</v>
      </c>
      <c r="G803" s="15" t="s">
        <v>129</v>
      </c>
      <c r="H803" s="15" t="s">
        <v>130</v>
      </c>
      <c r="I803" s="3" t="s">
        <v>5492</v>
      </c>
      <c r="J803" s="3" t="s">
        <v>5493</v>
      </c>
      <c r="K803" s="15" t="s">
        <v>133</v>
      </c>
      <c r="L803" s="18" t="s">
        <v>5</v>
      </c>
      <c r="M803" s="15" t="s">
        <v>426</v>
      </c>
      <c r="N803" s="15" t="s">
        <v>426</v>
      </c>
      <c r="O803" s="15"/>
      <c r="P803" s="15" t="s">
        <v>185</v>
      </c>
      <c r="Q803" s="15" t="s">
        <v>129</v>
      </c>
      <c r="R803" s="15" t="s">
        <v>185</v>
      </c>
      <c r="S803" s="15"/>
      <c r="T803" s="15"/>
      <c r="U803" s="3" t="s">
        <v>5494</v>
      </c>
      <c r="V803" s="3" t="s">
        <v>5495</v>
      </c>
      <c r="W803" s="3"/>
      <c r="X803" s="3"/>
      <c r="Y803" s="15" t="n">
        <v>0</v>
      </c>
      <c r="Z803" s="15" t="n">
        <v>0</v>
      </c>
      <c r="AA803" s="15" t="n">
        <v>0</v>
      </c>
      <c r="AB803" s="15" t="n">
        <v>0</v>
      </c>
      <c r="AC803" s="15" t="n">
        <v>0</v>
      </c>
      <c r="AD803" s="15" t="n">
        <v>0</v>
      </c>
      <c r="AE803" s="15" t="n">
        <v>0</v>
      </c>
      <c r="AF803" s="15" t="n">
        <v>0</v>
      </c>
      <c r="AG803" s="15" t="n">
        <v>0</v>
      </c>
      <c r="AH803" s="15" t="n">
        <v>0</v>
      </c>
    </row>
    <row r="804" customFormat="false" ht="46.25" hidden="false" customHeight="false" outlineLevel="0" collapsed="false">
      <c r="A804" s="15" t="s">
        <v>5496</v>
      </c>
      <c r="B804" s="15" t="s">
        <v>38</v>
      </c>
      <c r="C804" s="15" t="s">
        <v>2295</v>
      </c>
      <c r="D804" s="15" t="n">
        <v>63</v>
      </c>
      <c r="E804" s="15" t="s">
        <v>2377</v>
      </c>
      <c r="F804" s="15" t="n">
        <v>1</v>
      </c>
      <c r="G804" s="15" t="s">
        <v>197</v>
      </c>
      <c r="H804" s="15" t="s">
        <v>142</v>
      </c>
      <c r="I804" s="3" t="s">
        <v>5497</v>
      </c>
      <c r="J804" s="3" t="s">
        <v>5498</v>
      </c>
      <c r="K804" s="15" t="s">
        <v>145</v>
      </c>
      <c r="L804" s="16" t="s">
        <v>7</v>
      </c>
      <c r="M804" s="15" t="s">
        <v>66</v>
      </c>
      <c r="N804" s="15" t="s">
        <v>88</v>
      </c>
      <c r="O804" s="15" t="s">
        <v>5499</v>
      </c>
      <c r="P804" s="15" t="s">
        <v>135</v>
      </c>
      <c r="Q804" s="15" t="s">
        <v>129</v>
      </c>
      <c r="R804" s="15" t="s">
        <v>135</v>
      </c>
      <c r="S804" s="15"/>
      <c r="T804" s="15"/>
      <c r="U804" s="3" t="s">
        <v>5500</v>
      </c>
      <c r="V804" s="3" t="s">
        <v>5501</v>
      </c>
      <c r="W804" s="3" t="s">
        <v>5502</v>
      </c>
      <c r="X804" s="3" t="s">
        <v>5503</v>
      </c>
      <c r="Y804" s="15" t="n">
        <v>0</v>
      </c>
      <c r="Z804" s="15" t="n">
        <v>0</v>
      </c>
      <c r="AA804" s="15" t="n">
        <v>0</v>
      </c>
      <c r="AB804" s="15" t="n">
        <v>0</v>
      </c>
      <c r="AC804" s="15" t="n">
        <v>0</v>
      </c>
      <c r="AD804" s="15" t="n">
        <v>0</v>
      </c>
      <c r="AE804" s="15" t="n">
        <v>1</v>
      </c>
      <c r="AF804" s="15" t="n">
        <v>1</v>
      </c>
      <c r="AG804" s="15" t="n">
        <v>0</v>
      </c>
      <c r="AH804" s="15" t="n">
        <v>1</v>
      </c>
    </row>
    <row r="805" customFormat="false" ht="46.25" hidden="false" customHeight="false" outlineLevel="0" collapsed="false">
      <c r="A805" s="15" t="s">
        <v>5504</v>
      </c>
      <c r="B805" s="15" t="s">
        <v>38</v>
      </c>
      <c r="C805" s="15" t="s">
        <v>2295</v>
      </c>
      <c r="D805" s="15" t="n">
        <v>63</v>
      </c>
      <c r="E805" s="15" t="s">
        <v>2377</v>
      </c>
      <c r="F805" s="15" t="n">
        <v>2</v>
      </c>
      <c r="G805" s="15" t="s">
        <v>141</v>
      </c>
      <c r="H805" s="15" t="s">
        <v>142</v>
      </c>
      <c r="I805" s="3" t="s">
        <v>5505</v>
      </c>
      <c r="J805" s="3" t="s">
        <v>5506</v>
      </c>
      <c r="K805" s="15" t="s">
        <v>133</v>
      </c>
      <c r="L805" s="16" t="s">
        <v>7</v>
      </c>
      <c r="M805" s="15" t="s">
        <v>68</v>
      </c>
      <c r="N805" s="15" t="s">
        <v>82</v>
      </c>
      <c r="O805" s="15" t="s">
        <v>134</v>
      </c>
      <c r="P805" s="15" t="s">
        <v>135</v>
      </c>
      <c r="Q805" s="15" t="s">
        <v>129</v>
      </c>
      <c r="R805" s="15" t="s">
        <v>135</v>
      </c>
      <c r="S805" s="15"/>
      <c r="T805" s="15"/>
      <c r="U805" s="3" t="s">
        <v>5507</v>
      </c>
      <c r="V805" s="3" t="s">
        <v>5508</v>
      </c>
      <c r="W805" s="3"/>
      <c r="X805" s="3" t="s">
        <v>5509</v>
      </c>
      <c r="Y805" s="15" t="n">
        <v>0</v>
      </c>
      <c r="Z805" s="15" t="n">
        <v>1</v>
      </c>
      <c r="AA805" s="15" t="n">
        <v>0</v>
      </c>
      <c r="AB805" s="15" t="n">
        <v>0</v>
      </c>
      <c r="AC805" s="15" t="n">
        <v>0</v>
      </c>
      <c r="AD805" s="15" t="n">
        <v>1</v>
      </c>
      <c r="AE805" s="15" t="n">
        <v>0</v>
      </c>
      <c r="AF805" s="15" t="n">
        <v>1</v>
      </c>
      <c r="AG805" s="15" t="n">
        <v>0</v>
      </c>
      <c r="AH805" s="15" t="n">
        <v>0</v>
      </c>
    </row>
    <row r="806" customFormat="false" ht="35.05" hidden="false" customHeight="false" outlineLevel="0" collapsed="false">
      <c r="A806" s="15" t="s">
        <v>5510</v>
      </c>
      <c r="B806" s="15" t="s">
        <v>38</v>
      </c>
      <c r="C806" s="15" t="s">
        <v>2295</v>
      </c>
      <c r="D806" s="15" t="n">
        <v>75</v>
      </c>
      <c r="E806" s="15" t="s">
        <v>2396</v>
      </c>
      <c r="F806" s="15" t="n">
        <v>0</v>
      </c>
      <c r="G806" s="15" t="s">
        <v>129</v>
      </c>
      <c r="H806" s="15" t="s">
        <v>130</v>
      </c>
      <c r="I806" s="3" t="s">
        <v>5511</v>
      </c>
      <c r="J806" s="3" t="s">
        <v>5512</v>
      </c>
      <c r="K806" s="15" t="s">
        <v>133</v>
      </c>
      <c r="L806" s="17" t="s">
        <v>9</v>
      </c>
      <c r="M806" s="15" t="s">
        <v>70</v>
      </c>
      <c r="N806" s="15" t="s">
        <v>81</v>
      </c>
      <c r="O806" s="15" t="s">
        <v>5513</v>
      </c>
      <c r="P806" s="15" t="s">
        <v>185</v>
      </c>
      <c r="Q806" s="15" t="s">
        <v>129</v>
      </c>
      <c r="R806" s="15" t="s">
        <v>135</v>
      </c>
      <c r="S806" s="15" t="s">
        <v>405</v>
      </c>
      <c r="T806" s="15" t="s">
        <v>342</v>
      </c>
      <c r="U806" s="3" t="s">
        <v>5514</v>
      </c>
      <c r="V806" s="3" t="s">
        <v>5515</v>
      </c>
      <c r="W806" s="3"/>
      <c r="X806" s="3"/>
      <c r="Y806" s="15" t="n">
        <v>1</v>
      </c>
      <c r="Z806" s="15" t="n">
        <v>0</v>
      </c>
      <c r="AA806" s="15" t="n">
        <v>0</v>
      </c>
      <c r="AB806" s="15" t="n">
        <v>0</v>
      </c>
      <c r="AC806" s="15" t="n">
        <v>0</v>
      </c>
      <c r="AD806" s="15" t="n">
        <v>0</v>
      </c>
      <c r="AE806" s="15" t="n">
        <v>1</v>
      </c>
      <c r="AF806" s="15" t="n">
        <v>0</v>
      </c>
      <c r="AG806" s="15" t="n">
        <v>0</v>
      </c>
      <c r="AH806" s="15" t="n">
        <v>0</v>
      </c>
    </row>
    <row r="807" customFormat="false" ht="35.05" hidden="false" customHeight="false" outlineLevel="0" collapsed="false">
      <c r="A807" s="15" t="s">
        <v>5516</v>
      </c>
      <c r="B807" s="15" t="s">
        <v>38</v>
      </c>
      <c r="C807" s="15" t="s">
        <v>2295</v>
      </c>
      <c r="D807" s="15" t="n">
        <v>75</v>
      </c>
      <c r="E807" s="15" t="s">
        <v>2396</v>
      </c>
      <c r="F807" s="15" t="n">
        <v>1</v>
      </c>
      <c r="G807" s="15" t="s">
        <v>152</v>
      </c>
      <c r="H807" s="15" t="s">
        <v>142</v>
      </c>
      <c r="I807" s="3" t="s">
        <v>5517</v>
      </c>
      <c r="J807" s="3" t="s">
        <v>5512</v>
      </c>
      <c r="K807" s="15" t="s">
        <v>133</v>
      </c>
      <c r="L807" s="16" t="s">
        <v>7</v>
      </c>
      <c r="M807" s="15" t="s">
        <v>68</v>
      </c>
      <c r="N807" s="15" t="s">
        <v>87</v>
      </c>
      <c r="O807" s="15" t="s">
        <v>5518</v>
      </c>
      <c r="P807" s="15" t="s">
        <v>135</v>
      </c>
      <c r="Q807" s="15" t="s">
        <v>129</v>
      </c>
      <c r="R807" s="15" t="s">
        <v>135</v>
      </c>
      <c r="S807" s="15"/>
      <c r="T807" s="15"/>
      <c r="U807" s="3" t="s">
        <v>5519</v>
      </c>
      <c r="V807" s="3" t="s">
        <v>5520</v>
      </c>
      <c r="W807" s="3"/>
      <c r="X807" s="3" t="s">
        <v>5521</v>
      </c>
      <c r="Y807" s="15" t="n">
        <v>0</v>
      </c>
      <c r="Z807" s="15" t="n">
        <v>1</v>
      </c>
      <c r="AA807" s="15" t="n">
        <v>0</v>
      </c>
      <c r="AB807" s="15" t="n">
        <v>0</v>
      </c>
      <c r="AC807" s="15" t="n">
        <v>0</v>
      </c>
      <c r="AD807" s="15" t="n">
        <v>0</v>
      </c>
      <c r="AE807" s="15" t="n">
        <v>1</v>
      </c>
      <c r="AF807" s="15" t="n">
        <v>1</v>
      </c>
      <c r="AG807" s="15" t="n">
        <v>0</v>
      </c>
      <c r="AH807" s="15" t="n">
        <v>0</v>
      </c>
    </row>
    <row r="808" customFormat="false" ht="35.05" hidden="false" customHeight="false" outlineLevel="0" collapsed="false">
      <c r="A808" s="15" t="s">
        <v>5522</v>
      </c>
      <c r="B808" s="15" t="s">
        <v>38</v>
      </c>
      <c r="C808" s="15" t="s">
        <v>2295</v>
      </c>
      <c r="D808" s="15" t="n">
        <v>75</v>
      </c>
      <c r="E808" s="15" t="s">
        <v>2396</v>
      </c>
      <c r="F808" s="15" t="n">
        <v>2</v>
      </c>
      <c r="G808" s="15" t="s">
        <v>197</v>
      </c>
      <c r="H808" s="15" t="s">
        <v>142</v>
      </c>
      <c r="I808" s="3" t="s">
        <v>5523</v>
      </c>
      <c r="J808" s="3" t="s">
        <v>5512</v>
      </c>
      <c r="K808" s="15" t="s">
        <v>145</v>
      </c>
      <c r="L808" s="16" t="s">
        <v>7</v>
      </c>
      <c r="M808" s="15" t="s">
        <v>68</v>
      </c>
      <c r="N808" s="15" t="s">
        <v>87</v>
      </c>
      <c r="O808" s="15" t="s">
        <v>5524</v>
      </c>
      <c r="P808" s="15" t="s">
        <v>185</v>
      </c>
      <c r="Q808" s="15" t="s">
        <v>197</v>
      </c>
      <c r="R808" s="15" t="s">
        <v>135</v>
      </c>
      <c r="S808" s="15"/>
      <c r="T808" s="15"/>
      <c r="U808" s="3" t="s">
        <v>5525</v>
      </c>
      <c r="V808" s="3" t="s">
        <v>5526</v>
      </c>
      <c r="W808" s="3"/>
      <c r="X808" s="3" t="s">
        <v>5527</v>
      </c>
      <c r="Y808" s="15" t="n">
        <v>0</v>
      </c>
      <c r="Z808" s="15" t="n">
        <v>1</v>
      </c>
      <c r="AA808" s="15" t="n">
        <v>0</v>
      </c>
      <c r="AB808" s="15" t="n">
        <v>0</v>
      </c>
      <c r="AC808" s="15" t="n">
        <v>0</v>
      </c>
      <c r="AD808" s="15" t="n">
        <v>0</v>
      </c>
      <c r="AE808" s="15" t="n">
        <v>1</v>
      </c>
      <c r="AF808" s="15" t="n">
        <v>0</v>
      </c>
      <c r="AG808" s="15" t="n">
        <v>0</v>
      </c>
      <c r="AH808" s="15" t="n">
        <v>0</v>
      </c>
    </row>
    <row r="809" customFormat="false" ht="23.85" hidden="false" customHeight="false" outlineLevel="0" collapsed="false">
      <c r="A809" s="15" t="s">
        <v>5528</v>
      </c>
      <c r="B809" s="15" t="s">
        <v>38</v>
      </c>
      <c r="C809" s="15" t="s">
        <v>2295</v>
      </c>
      <c r="D809" s="15" t="n">
        <v>103</v>
      </c>
      <c r="E809" s="15" t="s">
        <v>2415</v>
      </c>
      <c r="F809" s="15" t="n">
        <v>0</v>
      </c>
      <c r="G809" s="15" t="s">
        <v>129</v>
      </c>
      <c r="H809" s="15" t="s">
        <v>130</v>
      </c>
      <c r="I809" s="3" t="s">
        <v>5529</v>
      </c>
      <c r="J809" s="3" t="s">
        <v>5530</v>
      </c>
      <c r="K809" s="15" t="s">
        <v>145</v>
      </c>
      <c r="L809" s="16" t="s">
        <v>7</v>
      </c>
      <c r="M809" s="15" t="s">
        <v>68</v>
      </c>
      <c r="N809" s="15" t="s">
        <v>82</v>
      </c>
      <c r="O809" s="15" t="s">
        <v>549</v>
      </c>
      <c r="P809" s="15" t="s">
        <v>185</v>
      </c>
      <c r="Q809" s="15" t="s">
        <v>129</v>
      </c>
      <c r="R809" s="15" t="s">
        <v>135</v>
      </c>
      <c r="S809" s="15"/>
      <c r="T809" s="15"/>
      <c r="U809" s="3" t="s">
        <v>5531</v>
      </c>
      <c r="V809" s="3" t="s">
        <v>5532</v>
      </c>
      <c r="W809" s="3" t="s">
        <v>5533</v>
      </c>
      <c r="X809" s="3" t="s">
        <v>5534</v>
      </c>
      <c r="Y809" s="15" t="n">
        <v>0</v>
      </c>
      <c r="Z809" s="15" t="n">
        <v>1</v>
      </c>
      <c r="AA809" s="15" t="n">
        <v>0</v>
      </c>
      <c r="AB809" s="15" t="n">
        <v>0</v>
      </c>
      <c r="AC809" s="15" t="n">
        <v>0</v>
      </c>
      <c r="AD809" s="15" t="n">
        <v>0</v>
      </c>
      <c r="AE809" s="15" t="n">
        <v>0</v>
      </c>
      <c r="AF809" s="15" t="n">
        <v>0</v>
      </c>
      <c r="AG809" s="15" t="n">
        <v>0</v>
      </c>
      <c r="AH809" s="15" t="n">
        <v>1</v>
      </c>
    </row>
    <row r="810" customFormat="false" ht="35.05" hidden="false" customHeight="false" outlineLevel="0" collapsed="false">
      <c r="A810" s="15" t="s">
        <v>5535</v>
      </c>
      <c r="B810" s="15" t="s">
        <v>38</v>
      </c>
      <c r="C810" s="15" t="s">
        <v>2295</v>
      </c>
      <c r="D810" s="15" t="n">
        <v>103</v>
      </c>
      <c r="E810" s="15" t="s">
        <v>2415</v>
      </c>
      <c r="F810" s="15" t="n">
        <v>1</v>
      </c>
      <c r="G810" s="15" t="s">
        <v>197</v>
      </c>
      <c r="H810" s="15" t="s">
        <v>142</v>
      </c>
      <c r="I810" s="3" t="s">
        <v>5536</v>
      </c>
      <c r="J810" s="3" t="s">
        <v>5537</v>
      </c>
      <c r="K810" s="15" t="s">
        <v>145</v>
      </c>
      <c r="L810" s="16" t="s">
        <v>7</v>
      </c>
      <c r="M810" s="15" t="s">
        <v>68</v>
      </c>
      <c r="N810" s="15" t="s">
        <v>82</v>
      </c>
      <c r="O810" s="15" t="s">
        <v>215</v>
      </c>
      <c r="P810" s="15" t="s">
        <v>135</v>
      </c>
      <c r="Q810" s="15" t="s">
        <v>129</v>
      </c>
      <c r="R810" s="15" t="s">
        <v>135</v>
      </c>
      <c r="S810" s="15"/>
      <c r="T810" s="15"/>
      <c r="U810" s="3" t="s">
        <v>5538</v>
      </c>
      <c r="V810" s="3" t="s">
        <v>5539</v>
      </c>
      <c r="W810" s="3"/>
      <c r="X810" s="3" t="s">
        <v>5540</v>
      </c>
      <c r="Y810" s="15" t="n">
        <v>0</v>
      </c>
      <c r="Z810" s="15" t="n">
        <v>1</v>
      </c>
      <c r="AA810" s="15" t="n">
        <v>0</v>
      </c>
      <c r="AB810" s="15" t="n">
        <v>0</v>
      </c>
      <c r="AC810" s="15" t="n">
        <v>0</v>
      </c>
      <c r="AD810" s="15" t="n">
        <v>0</v>
      </c>
      <c r="AE810" s="15" t="n">
        <v>0</v>
      </c>
      <c r="AF810" s="15" t="n">
        <v>1</v>
      </c>
      <c r="AG810" s="15" t="n">
        <v>0</v>
      </c>
      <c r="AH810" s="15" t="n">
        <v>0</v>
      </c>
    </row>
    <row r="811" customFormat="false" ht="46.25" hidden="false" customHeight="false" outlineLevel="0" collapsed="false">
      <c r="A811" s="15" t="s">
        <v>5541</v>
      </c>
      <c r="B811" s="15" t="s">
        <v>38</v>
      </c>
      <c r="C811" s="15" t="s">
        <v>2295</v>
      </c>
      <c r="D811" s="15" t="n">
        <v>103</v>
      </c>
      <c r="E811" s="15" t="s">
        <v>2415</v>
      </c>
      <c r="F811" s="15" t="n">
        <v>2</v>
      </c>
      <c r="G811" s="15" t="s">
        <v>141</v>
      </c>
      <c r="H811" s="15" t="s">
        <v>142</v>
      </c>
      <c r="I811" s="3" t="s">
        <v>5542</v>
      </c>
      <c r="J811" s="3" t="s">
        <v>3838</v>
      </c>
      <c r="K811" s="15" t="s">
        <v>145</v>
      </c>
      <c r="L811" s="16" t="s">
        <v>7</v>
      </c>
      <c r="M811" s="15" t="s">
        <v>66</v>
      </c>
      <c r="N811" s="15" t="s">
        <v>88</v>
      </c>
      <c r="O811" s="15" t="s">
        <v>1392</v>
      </c>
      <c r="P811" s="15" t="s">
        <v>135</v>
      </c>
      <c r="Q811" s="15" t="s">
        <v>129</v>
      </c>
      <c r="R811" s="15" t="s">
        <v>135</v>
      </c>
      <c r="S811" s="15"/>
      <c r="T811" s="15"/>
      <c r="U811" s="3" t="s">
        <v>5543</v>
      </c>
      <c r="V811" s="3" t="s">
        <v>5544</v>
      </c>
      <c r="W811" s="3" t="s">
        <v>5545</v>
      </c>
      <c r="X811" s="3" t="s">
        <v>5546</v>
      </c>
      <c r="Y811" s="15" t="n">
        <v>0</v>
      </c>
      <c r="Z811" s="15" t="n">
        <v>0</v>
      </c>
      <c r="AA811" s="15" t="n">
        <v>0</v>
      </c>
      <c r="AB811" s="15" t="n">
        <v>0</v>
      </c>
      <c r="AC811" s="15" t="n">
        <v>1</v>
      </c>
      <c r="AD811" s="15" t="n">
        <v>0</v>
      </c>
      <c r="AE811" s="15" t="n">
        <v>1</v>
      </c>
      <c r="AF811" s="15" t="n">
        <v>1</v>
      </c>
      <c r="AG811" s="15" t="n">
        <v>0</v>
      </c>
      <c r="AH811" s="15" t="n">
        <v>0</v>
      </c>
    </row>
    <row r="812" customFormat="false" ht="35.05" hidden="false" customHeight="false" outlineLevel="0" collapsed="false">
      <c r="A812" s="15" t="s">
        <v>5547</v>
      </c>
      <c r="B812" s="15" t="s">
        <v>38</v>
      </c>
      <c r="C812" s="15" t="s">
        <v>2295</v>
      </c>
      <c r="D812" s="15" t="n">
        <v>117</v>
      </c>
      <c r="E812" s="15" t="s">
        <v>2431</v>
      </c>
      <c r="F812" s="15" t="n">
        <v>0</v>
      </c>
      <c r="G812" s="15" t="s">
        <v>197</v>
      </c>
      <c r="H812" s="15" t="s">
        <v>142</v>
      </c>
      <c r="I812" s="3" t="s">
        <v>5548</v>
      </c>
      <c r="J812" s="3" t="s">
        <v>5549</v>
      </c>
      <c r="K812" s="15" t="s">
        <v>133</v>
      </c>
      <c r="L812" s="16" t="s">
        <v>7</v>
      </c>
      <c r="M812" s="15" t="s">
        <v>66</v>
      </c>
      <c r="N812" s="15" t="s">
        <v>86</v>
      </c>
      <c r="O812" s="15" t="s">
        <v>5550</v>
      </c>
      <c r="P812" s="15" t="s">
        <v>135</v>
      </c>
      <c r="Q812" s="15" t="s">
        <v>129</v>
      </c>
      <c r="R812" s="15" t="s">
        <v>135</v>
      </c>
      <c r="S812" s="15"/>
      <c r="T812" s="15"/>
      <c r="U812" s="3" t="s">
        <v>5551</v>
      </c>
      <c r="V812" s="3" t="s">
        <v>5552</v>
      </c>
      <c r="W812" s="3" t="s">
        <v>5553</v>
      </c>
      <c r="X812" s="3" t="s">
        <v>5554</v>
      </c>
      <c r="Y812" s="15" t="n">
        <v>0</v>
      </c>
      <c r="Z812" s="15" t="n">
        <v>0</v>
      </c>
      <c r="AA812" s="15" t="n">
        <v>0</v>
      </c>
      <c r="AB812" s="15" t="n">
        <v>0</v>
      </c>
      <c r="AC812" s="15" t="n">
        <v>0</v>
      </c>
      <c r="AD812" s="15" t="n">
        <v>1</v>
      </c>
      <c r="AE812" s="15" t="n">
        <v>0</v>
      </c>
      <c r="AF812" s="15" t="n">
        <v>1</v>
      </c>
      <c r="AG812" s="15" t="n">
        <v>0</v>
      </c>
      <c r="AH812" s="15" t="n">
        <v>1</v>
      </c>
    </row>
    <row r="813" customFormat="false" ht="35.05" hidden="false" customHeight="false" outlineLevel="0" collapsed="false">
      <c r="A813" s="15" t="s">
        <v>5555</v>
      </c>
      <c r="B813" s="15" t="s">
        <v>38</v>
      </c>
      <c r="C813" s="15" t="s">
        <v>2295</v>
      </c>
      <c r="D813" s="15" t="n">
        <v>117</v>
      </c>
      <c r="E813" s="15" t="s">
        <v>2431</v>
      </c>
      <c r="F813" s="15" t="n">
        <v>1</v>
      </c>
      <c r="G813" s="15" t="s">
        <v>129</v>
      </c>
      <c r="H813" s="15" t="s">
        <v>130</v>
      </c>
      <c r="I813" s="3" t="s">
        <v>5556</v>
      </c>
      <c r="J813" s="3" t="s">
        <v>5557</v>
      </c>
      <c r="K813" s="15" t="s">
        <v>145</v>
      </c>
      <c r="L813" s="18" t="s">
        <v>5</v>
      </c>
      <c r="M813" s="15" t="s">
        <v>426</v>
      </c>
      <c r="N813" s="15" t="s">
        <v>426</v>
      </c>
      <c r="O813" s="15"/>
      <c r="P813" s="15" t="s">
        <v>185</v>
      </c>
      <c r="Q813" s="15" t="s">
        <v>129</v>
      </c>
      <c r="R813" s="15" t="s">
        <v>185</v>
      </c>
      <c r="S813" s="15"/>
      <c r="T813" s="15"/>
      <c r="U813" s="3" t="s">
        <v>5558</v>
      </c>
      <c r="V813" s="3" t="s">
        <v>5559</v>
      </c>
      <c r="W813" s="3"/>
      <c r="X813" s="3"/>
      <c r="Y813" s="15" t="n">
        <v>0</v>
      </c>
      <c r="Z813" s="15" t="n">
        <v>0</v>
      </c>
      <c r="AA813" s="15" t="n">
        <v>0</v>
      </c>
      <c r="AB813" s="15" t="n">
        <v>0</v>
      </c>
      <c r="AC813" s="15" t="n">
        <v>0</v>
      </c>
      <c r="AD813" s="15" t="n">
        <v>0</v>
      </c>
      <c r="AE813" s="15" t="n">
        <v>0</v>
      </c>
      <c r="AF813" s="15" t="n">
        <v>0</v>
      </c>
      <c r="AG813" s="15" t="n">
        <v>0</v>
      </c>
      <c r="AH813" s="15" t="n">
        <v>0</v>
      </c>
    </row>
    <row r="814" customFormat="false" ht="35.05" hidden="false" customHeight="false" outlineLevel="0" collapsed="false">
      <c r="A814" s="15" t="s">
        <v>5560</v>
      </c>
      <c r="B814" s="15" t="s">
        <v>38</v>
      </c>
      <c r="C814" s="15" t="s">
        <v>2295</v>
      </c>
      <c r="D814" s="15" t="n">
        <v>117</v>
      </c>
      <c r="E814" s="15" t="s">
        <v>2431</v>
      </c>
      <c r="F814" s="15" t="n">
        <v>2</v>
      </c>
      <c r="G814" s="15" t="s">
        <v>141</v>
      </c>
      <c r="H814" s="15" t="s">
        <v>142</v>
      </c>
      <c r="I814" s="3" t="s">
        <v>5561</v>
      </c>
      <c r="J814" s="3" t="s">
        <v>5562</v>
      </c>
      <c r="K814" s="15" t="s">
        <v>133</v>
      </c>
      <c r="L814" s="16" t="s">
        <v>7</v>
      </c>
      <c r="M814" s="15" t="s">
        <v>68</v>
      </c>
      <c r="N814" s="15" t="s">
        <v>82</v>
      </c>
      <c r="O814" s="15" t="s">
        <v>5563</v>
      </c>
      <c r="P814" s="15" t="s">
        <v>135</v>
      </c>
      <c r="Q814" s="15" t="s">
        <v>129</v>
      </c>
      <c r="R814" s="15" t="s">
        <v>135</v>
      </c>
      <c r="S814" s="15"/>
      <c r="T814" s="15"/>
      <c r="U814" s="3" t="s">
        <v>5564</v>
      </c>
      <c r="V814" s="3" t="s">
        <v>5565</v>
      </c>
      <c r="W814" s="3"/>
      <c r="X814" s="3" t="s">
        <v>5566</v>
      </c>
      <c r="Y814" s="15" t="n">
        <v>0</v>
      </c>
      <c r="Z814" s="15" t="n">
        <v>1</v>
      </c>
      <c r="AA814" s="15" t="n">
        <v>0</v>
      </c>
      <c r="AB814" s="15" t="n">
        <v>0</v>
      </c>
      <c r="AC814" s="15" t="n">
        <v>0</v>
      </c>
      <c r="AD814" s="15" t="n">
        <v>0</v>
      </c>
      <c r="AE814" s="15" t="n">
        <v>0</v>
      </c>
      <c r="AF814" s="15" t="n">
        <v>1</v>
      </c>
      <c r="AG814" s="15" t="n">
        <v>1</v>
      </c>
      <c r="AH814" s="15" t="n">
        <v>0</v>
      </c>
    </row>
    <row r="815" customFormat="false" ht="46.25" hidden="false" customHeight="false" outlineLevel="0" collapsed="false">
      <c r="A815" s="15" t="s">
        <v>5567</v>
      </c>
      <c r="B815" s="15" t="s">
        <v>38</v>
      </c>
      <c r="C815" s="15" t="s">
        <v>2295</v>
      </c>
      <c r="D815" s="15" t="n">
        <v>118</v>
      </c>
      <c r="E815" s="15" t="s">
        <v>2454</v>
      </c>
      <c r="F815" s="15" t="n">
        <v>0</v>
      </c>
      <c r="G815" s="15" t="s">
        <v>129</v>
      </c>
      <c r="H815" s="15" t="s">
        <v>130</v>
      </c>
      <c r="I815" s="3" t="s">
        <v>5568</v>
      </c>
      <c r="J815" s="3" t="s">
        <v>5569</v>
      </c>
      <c r="K815" s="15" t="s">
        <v>133</v>
      </c>
      <c r="L815" s="18" t="s">
        <v>5</v>
      </c>
      <c r="M815" s="15" t="s">
        <v>426</v>
      </c>
      <c r="N815" s="15" t="s">
        <v>426</v>
      </c>
      <c r="O815" s="15"/>
      <c r="P815" s="15" t="s">
        <v>185</v>
      </c>
      <c r="Q815" s="15" t="s">
        <v>129</v>
      </c>
      <c r="R815" s="15" t="s">
        <v>185</v>
      </c>
      <c r="S815" s="15"/>
      <c r="T815" s="15"/>
      <c r="U815" s="3" t="s">
        <v>5570</v>
      </c>
      <c r="V815" s="3" t="s">
        <v>5571</v>
      </c>
      <c r="W815" s="3"/>
      <c r="X815" s="3"/>
      <c r="Y815" s="15" t="n">
        <v>0</v>
      </c>
      <c r="Z815" s="15" t="n">
        <v>0</v>
      </c>
      <c r="AA815" s="15" t="n">
        <v>0</v>
      </c>
      <c r="AB815" s="15" t="n">
        <v>0</v>
      </c>
      <c r="AC815" s="15" t="n">
        <v>0</v>
      </c>
      <c r="AD815" s="15" t="n">
        <v>0</v>
      </c>
      <c r="AE815" s="15" t="n">
        <v>0</v>
      </c>
      <c r="AF815" s="15" t="n">
        <v>0</v>
      </c>
      <c r="AG815" s="15" t="n">
        <v>0</v>
      </c>
      <c r="AH815" s="15" t="n">
        <v>0</v>
      </c>
    </row>
    <row r="816" customFormat="false" ht="46.25" hidden="false" customHeight="false" outlineLevel="0" collapsed="false">
      <c r="A816" s="15" t="s">
        <v>5572</v>
      </c>
      <c r="B816" s="15" t="s">
        <v>38</v>
      </c>
      <c r="C816" s="15" t="s">
        <v>2295</v>
      </c>
      <c r="D816" s="15" t="n">
        <v>118</v>
      </c>
      <c r="E816" s="15" t="s">
        <v>2454</v>
      </c>
      <c r="F816" s="15" t="n">
        <v>1</v>
      </c>
      <c r="G816" s="15" t="s">
        <v>197</v>
      </c>
      <c r="H816" s="15" t="s">
        <v>142</v>
      </c>
      <c r="I816" s="3" t="s">
        <v>5573</v>
      </c>
      <c r="J816" s="3" t="s">
        <v>5574</v>
      </c>
      <c r="K816" s="15" t="s">
        <v>145</v>
      </c>
      <c r="L816" s="16" t="s">
        <v>7</v>
      </c>
      <c r="M816" s="15" t="s">
        <v>68</v>
      </c>
      <c r="N816" s="15" t="s">
        <v>82</v>
      </c>
      <c r="O816" s="15" t="s">
        <v>1116</v>
      </c>
      <c r="P816" s="15" t="s">
        <v>135</v>
      </c>
      <c r="Q816" s="15" t="s">
        <v>307</v>
      </c>
      <c r="R816" s="15" t="s">
        <v>135</v>
      </c>
      <c r="S816" s="15"/>
      <c r="T816" s="15"/>
      <c r="U816" s="3" t="s">
        <v>5575</v>
      </c>
      <c r="V816" s="3" t="s">
        <v>5576</v>
      </c>
      <c r="W816" s="3" t="s">
        <v>5577</v>
      </c>
      <c r="X816" s="3" t="s">
        <v>5578</v>
      </c>
      <c r="Y816" s="15" t="n">
        <v>0</v>
      </c>
      <c r="Z816" s="15" t="n">
        <v>1</v>
      </c>
      <c r="AA816" s="15" t="n">
        <v>1</v>
      </c>
      <c r="AB816" s="15" t="n">
        <v>0</v>
      </c>
      <c r="AC816" s="15" t="n">
        <v>0</v>
      </c>
      <c r="AD816" s="15" t="n">
        <v>0</v>
      </c>
      <c r="AE816" s="15" t="n">
        <v>0</v>
      </c>
      <c r="AF816" s="15" t="n">
        <v>1</v>
      </c>
      <c r="AG816" s="15" t="n">
        <v>0</v>
      </c>
      <c r="AH816" s="15" t="n">
        <v>0</v>
      </c>
    </row>
    <row r="817" customFormat="false" ht="46.25" hidden="false" customHeight="false" outlineLevel="0" collapsed="false">
      <c r="A817" s="15" t="s">
        <v>5579</v>
      </c>
      <c r="B817" s="15" t="s">
        <v>38</v>
      </c>
      <c r="C817" s="15" t="s">
        <v>2295</v>
      </c>
      <c r="D817" s="15" t="n">
        <v>118</v>
      </c>
      <c r="E817" s="15" t="s">
        <v>2454</v>
      </c>
      <c r="F817" s="15" t="n">
        <v>2</v>
      </c>
      <c r="G817" s="15" t="s">
        <v>307</v>
      </c>
      <c r="H817" s="15" t="s">
        <v>308</v>
      </c>
      <c r="I817" s="3" t="s">
        <v>5580</v>
      </c>
      <c r="J817" s="3" t="s">
        <v>5581</v>
      </c>
      <c r="K817" s="15" t="s">
        <v>133</v>
      </c>
      <c r="L817" s="16" t="s">
        <v>7</v>
      </c>
      <c r="M817" s="15" t="s">
        <v>68</v>
      </c>
      <c r="N817" s="15" t="s">
        <v>82</v>
      </c>
      <c r="O817" s="15" t="s">
        <v>134</v>
      </c>
      <c r="P817" s="15" t="s">
        <v>135</v>
      </c>
      <c r="Q817" s="15" t="s">
        <v>307</v>
      </c>
      <c r="R817" s="15" t="s">
        <v>135</v>
      </c>
      <c r="S817" s="15"/>
      <c r="T817" s="15"/>
      <c r="U817" s="3" t="s">
        <v>5582</v>
      </c>
      <c r="V817" s="3" t="s">
        <v>5583</v>
      </c>
      <c r="W817" s="3"/>
      <c r="X817" s="3" t="s">
        <v>5584</v>
      </c>
      <c r="Y817" s="15" t="n">
        <v>0</v>
      </c>
      <c r="Z817" s="15" t="n">
        <v>1</v>
      </c>
      <c r="AA817" s="15" t="n">
        <v>0</v>
      </c>
      <c r="AB817" s="15" t="n">
        <v>0</v>
      </c>
      <c r="AC817" s="15" t="n">
        <v>0</v>
      </c>
      <c r="AD817" s="15" t="n">
        <v>1</v>
      </c>
      <c r="AE817" s="15" t="n">
        <v>0</v>
      </c>
      <c r="AF817" s="15" t="n">
        <v>1</v>
      </c>
      <c r="AG817" s="15" t="n">
        <v>0</v>
      </c>
      <c r="AH817" s="15" t="n">
        <v>0</v>
      </c>
    </row>
    <row r="818" customFormat="false" ht="23.85" hidden="false" customHeight="false" outlineLevel="0" collapsed="false">
      <c r="A818" s="15" t="s">
        <v>5585</v>
      </c>
      <c r="B818" s="15" t="s">
        <v>38</v>
      </c>
      <c r="C818" s="15" t="s">
        <v>2295</v>
      </c>
      <c r="D818" s="15" t="n">
        <v>120</v>
      </c>
      <c r="E818" s="15" t="s">
        <v>2476</v>
      </c>
      <c r="F818" s="15" t="n">
        <v>0</v>
      </c>
      <c r="G818" s="15" t="s">
        <v>129</v>
      </c>
      <c r="H818" s="15" t="s">
        <v>130</v>
      </c>
      <c r="I818" s="3" t="s">
        <v>5586</v>
      </c>
      <c r="J818" s="3" t="s">
        <v>5587</v>
      </c>
      <c r="K818" s="15" t="s">
        <v>133</v>
      </c>
      <c r="L818" s="18" t="s">
        <v>5</v>
      </c>
      <c r="M818" s="15" t="s">
        <v>426</v>
      </c>
      <c r="N818" s="15" t="s">
        <v>426</v>
      </c>
      <c r="O818" s="15"/>
      <c r="P818" s="15" t="s">
        <v>185</v>
      </c>
      <c r="Q818" s="15" t="s">
        <v>129</v>
      </c>
      <c r="R818" s="15" t="s">
        <v>185</v>
      </c>
      <c r="S818" s="15"/>
      <c r="T818" s="15"/>
      <c r="U818" s="3" t="s">
        <v>5588</v>
      </c>
      <c r="V818" s="3" t="s">
        <v>5589</v>
      </c>
      <c r="W818" s="3"/>
      <c r="X818" s="3"/>
      <c r="Y818" s="15" t="n">
        <v>0</v>
      </c>
      <c r="Z818" s="15" t="n">
        <v>0</v>
      </c>
      <c r="AA818" s="15" t="n">
        <v>0</v>
      </c>
      <c r="AB818" s="15" t="n">
        <v>0</v>
      </c>
      <c r="AC818" s="15" t="n">
        <v>0</v>
      </c>
      <c r="AD818" s="15" t="n">
        <v>0</v>
      </c>
      <c r="AE818" s="15" t="n">
        <v>0</v>
      </c>
      <c r="AF818" s="15" t="n">
        <v>0</v>
      </c>
      <c r="AG818" s="15" t="n">
        <v>0</v>
      </c>
      <c r="AH818" s="15" t="n">
        <v>0</v>
      </c>
    </row>
    <row r="819" customFormat="false" ht="35.05" hidden="false" customHeight="false" outlineLevel="0" collapsed="false">
      <c r="A819" s="15" t="s">
        <v>5590</v>
      </c>
      <c r="B819" s="15" t="s">
        <v>38</v>
      </c>
      <c r="C819" s="15" t="s">
        <v>2295</v>
      </c>
      <c r="D819" s="15" t="n">
        <v>120</v>
      </c>
      <c r="E819" s="15" t="s">
        <v>2476</v>
      </c>
      <c r="F819" s="15" t="n">
        <v>1</v>
      </c>
      <c r="G819" s="15" t="s">
        <v>197</v>
      </c>
      <c r="H819" s="15" t="s">
        <v>142</v>
      </c>
      <c r="I819" s="3" t="s">
        <v>5591</v>
      </c>
      <c r="J819" s="3" t="s">
        <v>5592</v>
      </c>
      <c r="K819" s="15" t="s">
        <v>145</v>
      </c>
      <c r="L819" s="18" t="s">
        <v>5</v>
      </c>
      <c r="M819" s="15" t="s">
        <v>426</v>
      </c>
      <c r="N819" s="15" t="s">
        <v>426</v>
      </c>
      <c r="O819" s="15"/>
      <c r="P819" s="15" t="s">
        <v>185</v>
      </c>
      <c r="Q819" s="15" t="s">
        <v>197</v>
      </c>
      <c r="R819" s="15" t="s">
        <v>185</v>
      </c>
      <c r="S819" s="15"/>
      <c r="T819" s="15"/>
      <c r="U819" s="3" t="s">
        <v>5593</v>
      </c>
      <c r="V819" s="3" t="s">
        <v>5594</v>
      </c>
      <c r="W819" s="3"/>
      <c r="X819" s="3"/>
      <c r="Y819" s="15" t="n">
        <v>0</v>
      </c>
      <c r="Z819" s="15" t="n">
        <v>0</v>
      </c>
      <c r="AA819" s="15" t="n">
        <v>0</v>
      </c>
      <c r="AB819" s="15" t="n">
        <v>0</v>
      </c>
      <c r="AC819" s="15" t="n">
        <v>0</v>
      </c>
      <c r="AD819" s="15" t="n">
        <v>0</v>
      </c>
      <c r="AE819" s="15" t="n">
        <v>0</v>
      </c>
      <c r="AF819" s="15" t="n">
        <v>0</v>
      </c>
      <c r="AG819" s="15" t="n">
        <v>0</v>
      </c>
      <c r="AH819" s="15" t="n">
        <v>0</v>
      </c>
    </row>
    <row r="820" customFormat="false" ht="46.25" hidden="false" customHeight="false" outlineLevel="0" collapsed="false">
      <c r="A820" s="15" t="s">
        <v>5595</v>
      </c>
      <c r="B820" s="15" t="s">
        <v>38</v>
      </c>
      <c r="C820" s="15" t="s">
        <v>2295</v>
      </c>
      <c r="D820" s="15" t="n">
        <v>120</v>
      </c>
      <c r="E820" s="15" t="s">
        <v>2476</v>
      </c>
      <c r="F820" s="15" t="n">
        <v>2</v>
      </c>
      <c r="G820" s="15" t="s">
        <v>141</v>
      </c>
      <c r="H820" s="15" t="s">
        <v>142</v>
      </c>
      <c r="I820" s="3" t="s">
        <v>5596</v>
      </c>
      <c r="J820" s="3" t="s">
        <v>5597</v>
      </c>
      <c r="K820" s="15" t="s">
        <v>145</v>
      </c>
      <c r="L820" s="16" t="s">
        <v>7</v>
      </c>
      <c r="M820" s="15" t="s">
        <v>68</v>
      </c>
      <c r="N820" s="15" t="s">
        <v>84</v>
      </c>
      <c r="O820" s="15" t="s">
        <v>1377</v>
      </c>
      <c r="P820" s="15" t="s">
        <v>135</v>
      </c>
      <c r="Q820" s="15" t="s">
        <v>152</v>
      </c>
      <c r="R820" s="15" t="s">
        <v>135</v>
      </c>
      <c r="S820" s="15"/>
      <c r="T820" s="15"/>
      <c r="U820" s="3" t="s">
        <v>5598</v>
      </c>
      <c r="V820" s="3" t="s">
        <v>5599</v>
      </c>
      <c r="W820" s="3" t="s">
        <v>5600</v>
      </c>
      <c r="X820" s="3" t="s">
        <v>5601</v>
      </c>
      <c r="Y820" s="15" t="n">
        <v>0</v>
      </c>
      <c r="Z820" s="15" t="n">
        <v>0</v>
      </c>
      <c r="AA820" s="15" t="n">
        <v>0</v>
      </c>
      <c r="AB820" s="15" t="n">
        <v>1</v>
      </c>
      <c r="AC820" s="15" t="n">
        <v>1</v>
      </c>
      <c r="AD820" s="15" t="n">
        <v>0</v>
      </c>
      <c r="AE820" s="15" t="n">
        <v>0</v>
      </c>
      <c r="AF820" s="15" t="n">
        <v>0</v>
      </c>
      <c r="AG820" s="15" t="n">
        <v>0</v>
      </c>
      <c r="AH820" s="15" t="n">
        <v>0</v>
      </c>
    </row>
    <row r="821" customFormat="false" ht="46.25" hidden="false" customHeight="false" outlineLevel="0" collapsed="false">
      <c r="A821" s="15" t="s">
        <v>5602</v>
      </c>
      <c r="B821" s="15" t="s">
        <v>38</v>
      </c>
      <c r="C821" s="15" t="s">
        <v>2497</v>
      </c>
      <c r="D821" s="15" t="n">
        <v>40</v>
      </c>
      <c r="E821" s="15" t="s">
        <v>2498</v>
      </c>
      <c r="F821" s="15" t="n">
        <v>0</v>
      </c>
      <c r="G821" s="15" t="s">
        <v>141</v>
      </c>
      <c r="H821" s="15" t="s">
        <v>142</v>
      </c>
      <c r="I821" s="3" t="s">
        <v>5603</v>
      </c>
      <c r="J821" s="3" t="s">
        <v>5604</v>
      </c>
      <c r="K821" s="15" t="s">
        <v>145</v>
      </c>
      <c r="L821" s="16" t="s">
        <v>7</v>
      </c>
      <c r="M821" s="15" t="s">
        <v>68</v>
      </c>
      <c r="N821" s="15" t="s">
        <v>82</v>
      </c>
      <c r="O821" s="15" t="s">
        <v>215</v>
      </c>
      <c r="P821" s="15" t="s">
        <v>135</v>
      </c>
      <c r="Q821" s="15" t="s">
        <v>129</v>
      </c>
      <c r="R821" s="15" t="s">
        <v>135</v>
      </c>
      <c r="S821" s="15"/>
      <c r="T821" s="15"/>
      <c r="U821" s="3" t="s">
        <v>5605</v>
      </c>
      <c r="V821" s="3" t="s">
        <v>5606</v>
      </c>
      <c r="W821" s="3"/>
      <c r="X821" s="3" t="s">
        <v>5607</v>
      </c>
      <c r="Y821" s="15" t="n">
        <v>0</v>
      </c>
      <c r="Z821" s="15" t="n">
        <v>1</v>
      </c>
      <c r="AA821" s="15" t="n">
        <v>0</v>
      </c>
      <c r="AB821" s="15" t="n">
        <v>0</v>
      </c>
      <c r="AC821" s="15" t="n">
        <v>0</v>
      </c>
      <c r="AD821" s="15" t="n">
        <v>0</v>
      </c>
      <c r="AE821" s="15" t="n">
        <v>0</v>
      </c>
      <c r="AF821" s="15" t="n">
        <v>1</v>
      </c>
      <c r="AG821" s="15" t="n">
        <v>0</v>
      </c>
      <c r="AH821" s="15" t="n">
        <v>0</v>
      </c>
    </row>
    <row r="822" customFormat="false" ht="35.05" hidden="false" customHeight="false" outlineLevel="0" collapsed="false">
      <c r="A822" s="15" t="s">
        <v>5608</v>
      </c>
      <c r="B822" s="15" t="s">
        <v>38</v>
      </c>
      <c r="C822" s="15" t="s">
        <v>2497</v>
      </c>
      <c r="D822" s="15" t="n">
        <v>40</v>
      </c>
      <c r="E822" s="15" t="s">
        <v>2498</v>
      </c>
      <c r="F822" s="15" t="n">
        <v>1</v>
      </c>
      <c r="G822" s="15" t="s">
        <v>307</v>
      </c>
      <c r="H822" s="15" t="s">
        <v>308</v>
      </c>
      <c r="I822" s="3" t="s">
        <v>5609</v>
      </c>
      <c r="J822" s="3" t="s">
        <v>5610</v>
      </c>
      <c r="K822" s="15" t="s">
        <v>145</v>
      </c>
      <c r="L822" s="16" t="s">
        <v>7</v>
      </c>
      <c r="M822" s="15" t="s">
        <v>68</v>
      </c>
      <c r="N822" s="15" t="s">
        <v>82</v>
      </c>
      <c r="O822" s="15" t="s">
        <v>215</v>
      </c>
      <c r="P822" s="15" t="s">
        <v>135</v>
      </c>
      <c r="Q822" s="15" t="s">
        <v>129</v>
      </c>
      <c r="R822" s="15" t="s">
        <v>135</v>
      </c>
      <c r="S822" s="15"/>
      <c r="T822" s="15"/>
      <c r="U822" s="3" t="s">
        <v>5611</v>
      </c>
      <c r="V822" s="3" t="s">
        <v>5612</v>
      </c>
      <c r="W822" s="3"/>
      <c r="X822" s="3" t="s">
        <v>5613</v>
      </c>
      <c r="Y822" s="15" t="n">
        <v>0</v>
      </c>
      <c r="Z822" s="15" t="n">
        <v>1</v>
      </c>
      <c r="AA822" s="15" t="n">
        <v>0</v>
      </c>
      <c r="AB822" s="15" t="n">
        <v>0</v>
      </c>
      <c r="AC822" s="15" t="n">
        <v>0</v>
      </c>
      <c r="AD822" s="15" t="n">
        <v>0</v>
      </c>
      <c r="AE822" s="15" t="n">
        <v>0</v>
      </c>
      <c r="AF822" s="15" t="n">
        <v>1</v>
      </c>
      <c r="AG822" s="15" t="n">
        <v>0</v>
      </c>
      <c r="AH822" s="15" t="n">
        <v>0</v>
      </c>
    </row>
    <row r="823" customFormat="false" ht="35.05" hidden="false" customHeight="false" outlineLevel="0" collapsed="false">
      <c r="A823" s="15" t="s">
        <v>5614</v>
      </c>
      <c r="B823" s="15" t="s">
        <v>38</v>
      </c>
      <c r="C823" s="15" t="s">
        <v>2497</v>
      </c>
      <c r="D823" s="15" t="n">
        <v>40</v>
      </c>
      <c r="E823" s="15" t="s">
        <v>2498</v>
      </c>
      <c r="F823" s="15" t="n">
        <v>2</v>
      </c>
      <c r="G823" s="15" t="s">
        <v>129</v>
      </c>
      <c r="H823" s="15" t="s">
        <v>130</v>
      </c>
      <c r="I823" s="3" t="s">
        <v>5615</v>
      </c>
      <c r="J823" s="3" t="s">
        <v>5616</v>
      </c>
      <c r="K823" s="15" t="s">
        <v>133</v>
      </c>
      <c r="L823" s="18" t="s">
        <v>5</v>
      </c>
      <c r="M823" s="15" t="s">
        <v>426</v>
      </c>
      <c r="N823" s="15" t="s">
        <v>426</v>
      </c>
      <c r="O823" s="15"/>
      <c r="P823" s="15" t="s">
        <v>185</v>
      </c>
      <c r="Q823" s="15" t="s">
        <v>129</v>
      </c>
      <c r="R823" s="15" t="s">
        <v>185</v>
      </c>
      <c r="S823" s="15"/>
      <c r="T823" s="15"/>
      <c r="U823" s="3" t="s">
        <v>5617</v>
      </c>
      <c r="V823" s="3" t="s">
        <v>4268</v>
      </c>
      <c r="W823" s="3"/>
      <c r="X823" s="3"/>
      <c r="Y823" s="15" t="n">
        <v>0</v>
      </c>
      <c r="Z823" s="15" t="n">
        <v>0</v>
      </c>
      <c r="AA823" s="15" t="n">
        <v>0</v>
      </c>
      <c r="AB823" s="15" t="n">
        <v>0</v>
      </c>
      <c r="AC823" s="15" t="n">
        <v>0</v>
      </c>
      <c r="AD823" s="15" t="n">
        <v>0</v>
      </c>
      <c r="AE823" s="15" t="n">
        <v>0</v>
      </c>
      <c r="AF823" s="15" t="n">
        <v>0</v>
      </c>
      <c r="AG823" s="15" t="n">
        <v>0</v>
      </c>
      <c r="AH823" s="15" t="n">
        <v>0</v>
      </c>
    </row>
    <row r="824" customFormat="false" ht="46.25" hidden="false" customHeight="false" outlineLevel="0" collapsed="false">
      <c r="A824" s="15" t="s">
        <v>5618</v>
      </c>
      <c r="B824" s="15" t="s">
        <v>38</v>
      </c>
      <c r="C824" s="15" t="s">
        <v>2497</v>
      </c>
      <c r="D824" s="15" t="n">
        <v>41</v>
      </c>
      <c r="E824" s="15" t="s">
        <v>2520</v>
      </c>
      <c r="F824" s="15" t="n">
        <v>0</v>
      </c>
      <c r="G824" s="15" t="s">
        <v>129</v>
      </c>
      <c r="H824" s="15" t="s">
        <v>130</v>
      </c>
      <c r="I824" s="3" t="s">
        <v>5619</v>
      </c>
      <c r="J824" s="3" t="s">
        <v>5620</v>
      </c>
      <c r="K824" s="15" t="s">
        <v>145</v>
      </c>
      <c r="L824" s="18" t="s">
        <v>5</v>
      </c>
      <c r="M824" s="15" t="s">
        <v>426</v>
      </c>
      <c r="N824" s="15" t="s">
        <v>426</v>
      </c>
      <c r="O824" s="15"/>
      <c r="P824" s="15" t="s">
        <v>185</v>
      </c>
      <c r="Q824" s="15" t="s">
        <v>129</v>
      </c>
      <c r="R824" s="15" t="s">
        <v>185</v>
      </c>
      <c r="S824" s="15"/>
      <c r="T824" s="15"/>
      <c r="U824" s="3" t="s">
        <v>5621</v>
      </c>
      <c r="V824" s="3" t="s">
        <v>5622</v>
      </c>
      <c r="W824" s="3"/>
      <c r="X824" s="3"/>
      <c r="Y824" s="15" t="n">
        <v>0</v>
      </c>
      <c r="Z824" s="15" t="n">
        <v>0</v>
      </c>
      <c r="AA824" s="15" t="n">
        <v>0</v>
      </c>
      <c r="AB824" s="15" t="n">
        <v>0</v>
      </c>
      <c r="AC824" s="15" t="n">
        <v>0</v>
      </c>
      <c r="AD824" s="15" t="n">
        <v>0</v>
      </c>
      <c r="AE824" s="15" t="n">
        <v>0</v>
      </c>
      <c r="AF824" s="15" t="n">
        <v>0</v>
      </c>
      <c r="AG824" s="15" t="n">
        <v>0</v>
      </c>
      <c r="AH824" s="15" t="n">
        <v>0</v>
      </c>
    </row>
    <row r="825" customFormat="false" ht="46.25" hidden="false" customHeight="false" outlineLevel="0" collapsed="false">
      <c r="A825" s="15" t="s">
        <v>5623</v>
      </c>
      <c r="B825" s="15" t="s">
        <v>38</v>
      </c>
      <c r="C825" s="15" t="s">
        <v>2497</v>
      </c>
      <c r="D825" s="15" t="n">
        <v>41</v>
      </c>
      <c r="E825" s="15" t="s">
        <v>2520</v>
      </c>
      <c r="F825" s="15" t="n">
        <v>1</v>
      </c>
      <c r="G825" s="15" t="s">
        <v>197</v>
      </c>
      <c r="H825" s="15" t="s">
        <v>142</v>
      </c>
      <c r="I825" s="3" t="s">
        <v>5624</v>
      </c>
      <c r="J825" s="3" t="s">
        <v>5625</v>
      </c>
      <c r="K825" s="15" t="s">
        <v>145</v>
      </c>
      <c r="L825" s="16" t="s">
        <v>7</v>
      </c>
      <c r="M825" s="15" t="s">
        <v>68</v>
      </c>
      <c r="N825" s="15" t="s">
        <v>85</v>
      </c>
      <c r="O825" s="15" t="s">
        <v>733</v>
      </c>
      <c r="P825" s="15" t="s">
        <v>135</v>
      </c>
      <c r="Q825" s="15" t="s">
        <v>129</v>
      </c>
      <c r="R825" s="15" t="s">
        <v>135</v>
      </c>
      <c r="S825" s="15"/>
      <c r="T825" s="15"/>
      <c r="U825" s="3" t="s">
        <v>5626</v>
      </c>
      <c r="V825" s="3" t="s">
        <v>5627</v>
      </c>
      <c r="W825" s="3"/>
      <c r="X825" s="3" t="s">
        <v>5628</v>
      </c>
      <c r="Y825" s="15" t="n">
        <v>0</v>
      </c>
      <c r="Z825" s="15" t="n">
        <v>1</v>
      </c>
      <c r="AA825" s="15" t="n">
        <v>0</v>
      </c>
      <c r="AB825" s="15" t="n">
        <v>0</v>
      </c>
      <c r="AC825" s="15" t="n">
        <v>1</v>
      </c>
      <c r="AD825" s="15" t="n">
        <v>0</v>
      </c>
      <c r="AE825" s="15" t="n">
        <v>0</v>
      </c>
      <c r="AF825" s="15" t="n">
        <v>1</v>
      </c>
      <c r="AG825" s="15" t="n">
        <v>0</v>
      </c>
      <c r="AH825" s="15" t="n">
        <v>0</v>
      </c>
    </row>
    <row r="826" customFormat="false" ht="46.25" hidden="false" customHeight="false" outlineLevel="0" collapsed="false">
      <c r="A826" s="15" t="s">
        <v>5629</v>
      </c>
      <c r="B826" s="15" t="s">
        <v>38</v>
      </c>
      <c r="C826" s="15" t="s">
        <v>2497</v>
      </c>
      <c r="D826" s="15" t="n">
        <v>41</v>
      </c>
      <c r="E826" s="15" t="s">
        <v>2520</v>
      </c>
      <c r="F826" s="15" t="n">
        <v>2</v>
      </c>
      <c r="G826" s="15" t="s">
        <v>141</v>
      </c>
      <c r="H826" s="15" t="s">
        <v>142</v>
      </c>
      <c r="I826" s="3" t="s">
        <v>5630</v>
      </c>
      <c r="J826" s="3" t="s">
        <v>5631</v>
      </c>
      <c r="K826" s="15" t="s">
        <v>145</v>
      </c>
      <c r="L826" s="16" t="s">
        <v>7</v>
      </c>
      <c r="M826" s="15" t="s">
        <v>68</v>
      </c>
      <c r="N826" s="15" t="s">
        <v>82</v>
      </c>
      <c r="O826" s="15" t="s">
        <v>215</v>
      </c>
      <c r="P826" s="15" t="s">
        <v>135</v>
      </c>
      <c r="Q826" s="15" t="s">
        <v>129</v>
      </c>
      <c r="R826" s="15" t="s">
        <v>135</v>
      </c>
      <c r="S826" s="15"/>
      <c r="T826" s="15"/>
      <c r="U826" s="3" t="s">
        <v>5632</v>
      </c>
      <c r="V826" s="3" t="s">
        <v>5633</v>
      </c>
      <c r="W826" s="3"/>
      <c r="X826" s="3" t="s">
        <v>5634</v>
      </c>
      <c r="Y826" s="15" t="n">
        <v>0</v>
      </c>
      <c r="Z826" s="15" t="n">
        <v>1</v>
      </c>
      <c r="AA826" s="15" t="n">
        <v>0</v>
      </c>
      <c r="AB826" s="15" t="n">
        <v>0</v>
      </c>
      <c r="AC826" s="15" t="n">
        <v>0</v>
      </c>
      <c r="AD826" s="15" t="n">
        <v>0</v>
      </c>
      <c r="AE826" s="15" t="n">
        <v>0</v>
      </c>
      <c r="AF826" s="15" t="n">
        <v>1</v>
      </c>
      <c r="AG826" s="15" t="n">
        <v>0</v>
      </c>
      <c r="AH826" s="15" t="n">
        <v>0</v>
      </c>
    </row>
    <row r="827" customFormat="false" ht="79.85" hidden="false" customHeight="false" outlineLevel="0" collapsed="false">
      <c r="A827" s="15" t="s">
        <v>5635</v>
      </c>
      <c r="B827" s="15" t="s">
        <v>38</v>
      </c>
      <c r="C827" s="15" t="s">
        <v>2497</v>
      </c>
      <c r="D827" s="15" t="n">
        <v>46</v>
      </c>
      <c r="E827" s="15" t="s">
        <v>2542</v>
      </c>
      <c r="F827" s="15" t="n">
        <v>0</v>
      </c>
      <c r="G827" s="15" t="s">
        <v>136</v>
      </c>
      <c r="H827" s="15" t="s">
        <v>308</v>
      </c>
      <c r="I827" s="3" t="s">
        <v>5636</v>
      </c>
      <c r="J827" s="3" t="s">
        <v>5637</v>
      </c>
      <c r="K827" s="15" t="s">
        <v>145</v>
      </c>
      <c r="L827" s="16" t="s">
        <v>7</v>
      </c>
      <c r="M827" s="15" t="s">
        <v>68</v>
      </c>
      <c r="N827" s="15" t="s">
        <v>87</v>
      </c>
      <c r="O827" s="15" t="s">
        <v>5638</v>
      </c>
      <c r="P827" s="15" t="s">
        <v>185</v>
      </c>
      <c r="Q827" s="15" t="s">
        <v>136</v>
      </c>
      <c r="R827" s="15" t="s">
        <v>135</v>
      </c>
      <c r="S827" s="15"/>
      <c r="T827" s="15"/>
      <c r="U827" s="3" t="s">
        <v>5639</v>
      </c>
      <c r="V827" s="3" t="s">
        <v>5640</v>
      </c>
      <c r="W827" s="3"/>
      <c r="X827" s="3" t="s">
        <v>5641</v>
      </c>
      <c r="Y827" s="15" t="n">
        <v>0</v>
      </c>
      <c r="Z827" s="15" t="n">
        <v>0</v>
      </c>
      <c r="AA827" s="15" t="n">
        <v>0</v>
      </c>
      <c r="AB827" s="15" t="n">
        <v>1</v>
      </c>
      <c r="AC827" s="15" t="n">
        <v>0</v>
      </c>
      <c r="AD827" s="15" t="n">
        <v>0</v>
      </c>
      <c r="AE827" s="15" t="n">
        <v>1</v>
      </c>
      <c r="AF827" s="15" t="n">
        <v>0</v>
      </c>
      <c r="AG827" s="15" t="n">
        <v>0</v>
      </c>
      <c r="AH827" s="15" t="n">
        <v>1</v>
      </c>
    </row>
    <row r="828" customFormat="false" ht="57.45" hidden="false" customHeight="false" outlineLevel="0" collapsed="false">
      <c r="A828" s="15" t="s">
        <v>5642</v>
      </c>
      <c r="B828" s="15" t="s">
        <v>38</v>
      </c>
      <c r="C828" s="15" t="s">
        <v>2497</v>
      </c>
      <c r="D828" s="15" t="n">
        <v>46</v>
      </c>
      <c r="E828" s="15" t="s">
        <v>2542</v>
      </c>
      <c r="F828" s="15" t="n">
        <v>1</v>
      </c>
      <c r="G828" s="15" t="s">
        <v>129</v>
      </c>
      <c r="H828" s="15" t="s">
        <v>130</v>
      </c>
      <c r="I828" s="3" t="s">
        <v>5643</v>
      </c>
      <c r="J828" s="3" t="s">
        <v>5644</v>
      </c>
      <c r="K828" s="15" t="s">
        <v>133</v>
      </c>
      <c r="L828" s="16" t="s">
        <v>7</v>
      </c>
      <c r="M828" s="15" t="s">
        <v>68</v>
      </c>
      <c r="N828" s="15" t="s">
        <v>84</v>
      </c>
      <c r="O828" s="15" t="s">
        <v>529</v>
      </c>
      <c r="P828" s="15" t="s">
        <v>185</v>
      </c>
      <c r="Q828" s="15" t="s">
        <v>129</v>
      </c>
      <c r="R828" s="15" t="s">
        <v>135</v>
      </c>
      <c r="S828" s="15"/>
      <c r="T828" s="15"/>
      <c r="U828" s="3" t="s">
        <v>5645</v>
      </c>
      <c r="V828" s="3" t="s">
        <v>5646</v>
      </c>
      <c r="W828" s="3" t="s">
        <v>5647</v>
      </c>
      <c r="X828" s="3" t="s">
        <v>5648</v>
      </c>
      <c r="Y828" s="15" t="n">
        <v>0</v>
      </c>
      <c r="Z828" s="15" t="n">
        <v>0</v>
      </c>
      <c r="AA828" s="15" t="n">
        <v>0</v>
      </c>
      <c r="AB828" s="15" t="n">
        <v>1</v>
      </c>
      <c r="AC828" s="15" t="n">
        <v>0</v>
      </c>
      <c r="AD828" s="15" t="n">
        <v>0</v>
      </c>
      <c r="AE828" s="15" t="n">
        <v>0</v>
      </c>
      <c r="AF828" s="15" t="n">
        <v>0</v>
      </c>
      <c r="AG828" s="15" t="n">
        <v>0</v>
      </c>
      <c r="AH828" s="15" t="n">
        <v>1</v>
      </c>
    </row>
    <row r="829" customFormat="false" ht="68.65" hidden="false" customHeight="false" outlineLevel="0" collapsed="false">
      <c r="A829" s="15" t="s">
        <v>5649</v>
      </c>
      <c r="B829" s="15" t="s">
        <v>38</v>
      </c>
      <c r="C829" s="15" t="s">
        <v>2497</v>
      </c>
      <c r="D829" s="15" t="n">
        <v>46</v>
      </c>
      <c r="E829" s="15" t="s">
        <v>2542</v>
      </c>
      <c r="F829" s="15" t="n">
        <v>2</v>
      </c>
      <c r="G829" s="15" t="s">
        <v>197</v>
      </c>
      <c r="H829" s="15" t="s">
        <v>142</v>
      </c>
      <c r="I829" s="3" t="s">
        <v>5650</v>
      </c>
      <c r="J829" s="3" t="s">
        <v>5651</v>
      </c>
      <c r="K829" s="15" t="s">
        <v>133</v>
      </c>
      <c r="L829" s="16" t="s">
        <v>7</v>
      </c>
      <c r="M829" s="15" t="s">
        <v>68</v>
      </c>
      <c r="N829" s="15" t="s">
        <v>84</v>
      </c>
      <c r="O829" s="15" t="s">
        <v>3165</v>
      </c>
      <c r="P829" s="15" t="s">
        <v>135</v>
      </c>
      <c r="Q829" s="15" t="s">
        <v>129</v>
      </c>
      <c r="R829" s="15" t="s">
        <v>135</v>
      </c>
      <c r="S829" s="15"/>
      <c r="T829" s="15"/>
      <c r="U829" s="3" t="s">
        <v>5652</v>
      </c>
      <c r="V829" s="3" t="s">
        <v>5653</v>
      </c>
      <c r="W829" s="3"/>
      <c r="X829" s="3" t="s">
        <v>5654</v>
      </c>
      <c r="Y829" s="15" t="n">
        <v>0</v>
      </c>
      <c r="Z829" s="15" t="n">
        <v>0</v>
      </c>
      <c r="AA829" s="15" t="n">
        <v>0</v>
      </c>
      <c r="AB829" s="15" t="n">
        <v>1</v>
      </c>
      <c r="AC829" s="15" t="n">
        <v>0</v>
      </c>
      <c r="AD829" s="15" t="n">
        <v>0</v>
      </c>
      <c r="AE829" s="15" t="n">
        <v>0</v>
      </c>
      <c r="AF829" s="15" t="n">
        <v>1</v>
      </c>
      <c r="AG829" s="15" t="n">
        <v>0</v>
      </c>
      <c r="AH829" s="15" t="n">
        <v>0</v>
      </c>
    </row>
    <row r="830" customFormat="false" ht="35.05" hidden="false" customHeight="false" outlineLevel="0" collapsed="false">
      <c r="A830" s="15" t="s">
        <v>5655</v>
      </c>
      <c r="B830" s="15" t="s">
        <v>38</v>
      </c>
      <c r="C830" s="15" t="s">
        <v>2497</v>
      </c>
      <c r="D830" s="15" t="n">
        <v>48</v>
      </c>
      <c r="E830" s="15" t="s">
        <v>2558</v>
      </c>
      <c r="F830" s="15" t="n">
        <v>0</v>
      </c>
      <c r="G830" s="15" t="s">
        <v>129</v>
      </c>
      <c r="H830" s="15" t="s">
        <v>130</v>
      </c>
      <c r="I830" s="3" t="s">
        <v>5656</v>
      </c>
      <c r="J830" s="3" t="s">
        <v>5657</v>
      </c>
      <c r="K830" s="15" t="s">
        <v>133</v>
      </c>
      <c r="L830" s="18" t="s">
        <v>5</v>
      </c>
      <c r="M830" s="15" t="s">
        <v>426</v>
      </c>
      <c r="N830" s="15" t="s">
        <v>426</v>
      </c>
      <c r="O830" s="15"/>
      <c r="P830" s="15" t="s">
        <v>185</v>
      </c>
      <c r="Q830" s="15" t="s">
        <v>129</v>
      </c>
      <c r="R830" s="15" t="s">
        <v>185</v>
      </c>
      <c r="S830" s="15"/>
      <c r="T830" s="15"/>
      <c r="U830" s="3" t="s">
        <v>5658</v>
      </c>
      <c r="V830" s="3" t="s">
        <v>5659</v>
      </c>
      <c r="W830" s="3"/>
      <c r="X830" s="3"/>
      <c r="Y830" s="15" t="n">
        <v>0</v>
      </c>
      <c r="Z830" s="15" t="n">
        <v>0</v>
      </c>
      <c r="AA830" s="15" t="n">
        <v>0</v>
      </c>
      <c r="AB830" s="15" t="n">
        <v>0</v>
      </c>
      <c r="AC830" s="15" t="n">
        <v>0</v>
      </c>
      <c r="AD830" s="15" t="n">
        <v>0</v>
      </c>
      <c r="AE830" s="15" t="n">
        <v>0</v>
      </c>
      <c r="AF830" s="15" t="n">
        <v>0</v>
      </c>
      <c r="AG830" s="15" t="n">
        <v>0</v>
      </c>
      <c r="AH830" s="15" t="n">
        <v>0</v>
      </c>
    </row>
    <row r="831" customFormat="false" ht="35.05" hidden="false" customHeight="false" outlineLevel="0" collapsed="false">
      <c r="A831" s="15" t="s">
        <v>5660</v>
      </c>
      <c r="B831" s="15" t="s">
        <v>38</v>
      </c>
      <c r="C831" s="15" t="s">
        <v>2497</v>
      </c>
      <c r="D831" s="15" t="n">
        <v>48</v>
      </c>
      <c r="E831" s="15" t="s">
        <v>2558</v>
      </c>
      <c r="F831" s="15" t="n">
        <v>1</v>
      </c>
      <c r="G831" s="15" t="s">
        <v>197</v>
      </c>
      <c r="H831" s="15" t="s">
        <v>142</v>
      </c>
      <c r="I831" s="3" t="s">
        <v>5661</v>
      </c>
      <c r="J831" s="3" t="s">
        <v>5662</v>
      </c>
      <c r="K831" s="15" t="s">
        <v>145</v>
      </c>
      <c r="L831" s="16" t="s">
        <v>7</v>
      </c>
      <c r="M831" s="15" t="s">
        <v>68</v>
      </c>
      <c r="N831" s="15" t="s">
        <v>82</v>
      </c>
      <c r="O831" s="15" t="s">
        <v>215</v>
      </c>
      <c r="P831" s="15" t="s">
        <v>135</v>
      </c>
      <c r="Q831" s="15" t="s">
        <v>136</v>
      </c>
      <c r="R831" s="15" t="s">
        <v>135</v>
      </c>
      <c r="S831" s="15"/>
      <c r="T831" s="15"/>
      <c r="U831" s="3" t="s">
        <v>5663</v>
      </c>
      <c r="V831" s="3" t="s">
        <v>5664</v>
      </c>
      <c r="W831" s="3"/>
      <c r="X831" s="3" t="s">
        <v>5665</v>
      </c>
      <c r="Y831" s="15" t="n">
        <v>0</v>
      </c>
      <c r="Z831" s="15" t="n">
        <v>1</v>
      </c>
      <c r="AA831" s="15" t="n">
        <v>0</v>
      </c>
      <c r="AB831" s="15" t="n">
        <v>0</v>
      </c>
      <c r="AC831" s="15" t="n">
        <v>0</v>
      </c>
      <c r="AD831" s="15" t="n">
        <v>0</v>
      </c>
      <c r="AE831" s="15" t="n">
        <v>0</v>
      </c>
      <c r="AF831" s="15" t="n">
        <v>1</v>
      </c>
      <c r="AG831" s="15" t="n">
        <v>0</v>
      </c>
      <c r="AH831" s="15" t="n">
        <v>0</v>
      </c>
    </row>
    <row r="832" customFormat="false" ht="35.05" hidden="false" customHeight="false" outlineLevel="0" collapsed="false">
      <c r="A832" s="15" t="s">
        <v>5666</v>
      </c>
      <c r="B832" s="15" t="s">
        <v>38</v>
      </c>
      <c r="C832" s="15" t="s">
        <v>2497</v>
      </c>
      <c r="D832" s="15" t="n">
        <v>48</v>
      </c>
      <c r="E832" s="15" t="s">
        <v>2558</v>
      </c>
      <c r="F832" s="15" t="n">
        <v>2</v>
      </c>
      <c r="G832" s="15" t="s">
        <v>141</v>
      </c>
      <c r="H832" s="15" t="s">
        <v>142</v>
      </c>
      <c r="I832" s="3" t="s">
        <v>5667</v>
      </c>
      <c r="J832" s="3" t="s">
        <v>5668</v>
      </c>
      <c r="K832" s="15" t="s">
        <v>133</v>
      </c>
      <c r="L832" s="16" t="s">
        <v>7</v>
      </c>
      <c r="M832" s="15" t="s">
        <v>66</v>
      </c>
      <c r="N832" s="15" t="s">
        <v>90</v>
      </c>
      <c r="O832" s="15" t="s">
        <v>5669</v>
      </c>
      <c r="P832" s="15" t="s">
        <v>135</v>
      </c>
      <c r="Q832" s="15" t="s">
        <v>136</v>
      </c>
      <c r="R832" s="15" t="s">
        <v>135</v>
      </c>
      <c r="S832" s="15"/>
      <c r="T832" s="15"/>
      <c r="U832" s="3" t="s">
        <v>5670</v>
      </c>
      <c r="V832" s="3" t="s">
        <v>5671</v>
      </c>
      <c r="W832" s="3" t="s">
        <v>5672</v>
      </c>
      <c r="X832" s="3" t="s">
        <v>5673</v>
      </c>
      <c r="Y832" s="15" t="n">
        <v>0</v>
      </c>
      <c r="Z832" s="15" t="n">
        <v>0</v>
      </c>
      <c r="AA832" s="15" t="n">
        <v>0</v>
      </c>
      <c r="AB832" s="15" t="n">
        <v>0</v>
      </c>
      <c r="AC832" s="15" t="n">
        <v>0</v>
      </c>
      <c r="AD832" s="15" t="n">
        <v>1</v>
      </c>
      <c r="AE832" s="15" t="n">
        <v>0</v>
      </c>
      <c r="AF832" s="15" t="n">
        <v>1</v>
      </c>
      <c r="AG832" s="15" t="n">
        <v>0</v>
      </c>
      <c r="AH832" s="15" t="n">
        <v>1</v>
      </c>
    </row>
    <row r="833" customFormat="false" ht="35.05" hidden="false" customHeight="false" outlineLevel="0" collapsed="false">
      <c r="A833" s="15" t="s">
        <v>5674</v>
      </c>
      <c r="B833" s="15" t="s">
        <v>38</v>
      </c>
      <c r="C833" s="15" t="s">
        <v>2497</v>
      </c>
      <c r="D833" s="15" t="n">
        <v>61</v>
      </c>
      <c r="E833" s="15" t="s">
        <v>2578</v>
      </c>
      <c r="F833" s="15" t="n">
        <v>0</v>
      </c>
      <c r="G833" s="15" t="s">
        <v>307</v>
      </c>
      <c r="H833" s="15" t="s">
        <v>308</v>
      </c>
      <c r="I833" s="3" t="s">
        <v>5675</v>
      </c>
      <c r="J833" s="3" t="s">
        <v>2580</v>
      </c>
      <c r="K833" s="15" t="s">
        <v>145</v>
      </c>
      <c r="L833" s="16" t="s">
        <v>7</v>
      </c>
      <c r="M833" s="15" t="s">
        <v>66</v>
      </c>
      <c r="N833" s="15" t="s">
        <v>88</v>
      </c>
      <c r="O833" s="15" t="s">
        <v>3940</v>
      </c>
      <c r="P833" s="15" t="s">
        <v>135</v>
      </c>
      <c r="Q833" s="15" t="s">
        <v>129</v>
      </c>
      <c r="R833" s="15" t="s">
        <v>185</v>
      </c>
      <c r="S833" s="15"/>
      <c r="T833" s="15"/>
      <c r="U833" s="3" t="s">
        <v>5676</v>
      </c>
      <c r="V833" s="3" t="s">
        <v>5677</v>
      </c>
      <c r="W833" s="3"/>
      <c r="X833" s="3" t="s">
        <v>5678</v>
      </c>
      <c r="Y833" s="15" t="n">
        <v>0</v>
      </c>
      <c r="Z833" s="15" t="n">
        <v>0</v>
      </c>
      <c r="AA833" s="15" t="n">
        <v>0</v>
      </c>
      <c r="AB833" s="15" t="n">
        <v>0</v>
      </c>
      <c r="AC833" s="15" t="n">
        <v>0</v>
      </c>
      <c r="AD833" s="15" t="n">
        <v>0</v>
      </c>
      <c r="AE833" s="15" t="n">
        <v>0</v>
      </c>
      <c r="AF833" s="15" t="n">
        <v>1</v>
      </c>
      <c r="AG833" s="15" t="n">
        <v>1</v>
      </c>
      <c r="AH833" s="15" t="n">
        <v>0</v>
      </c>
    </row>
    <row r="834" customFormat="false" ht="46.25" hidden="false" customHeight="false" outlineLevel="0" collapsed="false">
      <c r="A834" s="15" t="s">
        <v>5679</v>
      </c>
      <c r="B834" s="15" t="s">
        <v>38</v>
      </c>
      <c r="C834" s="15" t="s">
        <v>2497</v>
      </c>
      <c r="D834" s="15" t="n">
        <v>61</v>
      </c>
      <c r="E834" s="15" t="s">
        <v>2578</v>
      </c>
      <c r="F834" s="15" t="n">
        <v>1</v>
      </c>
      <c r="G834" s="15" t="s">
        <v>129</v>
      </c>
      <c r="H834" s="15" t="s">
        <v>130</v>
      </c>
      <c r="I834" s="3" t="s">
        <v>5680</v>
      </c>
      <c r="J834" s="3" t="s">
        <v>5681</v>
      </c>
      <c r="K834" s="15" t="s">
        <v>145</v>
      </c>
      <c r="L834" s="16" t="s">
        <v>7</v>
      </c>
      <c r="M834" s="15" t="s">
        <v>66</v>
      </c>
      <c r="N834" s="15" t="s">
        <v>88</v>
      </c>
      <c r="O834" s="15" t="s">
        <v>5682</v>
      </c>
      <c r="P834" s="15" t="s">
        <v>135</v>
      </c>
      <c r="Q834" s="15" t="s">
        <v>136</v>
      </c>
      <c r="R834" s="15" t="s">
        <v>135</v>
      </c>
      <c r="S834" s="15"/>
      <c r="T834" s="15"/>
      <c r="U834" s="3" t="s">
        <v>5683</v>
      </c>
      <c r="V834" s="3" t="s">
        <v>5684</v>
      </c>
      <c r="W834" s="3" t="s">
        <v>5685</v>
      </c>
      <c r="X834" s="3" t="s">
        <v>5686</v>
      </c>
      <c r="Y834" s="15" t="n">
        <v>0</v>
      </c>
      <c r="Z834" s="15" t="n">
        <v>0</v>
      </c>
      <c r="AA834" s="15" t="n">
        <v>0</v>
      </c>
      <c r="AB834" s="15" t="n">
        <v>1</v>
      </c>
      <c r="AC834" s="15" t="n">
        <v>0</v>
      </c>
      <c r="AD834" s="15" t="n">
        <v>0</v>
      </c>
      <c r="AE834" s="15" t="n">
        <v>0</v>
      </c>
      <c r="AF834" s="15" t="n">
        <v>1</v>
      </c>
      <c r="AG834" s="15" t="n">
        <v>0</v>
      </c>
      <c r="AH834" s="15" t="n">
        <v>0</v>
      </c>
    </row>
    <row r="835" customFormat="false" ht="35.05" hidden="false" customHeight="false" outlineLevel="0" collapsed="false">
      <c r="A835" s="15" t="s">
        <v>5687</v>
      </c>
      <c r="B835" s="15" t="s">
        <v>38</v>
      </c>
      <c r="C835" s="15" t="s">
        <v>2497</v>
      </c>
      <c r="D835" s="15" t="n">
        <v>61</v>
      </c>
      <c r="E835" s="15" t="s">
        <v>2578</v>
      </c>
      <c r="F835" s="15" t="n">
        <v>2</v>
      </c>
      <c r="G835" s="15" t="s">
        <v>197</v>
      </c>
      <c r="H835" s="15" t="s">
        <v>142</v>
      </c>
      <c r="I835" s="3" t="s">
        <v>5688</v>
      </c>
      <c r="J835" s="3" t="s">
        <v>5689</v>
      </c>
      <c r="K835" s="15" t="s">
        <v>145</v>
      </c>
      <c r="L835" s="16" t="s">
        <v>7</v>
      </c>
      <c r="M835" s="15" t="s">
        <v>66</v>
      </c>
      <c r="N835" s="15" t="s">
        <v>88</v>
      </c>
      <c r="O835" s="15" t="s">
        <v>5682</v>
      </c>
      <c r="P835" s="15" t="s">
        <v>135</v>
      </c>
      <c r="Q835" s="15" t="s">
        <v>136</v>
      </c>
      <c r="R835" s="15" t="s">
        <v>135</v>
      </c>
      <c r="S835" s="15"/>
      <c r="T835" s="15"/>
      <c r="U835" s="3" t="s">
        <v>5690</v>
      </c>
      <c r="V835" s="3" t="s">
        <v>5691</v>
      </c>
      <c r="W835" s="3" t="s">
        <v>5692</v>
      </c>
      <c r="X835" s="3" t="s">
        <v>5693</v>
      </c>
      <c r="Y835" s="15" t="n">
        <v>0</v>
      </c>
      <c r="Z835" s="15" t="n">
        <v>0</v>
      </c>
      <c r="AA835" s="15" t="n">
        <v>0</v>
      </c>
      <c r="AB835" s="15" t="n">
        <v>1</v>
      </c>
      <c r="AC835" s="15" t="n">
        <v>0</v>
      </c>
      <c r="AD835" s="15" t="n">
        <v>0</v>
      </c>
      <c r="AE835" s="15" t="n">
        <v>0</v>
      </c>
      <c r="AF835" s="15" t="n">
        <v>1</v>
      </c>
      <c r="AG835" s="15" t="n">
        <v>0</v>
      </c>
      <c r="AH835" s="15" t="n">
        <v>0</v>
      </c>
    </row>
    <row r="836" customFormat="false" ht="35.05" hidden="false" customHeight="false" outlineLevel="0" collapsed="false">
      <c r="A836" s="15" t="s">
        <v>5694</v>
      </c>
      <c r="B836" s="15" t="s">
        <v>38</v>
      </c>
      <c r="C836" s="15" t="s">
        <v>2497</v>
      </c>
      <c r="D836" s="15" t="n">
        <v>75</v>
      </c>
      <c r="E836" s="15" t="s">
        <v>2601</v>
      </c>
      <c r="F836" s="15" t="n">
        <v>0</v>
      </c>
      <c r="G836" s="15" t="s">
        <v>197</v>
      </c>
      <c r="H836" s="15" t="s">
        <v>142</v>
      </c>
      <c r="I836" s="3" t="s">
        <v>5695</v>
      </c>
      <c r="J836" s="3" t="s">
        <v>5696</v>
      </c>
      <c r="K836" s="15" t="s">
        <v>133</v>
      </c>
      <c r="L836" s="18" t="s">
        <v>5</v>
      </c>
      <c r="M836" s="15" t="s">
        <v>426</v>
      </c>
      <c r="N836" s="15" t="s">
        <v>426</v>
      </c>
      <c r="O836" s="15"/>
      <c r="P836" s="15" t="s">
        <v>185</v>
      </c>
      <c r="Q836" s="15" t="s">
        <v>197</v>
      </c>
      <c r="R836" s="15" t="s">
        <v>185</v>
      </c>
      <c r="S836" s="15"/>
      <c r="T836" s="15"/>
      <c r="U836" s="3" t="s">
        <v>5697</v>
      </c>
      <c r="V836" s="3" t="s">
        <v>5698</v>
      </c>
      <c r="W836" s="3"/>
      <c r="X836" s="3"/>
      <c r="Y836" s="15" t="n">
        <v>0</v>
      </c>
      <c r="Z836" s="15" t="n">
        <v>0</v>
      </c>
      <c r="AA836" s="15" t="n">
        <v>0</v>
      </c>
      <c r="AB836" s="15" t="n">
        <v>0</v>
      </c>
      <c r="AC836" s="15" t="n">
        <v>0</v>
      </c>
      <c r="AD836" s="15" t="n">
        <v>0</v>
      </c>
      <c r="AE836" s="15" t="n">
        <v>0</v>
      </c>
      <c r="AF836" s="15" t="n">
        <v>0</v>
      </c>
      <c r="AG836" s="15" t="n">
        <v>0</v>
      </c>
      <c r="AH836" s="15" t="n">
        <v>0</v>
      </c>
    </row>
    <row r="837" customFormat="false" ht="35.05" hidden="false" customHeight="false" outlineLevel="0" collapsed="false">
      <c r="A837" s="15" t="s">
        <v>5699</v>
      </c>
      <c r="B837" s="15" t="s">
        <v>38</v>
      </c>
      <c r="C837" s="15" t="s">
        <v>2497</v>
      </c>
      <c r="D837" s="15" t="n">
        <v>75</v>
      </c>
      <c r="E837" s="15" t="s">
        <v>2601</v>
      </c>
      <c r="F837" s="15" t="n">
        <v>1</v>
      </c>
      <c r="G837" s="15" t="s">
        <v>129</v>
      </c>
      <c r="H837" s="15" t="s">
        <v>130</v>
      </c>
      <c r="I837" s="3" t="s">
        <v>5700</v>
      </c>
      <c r="J837" s="3" t="s">
        <v>5701</v>
      </c>
      <c r="K837" s="15" t="s">
        <v>145</v>
      </c>
      <c r="L837" s="16" t="s">
        <v>7</v>
      </c>
      <c r="M837" s="15" t="s">
        <v>68</v>
      </c>
      <c r="N837" s="15" t="s">
        <v>84</v>
      </c>
      <c r="O837" s="15" t="s">
        <v>5702</v>
      </c>
      <c r="P837" s="15" t="s">
        <v>185</v>
      </c>
      <c r="Q837" s="15" t="s">
        <v>129</v>
      </c>
      <c r="R837" s="15" t="s">
        <v>135</v>
      </c>
      <c r="S837" s="15"/>
      <c r="T837" s="15"/>
      <c r="U837" s="3" t="s">
        <v>5703</v>
      </c>
      <c r="V837" s="3" t="s">
        <v>5704</v>
      </c>
      <c r="W837" s="3" t="s">
        <v>5705</v>
      </c>
      <c r="X837" s="3" t="s">
        <v>5706</v>
      </c>
      <c r="Y837" s="15" t="n">
        <v>0</v>
      </c>
      <c r="Z837" s="15" t="n">
        <v>0</v>
      </c>
      <c r="AA837" s="15" t="n">
        <v>0</v>
      </c>
      <c r="AB837" s="15" t="n">
        <v>1</v>
      </c>
      <c r="AC837" s="15" t="n">
        <v>0</v>
      </c>
      <c r="AD837" s="15" t="n">
        <v>1</v>
      </c>
      <c r="AE837" s="15" t="n">
        <v>0</v>
      </c>
      <c r="AF837" s="15" t="n">
        <v>1</v>
      </c>
      <c r="AG837" s="15" t="n">
        <v>0</v>
      </c>
      <c r="AH837" s="15" t="n">
        <v>0</v>
      </c>
    </row>
    <row r="838" customFormat="false" ht="35.05" hidden="false" customHeight="false" outlineLevel="0" collapsed="false">
      <c r="A838" s="15" t="s">
        <v>5707</v>
      </c>
      <c r="B838" s="15" t="s">
        <v>38</v>
      </c>
      <c r="C838" s="15" t="s">
        <v>2497</v>
      </c>
      <c r="D838" s="15" t="n">
        <v>75</v>
      </c>
      <c r="E838" s="15" t="s">
        <v>2601</v>
      </c>
      <c r="F838" s="15" t="n">
        <v>2</v>
      </c>
      <c r="G838" s="15" t="s">
        <v>152</v>
      </c>
      <c r="H838" s="15" t="s">
        <v>142</v>
      </c>
      <c r="I838" s="3" t="s">
        <v>5708</v>
      </c>
      <c r="J838" s="3" t="s">
        <v>3838</v>
      </c>
      <c r="K838" s="15" t="s">
        <v>133</v>
      </c>
      <c r="L838" s="18" t="s">
        <v>5</v>
      </c>
      <c r="M838" s="15" t="s">
        <v>426</v>
      </c>
      <c r="N838" s="15" t="s">
        <v>426</v>
      </c>
      <c r="O838" s="15"/>
      <c r="P838" s="15" t="s">
        <v>185</v>
      </c>
      <c r="Q838" s="15" t="s">
        <v>152</v>
      </c>
      <c r="R838" s="15" t="s">
        <v>185</v>
      </c>
      <c r="S838" s="15"/>
      <c r="T838" s="15"/>
      <c r="U838" s="3" t="s">
        <v>5709</v>
      </c>
      <c r="V838" s="3" t="s">
        <v>5710</v>
      </c>
      <c r="W838" s="3"/>
      <c r="X838" s="3"/>
      <c r="Y838" s="15" t="n">
        <v>0</v>
      </c>
      <c r="Z838" s="15" t="n">
        <v>0</v>
      </c>
      <c r="AA838" s="15" t="n">
        <v>0</v>
      </c>
      <c r="AB838" s="15" t="n">
        <v>0</v>
      </c>
      <c r="AC838" s="15" t="n">
        <v>0</v>
      </c>
      <c r="AD838" s="15" t="n">
        <v>0</v>
      </c>
      <c r="AE838" s="15" t="n">
        <v>0</v>
      </c>
      <c r="AF838" s="15" t="n">
        <v>0</v>
      </c>
      <c r="AG838" s="15" t="n">
        <v>0</v>
      </c>
      <c r="AH838" s="15" t="n">
        <v>0</v>
      </c>
    </row>
    <row r="839" customFormat="false" ht="35.05" hidden="false" customHeight="false" outlineLevel="0" collapsed="false">
      <c r="A839" s="15" t="s">
        <v>5711</v>
      </c>
      <c r="B839" s="15" t="s">
        <v>38</v>
      </c>
      <c r="C839" s="15" t="s">
        <v>2497</v>
      </c>
      <c r="D839" s="15" t="n">
        <v>77</v>
      </c>
      <c r="E839" s="15" t="s">
        <v>2623</v>
      </c>
      <c r="F839" s="15" t="n">
        <v>0</v>
      </c>
      <c r="G839" s="15" t="s">
        <v>307</v>
      </c>
      <c r="H839" s="15" t="s">
        <v>308</v>
      </c>
      <c r="I839" s="3" t="s">
        <v>5712</v>
      </c>
      <c r="J839" s="3" t="s">
        <v>5713</v>
      </c>
      <c r="K839" s="15" t="s">
        <v>145</v>
      </c>
      <c r="L839" s="16" t="s">
        <v>7</v>
      </c>
      <c r="M839" s="15" t="s">
        <v>66</v>
      </c>
      <c r="N839" s="15" t="s">
        <v>88</v>
      </c>
      <c r="O839" s="15" t="s">
        <v>3940</v>
      </c>
      <c r="P839" s="15" t="s">
        <v>135</v>
      </c>
      <c r="Q839" s="15" t="s">
        <v>307</v>
      </c>
      <c r="R839" s="15" t="s">
        <v>185</v>
      </c>
      <c r="S839" s="15"/>
      <c r="T839" s="15"/>
      <c r="U839" s="3" t="s">
        <v>5714</v>
      </c>
      <c r="V839" s="3" t="s">
        <v>5715</v>
      </c>
      <c r="W839" s="3"/>
      <c r="X839" s="3" t="s">
        <v>5716</v>
      </c>
      <c r="Y839" s="15" t="n">
        <v>0</v>
      </c>
      <c r="Z839" s="15" t="n">
        <v>0</v>
      </c>
      <c r="AA839" s="15" t="n">
        <v>0</v>
      </c>
      <c r="AB839" s="15" t="n">
        <v>0</v>
      </c>
      <c r="AC839" s="15" t="n">
        <v>0</v>
      </c>
      <c r="AD839" s="15" t="n">
        <v>0</v>
      </c>
      <c r="AE839" s="15" t="n">
        <v>0</v>
      </c>
      <c r="AF839" s="15" t="n">
        <v>1</v>
      </c>
      <c r="AG839" s="15" t="n">
        <v>1</v>
      </c>
      <c r="AH839" s="15" t="n">
        <v>0</v>
      </c>
    </row>
    <row r="840" customFormat="false" ht="35.05" hidden="false" customHeight="false" outlineLevel="0" collapsed="false">
      <c r="A840" s="15" t="s">
        <v>5717</v>
      </c>
      <c r="B840" s="15" t="s">
        <v>38</v>
      </c>
      <c r="C840" s="15" t="s">
        <v>2497</v>
      </c>
      <c r="D840" s="15" t="n">
        <v>77</v>
      </c>
      <c r="E840" s="15" t="s">
        <v>2623</v>
      </c>
      <c r="F840" s="15" t="n">
        <v>1</v>
      </c>
      <c r="G840" s="15" t="s">
        <v>129</v>
      </c>
      <c r="H840" s="15" t="s">
        <v>130</v>
      </c>
      <c r="I840" s="3" t="s">
        <v>5718</v>
      </c>
      <c r="J840" s="3" t="s">
        <v>5719</v>
      </c>
      <c r="K840" s="15" t="s">
        <v>145</v>
      </c>
      <c r="L840" s="16" t="s">
        <v>7</v>
      </c>
      <c r="M840" s="15" t="s">
        <v>68</v>
      </c>
      <c r="N840" s="15" t="s">
        <v>82</v>
      </c>
      <c r="O840" s="15" t="s">
        <v>215</v>
      </c>
      <c r="P840" s="15" t="s">
        <v>135</v>
      </c>
      <c r="Q840" s="15" t="s">
        <v>307</v>
      </c>
      <c r="R840" s="15" t="s">
        <v>135</v>
      </c>
      <c r="S840" s="15"/>
      <c r="T840" s="15"/>
      <c r="U840" s="3" t="s">
        <v>5720</v>
      </c>
      <c r="V840" s="3" t="s">
        <v>5721</v>
      </c>
      <c r="W840" s="3" t="s">
        <v>5722</v>
      </c>
      <c r="X840" s="3" t="s">
        <v>5723</v>
      </c>
      <c r="Y840" s="15" t="n">
        <v>0</v>
      </c>
      <c r="Z840" s="15" t="n">
        <v>1</v>
      </c>
      <c r="AA840" s="15" t="n">
        <v>0</v>
      </c>
      <c r="AB840" s="15" t="n">
        <v>0</v>
      </c>
      <c r="AC840" s="15" t="n">
        <v>0</v>
      </c>
      <c r="AD840" s="15" t="n">
        <v>0</v>
      </c>
      <c r="AE840" s="15" t="n">
        <v>0</v>
      </c>
      <c r="AF840" s="15" t="n">
        <v>1</v>
      </c>
      <c r="AG840" s="15" t="n">
        <v>0</v>
      </c>
      <c r="AH840" s="15" t="n">
        <v>0</v>
      </c>
    </row>
    <row r="841" customFormat="false" ht="35.05" hidden="false" customHeight="false" outlineLevel="0" collapsed="false">
      <c r="A841" s="15" t="s">
        <v>5724</v>
      </c>
      <c r="B841" s="15" t="s">
        <v>38</v>
      </c>
      <c r="C841" s="15" t="s">
        <v>2497</v>
      </c>
      <c r="D841" s="15" t="n">
        <v>77</v>
      </c>
      <c r="E841" s="15" t="s">
        <v>2623</v>
      </c>
      <c r="F841" s="15" t="n">
        <v>2</v>
      </c>
      <c r="G841" s="15" t="s">
        <v>197</v>
      </c>
      <c r="H841" s="15" t="s">
        <v>142</v>
      </c>
      <c r="I841" s="3" t="s">
        <v>5725</v>
      </c>
      <c r="J841" s="3" t="s">
        <v>5726</v>
      </c>
      <c r="K841" s="15" t="s">
        <v>145</v>
      </c>
      <c r="L841" s="16" t="s">
        <v>7</v>
      </c>
      <c r="M841" s="15" t="s">
        <v>66</v>
      </c>
      <c r="N841" s="15" t="s">
        <v>88</v>
      </c>
      <c r="O841" s="15" t="s">
        <v>231</v>
      </c>
      <c r="P841" s="15" t="s">
        <v>135</v>
      </c>
      <c r="Q841" s="15" t="s">
        <v>307</v>
      </c>
      <c r="R841" s="15" t="s">
        <v>185</v>
      </c>
      <c r="S841" s="15"/>
      <c r="T841" s="15"/>
      <c r="U841" s="3" t="s">
        <v>5727</v>
      </c>
      <c r="V841" s="3" t="s">
        <v>5728</v>
      </c>
      <c r="W841" s="3" t="s">
        <v>5729</v>
      </c>
      <c r="X841" s="3" t="s">
        <v>5730</v>
      </c>
      <c r="Y841" s="15" t="n">
        <v>0</v>
      </c>
      <c r="Z841" s="15" t="n">
        <v>0</v>
      </c>
      <c r="AA841" s="15" t="n">
        <v>0</v>
      </c>
      <c r="AB841" s="15" t="n">
        <v>0</v>
      </c>
      <c r="AC841" s="15" t="n">
        <v>0</v>
      </c>
      <c r="AD841" s="15" t="n">
        <v>0</v>
      </c>
      <c r="AE841" s="15" t="n">
        <v>0</v>
      </c>
      <c r="AF841" s="15" t="n">
        <v>1</v>
      </c>
      <c r="AG841" s="15" t="n">
        <v>0</v>
      </c>
      <c r="AH841" s="15" t="n">
        <v>1</v>
      </c>
    </row>
    <row r="842" customFormat="false" ht="35.05" hidden="false" customHeight="false" outlineLevel="0" collapsed="false">
      <c r="A842" s="15" t="s">
        <v>5731</v>
      </c>
      <c r="B842" s="15" t="s">
        <v>38</v>
      </c>
      <c r="C842" s="15" t="s">
        <v>2497</v>
      </c>
      <c r="D842" s="15" t="n">
        <v>78</v>
      </c>
      <c r="E842" s="15" t="s">
        <v>2641</v>
      </c>
      <c r="F842" s="15" t="n">
        <v>0</v>
      </c>
      <c r="G842" s="15" t="s">
        <v>129</v>
      </c>
      <c r="H842" s="15" t="s">
        <v>130</v>
      </c>
      <c r="I842" s="3" t="s">
        <v>5732</v>
      </c>
      <c r="J842" s="3" t="s">
        <v>5733</v>
      </c>
      <c r="K842" s="15" t="s">
        <v>133</v>
      </c>
      <c r="L842" s="18" t="s">
        <v>5</v>
      </c>
      <c r="M842" s="15" t="s">
        <v>426</v>
      </c>
      <c r="N842" s="15" t="s">
        <v>426</v>
      </c>
      <c r="O842" s="15"/>
      <c r="P842" s="15" t="s">
        <v>185</v>
      </c>
      <c r="Q842" s="15" t="s">
        <v>129</v>
      </c>
      <c r="R842" s="15" t="s">
        <v>185</v>
      </c>
      <c r="S842" s="15"/>
      <c r="T842" s="15"/>
      <c r="U842" s="3" t="s">
        <v>5734</v>
      </c>
      <c r="V842" s="3" t="s">
        <v>5147</v>
      </c>
      <c r="W842" s="3"/>
      <c r="X842" s="3"/>
      <c r="Y842" s="15" t="n">
        <v>0</v>
      </c>
      <c r="Z842" s="15" t="n">
        <v>0</v>
      </c>
      <c r="AA842" s="15" t="n">
        <v>0</v>
      </c>
      <c r="AB842" s="15" t="n">
        <v>0</v>
      </c>
      <c r="AC842" s="15" t="n">
        <v>0</v>
      </c>
      <c r="AD842" s="15" t="n">
        <v>0</v>
      </c>
      <c r="AE842" s="15" t="n">
        <v>0</v>
      </c>
      <c r="AF842" s="15" t="n">
        <v>0</v>
      </c>
      <c r="AG842" s="15" t="n">
        <v>0</v>
      </c>
      <c r="AH842" s="15" t="n">
        <v>0</v>
      </c>
    </row>
    <row r="843" customFormat="false" ht="46.25" hidden="false" customHeight="false" outlineLevel="0" collapsed="false">
      <c r="A843" s="15" t="s">
        <v>5735</v>
      </c>
      <c r="B843" s="15" t="s">
        <v>38</v>
      </c>
      <c r="C843" s="15" t="s">
        <v>2497</v>
      </c>
      <c r="D843" s="15" t="n">
        <v>78</v>
      </c>
      <c r="E843" s="15" t="s">
        <v>2641</v>
      </c>
      <c r="F843" s="15" t="n">
        <v>1</v>
      </c>
      <c r="G843" s="15" t="s">
        <v>197</v>
      </c>
      <c r="H843" s="15" t="s">
        <v>142</v>
      </c>
      <c r="I843" s="3" t="s">
        <v>5736</v>
      </c>
      <c r="J843" s="3" t="s">
        <v>5737</v>
      </c>
      <c r="K843" s="15" t="s">
        <v>145</v>
      </c>
      <c r="L843" s="16" t="s">
        <v>7</v>
      </c>
      <c r="M843" s="15" t="s">
        <v>68</v>
      </c>
      <c r="N843" s="15" t="s">
        <v>82</v>
      </c>
      <c r="O843" s="15" t="s">
        <v>134</v>
      </c>
      <c r="P843" s="15" t="s">
        <v>135</v>
      </c>
      <c r="Q843" s="15" t="s">
        <v>129</v>
      </c>
      <c r="R843" s="15" t="s">
        <v>135</v>
      </c>
      <c r="S843" s="15"/>
      <c r="T843" s="15"/>
      <c r="U843" s="3" t="s">
        <v>5738</v>
      </c>
      <c r="V843" s="3" t="s">
        <v>5739</v>
      </c>
      <c r="W843" s="3"/>
      <c r="X843" s="3" t="s">
        <v>5740</v>
      </c>
      <c r="Y843" s="15" t="n">
        <v>0</v>
      </c>
      <c r="Z843" s="15" t="n">
        <v>1</v>
      </c>
      <c r="AA843" s="15" t="n">
        <v>0</v>
      </c>
      <c r="AB843" s="15" t="n">
        <v>0</v>
      </c>
      <c r="AC843" s="15" t="n">
        <v>0</v>
      </c>
      <c r="AD843" s="15" t="n">
        <v>1</v>
      </c>
      <c r="AE843" s="15" t="n">
        <v>0</v>
      </c>
      <c r="AF843" s="15" t="n">
        <v>1</v>
      </c>
      <c r="AG843" s="15" t="n">
        <v>0</v>
      </c>
      <c r="AH843" s="15" t="n">
        <v>0</v>
      </c>
    </row>
    <row r="844" customFormat="false" ht="46.25" hidden="false" customHeight="false" outlineLevel="0" collapsed="false">
      <c r="A844" s="15" t="s">
        <v>5741</v>
      </c>
      <c r="B844" s="15" t="s">
        <v>38</v>
      </c>
      <c r="C844" s="15" t="s">
        <v>2497</v>
      </c>
      <c r="D844" s="15" t="n">
        <v>78</v>
      </c>
      <c r="E844" s="15" t="s">
        <v>2641</v>
      </c>
      <c r="F844" s="15" t="n">
        <v>2</v>
      </c>
      <c r="G844" s="15" t="s">
        <v>141</v>
      </c>
      <c r="H844" s="15" t="s">
        <v>142</v>
      </c>
      <c r="I844" s="3" t="s">
        <v>5742</v>
      </c>
      <c r="J844" s="3" t="s">
        <v>3838</v>
      </c>
      <c r="K844" s="15" t="s">
        <v>133</v>
      </c>
      <c r="L844" s="16" t="s">
        <v>7</v>
      </c>
      <c r="M844" s="15" t="s">
        <v>66</v>
      </c>
      <c r="N844" s="15" t="s">
        <v>88</v>
      </c>
      <c r="O844" s="15" t="s">
        <v>88</v>
      </c>
      <c r="P844" s="15" t="s">
        <v>135</v>
      </c>
      <c r="Q844" s="15" t="s">
        <v>129</v>
      </c>
      <c r="R844" s="15" t="s">
        <v>185</v>
      </c>
      <c r="S844" s="15"/>
      <c r="T844" s="15"/>
      <c r="U844" s="3" t="s">
        <v>5743</v>
      </c>
      <c r="V844" s="3" t="s">
        <v>5744</v>
      </c>
      <c r="W844" s="3"/>
      <c r="X844" s="3" t="s">
        <v>5745</v>
      </c>
      <c r="Y844" s="15" t="n">
        <v>0</v>
      </c>
      <c r="Z844" s="15" t="n">
        <v>0</v>
      </c>
      <c r="AA844" s="15" t="n">
        <v>0</v>
      </c>
      <c r="AB844" s="15" t="n">
        <v>0</v>
      </c>
      <c r="AC844" s="15" t="n">
        <v>0</v>
      </c>
      <c r="AD844" s="15" t="n">
        <v>0</v>
      </c>
      <c r="AE844" s="15" t="n">
        <v>0</v>
      </c>
      <c r="AF844" s="15" t="n">
        <v>1</v>
      </c>
      <c r="AG844" s="15" t="n">
        <v>0</v>
      </c>
      <c r="AH844" s="15" t="n">
        <v>0</v>
      </c>
    </row>
    <row r="845" customFormat="false" ht="35.05" hidden="false" customHeight="false" outlineLevel="0" collapsed="false">
      <c r="A845" s="15" t="s">
        <v>5746</v>
      </c>
      <c r="B845" s="15" t="s">
        <v>38</v>
      </c>
      <c r="C845" s="15" t="s">
        <v>2497</v>
      </c>
      <c r="D845" s="15" t="n">
        <v>85</v>
      </c>
      <c r="E845" s="15" t="s">
        <v>2663</v>
      </c>
      <c r="F845" s="15" t="n">
        <v>0</v>
      </c>
      <c r="G845" s="15" t="s">
        <v>129</v>
      </c>
      <c r="H845" s="15" t="s">
        <v>130</v>
      </c>
      <c r="I845" s="3" t="s">
        <v>5747</v>
      </c>
      <c r="J845" s="3" t="s">
        <v>5748</v>
      </c>
      <c r="K845" s="15" t="s">
        <v>133</v>
      </c>
      <c r="L845" s="18" t="s">
        <v>5</v>
      </c>
      <c r="M845" s="15" t="s">
        <v>426</v>
      </c>
      <c r="N845" s="15" t="s">
        <v>426</v>
      </c>
      <c r="O845" s="15"/>
      <c r="P845" s="15" t="s">
        <v>185</v>
      </c>
      <c r="Q845" s="15" t="s">
        <v>129</v>
      </c>
      <c r="R845" s="15" t="s">
        <v>185</v>
      </c>
      <c r="S845" s="15"/>
      <c r="T845" s="15"/>
      <c r="U845" s="3" t="s">
        <v>5749</v>
      </c>
      <c r="V845" s="3" t="s">
        <v>5750</v>
      </c>
      <c r="W845" s="3"/>
      <c r="X845" s="3"/>
      <c r="Y845" s="15" t="n">
        <v>0</v>
      </c>
      <c r="Z845" s="15" t="n">
        <v>0</v>
      </c>
      <c r="AA845" s="15" t="n">
        <v>0</v>
      </c>
      <c r="AB845" s="15" t="n">
        <v>0</v>
      </c>
      <c r="AC845" s="15" t="n">
        <v>0</v>
      </c>
      <c r="AD845" s="15" t="n">
        <v>0</v>
      </c>
      <c r="AE845" s="15" t="n">
        <v>0</v>
      </c>
      <c r="AF845" s="15" t="n">
        <v>0</v>
      </c>
      <c r="AG845" s="15" t="n">
        <v>0</v>
      </c>
      <c r="AH845" s="15" t="n">
        <v>0</v>
      </c>
    </row>
    <row r="846" customFormat="false" ht="35.05" hidden="false" customHeight="false" outlineLevel="0" collapsed="false">
      <c r="A846" s="15" t="s">
        <v>5751</v>
      </c>
      <c r="B846" s="15" t="s">
        <v>38</v>
      </c>
      <c r="C846" s="15" t="s">
        <v>2497</v>
      </c>
      <c r="D846" s="15" t="n">
        <v>85</v>
      </c>
      <c r="E846" s="15" t="s">
        <v>2663</v>
      </c>
      <c r="F846" s="15" t="n">
        <v>1</v>
      </c>
      <c r="G846" s="15" t="s">
        <v>197</v>
      </c>
      <c r="H846" s="15" t="s">
        <v>142</v>
      </c>
      <c r="I846" s="3" t="s">
        <v>5752</v>
      </c>
      <c r="J846" s="3" t="s">
        <v>5753</v>
      </c>
      <c r="K846" s="15" t="s">
        <v>145</v>
      </c>
      <c r="L846" s="16" t="s">
        <v>7</v>
      </c>
      <c r="M846" s="15" t="s">
        <v>68</v>
      </c>
      <c r="N846" s="15" t="s">
        <v>82</v>
      </c>
      <c r="O846" s="15" t="s">
        <v>176</v>
      </c>
      <c r="P846" s="15" t="s">
        <v>135</v>
      </c>
      <c r="Q846" s="15" t="s">
        <v>129</v>
      </c>
      <c r="R846" s="15" t="s">
        <v>135</v>
      </c>
      <c r="S846" s="15"/>
      <c r="T846" s="15"/>
      <c r="U846" s="3" t="s">
        <v>5754</v>
      </c>
      <c r="V846" s="3" t="s">
        <v>5755</v>
      </c>
      <c r="W846" s="3"/>
      <c r="X846" s="3" t="s">
        <v>5756</v>
      </c>
      <c r="Y846" s="15" t="n">
        <v>0</v>
      </c>
      <c r="Z846" s="15" t="n">
        <v>1</v>
      </c>
      <c r="AA846" s="15" t="n">
        <v>0</v>
      </c>
      <c r="AB846" s="15" t="n">
        <v>0</v>
      </c>
      <c r="AC846" s="15" t="n">
        <v>1</v>
      </c>
      <c r="AD846" s="15" t="n">
        <v>0</v>
      </c>
      <c r="AE846" s="15" t="n">
        <v>0</v>
      </c>
      <c r="AF846" s="15" t="n">
        <v>1</v>
      </c>
      <c r="AG846" s="15" t="n">
        <v>0</v>
      </c>
      <c r="AH846" s="15" t="n">
        <v>0</v>
      </c>
    </row>
    <row r="847" customFormat="false" ht="35.05" hidden="false" customHeight="false" outlineLevel="0" collapsed="false">
      <c r="A847" s="15" t="s">
        <v>5757</v>
      </c>
      <c r="B847" s="15" t="s">
        <v>38</v>
      </c>
      <c r="C847" s="15" t="s">
        <v>2497</v>
      </c>
      <c r="D847" s="15" t="n">
        <v>85</v>
      </c>
      <c r="E847" s="15" t="s">
        <v>2663</v>
      </c>
      <c r="F847" s="15" t="n">
        <v>2</v>
      </c>
      <c r="G847" s="15" t="s">
        <v>141</v>
      </c>
      <c r="H847" s="15" t="s">
        <v>142</v>
      </c>
      <c r="I847" s="3" t="s">
        <v>5758</v>
      </c>
      <c r="J847" s="3" t="s">
        <v>5759</v>
      </c>
      <c r="K847" s="15" t="s">
        <v>133</v>
      </c>
      <c r="L847" s="16" t="s">
        <v>7</v>
      </c>
      <c r="M847" s="15" t="s">
        <v>66</v>
      </c>
      <c r="N847" s="15" t="s">
        <v>88</v>
      </c>
      <c r="O847" s="15" t="s">
        <v>88</v>
      </c>
      <c r="P847" s="15" t="s">
        <v>135</v>
      </c>
      <c r="Q847" s="15" t="s">
        <v>129</v>
      </c>
      <c r="R847" s="15" t="s">
        <v>185</v>
      </c>
      <c r="S847" s="15"/>
      <c r="T847" s="15"/>
      <c r="U847" s="3" t="s">
        <v>5760</v>
      </c>
      <c r="V847" s="3" t="s">
        <v>5761</v>
      </c>
      <c r="W847" s="3"/>
      <c r="X847" s="3" t="s">
        <v>5762</v>
      </c>
      <c r="Y847" s="15" t="n">
        <v>0</v>
      </c>
      <c r="Z847" s="15" t="n">
        <v>0</v>
      </c>
      <c r="AA847" s="15" t="n">
        <v>0</v>
      </c>
      <c r="AB847" s="15" t="n">
        <v>0</v>
      </c>
      <c r="AC847" s="15" t="n">
        <v>0</v>
      </c>
      <c r="AD847" s="15" t="n">
        <v>0</v>
      </c>
      <c r="AE847" s="15" t="n">
        <v>0</v>
      </c>
      <c r="AF847" s="15" t="n">
        <v>1</v>
      </c>
      <c r="AG847" s="15" t="n">
        <v>0</v>
      </c>
      <c r="AH847" s="15" t="n">
        <v>0</v>
      </c>
    </row>
    <row r="848" customFormat="false" ht="46.25" hidden="false" customHeight="false" outlineLevel="0" collapsed="false">
      <c r="A848" s="15" t="s">
        <v>5763</v>
      </c>
      <c r="B848" s="15" t="s">
        <v>38</v>
      </c>
      <c r="C848" s="15" t="s">
        <v>2683</v>
      </c>
      <c r="D848" s="15" t="n">
        <v>25</v>
      </c>
      <c r="E848" s="15" t="s">
        <v>2684</v>
      </c>
      <c r="F848" s="15" t="n">
        <v>0</v>
      </c>
      <c r="G848" s="15" t="s">
        <v>129</v>
      </c>
      <c r="H848" s="15" t="s">
        <v>130</v>
      </c>
      <c r="I848" s="3" t="s">
        <v>5764</v>
      </c>
      <c r="J848" s="3" t="s">
        <v>5765</v>
      </c>
      <c r="K848" s="15" t="s">
        <v>145</v>
      </c>
      <c r="L848" s="17" t="s">
        <v>9</v>
      </c>
      <c r="M848" s="15" t="s">
        <v>70</v>
      </c>
      <c r="N848" s="15" t="s">
        <v>81</v>
      </c>
      <c r="O848" s="15" t="s">
        <v>81</v>
      </c>
      <c r="P848" s="15" t="s">
        <v>185</v>
      </c>
      <c r="Q848" s="15" t="s">
        <v>129</v>
      </c>
      <c r="R848" s="15" t="s">
        <v>135</v>
      </c>
      <c r="S848" s="15" t="s">
        <v>405</v>
      </c>
      <c r="T848" s="15" t="s">
        <v>390</v>
      </c>
      <c r="U848" s="3" t="s">
        <v>5766</v>
      </c>
      <c r="V848" s="3" t="s">
        <v>5767</v>
      </c>
      <c r="W848" s="3"/>
      <c r="X848" s="3"/>
      <c r="Y848" s="15" t="n">
        <v>1</v>
      </c>
      <c r="Z848" s="15" t="n">
        <v>0</v>
      </c>
      <c r="AA848" s="15" t="n">
        <v>0</v>
      </c>
      <c r="AB848" s="15" t="n">
        <v>0</v>
      </c>
      <c r="AC848" s="15" t="n">
        <v>0</v>
      </c>
      <c r="AD848" s="15" t="n">
        <v>0</v>
      </c>
      <c r="AE848" s="15" t="n">
        <v>0</v>
      </c>
      <c r="AF848" s="15" t="n">
        <v>0</v>
      </c>
      <c r="AG848" s="15" t="n">
        <v>0</v>
      </c>
      <c r="AH848" s="15" t="n">
        <v>0</v>
      </c>
    </row>
    <row r="849" customFormat="false" ht="46.25" hidden="false" customHeight="false" outlineLevel="0" collapsed="false">
      <c r="A849" s="15" t="s">
        <v>5768</v>
      </c>
      <c r="B849" s="15" t="s">
        <v>38</v>
      </c>
      <c r="C849" s="15" t="s">
        <v>2683</v>
      </c>
      <c r="D849" s="15" t="n">
        <v>25</v>
      </c>
      <c r="E849" s="15" t="s">
        <v>2684</v>
      </c>
      <c r="F849" s="15" t="n">
        <v>1</v>
      </c>
      <c r="G849" s="15" t="s">
        <v>141</v>
      </c>
      <c r="H849" s="15" t="s">
        <v>142</v>
      </c>
      <c r="I849" s="3" t="s">
        <v>5764</v>
      </c>
      <c r="J849" s="3" t="s">
        <v>5765</v>
      </c>
      <c r="K849" s="15" t="s">
        <v>145</v>
      </c>
      <c r="L849" s="17" t="s">
        <v>9</v>
      </c>
      <c r="M849" s="15" t="s">
        <v>70</v>
      </c>
      <c r="N849" s="15" t="s">
        <v>81</v>
      </c>
      <c r="O849" s="15" t="s">
        <v>81</v>
      </c>
      <c r="P849" s="15" t="s">
        <v>135</v>
      </c>
      <c r="Q849" s="15" t="s">
        <v>129</v>
      </c>
      <c r="R849" s="15" t="s">
        <v>135</v>
      </c>
      <c r="S849" s="15" t="s">
        <v>405</v>
      </c>
      <c r="T849" s="15" t="s">
        <v>390</v>
      </c>
      <c r="U849" s="3" t="s">
        <v>5766</v>
      </c>
      <c r="V849" s="3" t="s">
        <v>5767</v>
      </c>
      <c r="W849" s="3"/>
      <c r="X849" s="3"/>
      <c r="Y849" s="15" t="n">
        <v>1</v>
      </c>
      <c r="Z849" s="15" t="n">
        <v>0</v>
      </c>
      <c r="AA849" s="15" t="n">
        <v>0</v>
      </c>
      <c r="AB849" s="15" t="n">
        <v>0</v>
      </c>
      <c r="AC849" s="15" t="n">
        <v>0</v>
      </c>
      <c r="AD849" s="15" t="n">
        <v>0</v>
      </c>
      <c r="AE849" s="15" t="n">
        <v>0</v>
      </c>
      <c r="AF849" s="15" t="n">
        <v>0</v>
      </c>
      <c r="AG849" s="15" t="n">
        <v>0</v>
      </c>
      <c r="AH849" s="15" t="n">
        <v>0</v>
      </c>
    </row>
    <row r="850" customFormat="false" ht="46.25" hidden="false" customHeight="false" outlineLevel="0" collapsed="false">
      <c r="A850" s="15" t="s">
        <v>5769</v>
      </c>
      <c r="B850" s="15" t="s">
        <v>38</v>
      </c>
      <c r="C850" s="15" t="s">
        <v>2683</v>
      </c>
      <c r="D850" s="15" t="n">
        <v>25</v>
      </c>
      <c r="E850" s="15" t="s">
        <v>2684</v>
      </c>
      <c r="F850" s="15" t="n">
        <v>2</v>
      </c>
      <c r="G850" s="15" t="s">
        <v>197</v>
      </c>
      <c r="H850" s="15" t="s">
        <v>142</v>
      </c>
      <c r="I850" s="3" t="s">
        <v>5764</v>
      </c>
      <c r="J850" s="3" t="s">
        <v>5765</v>
      </c>
      <c r="K850" s="15" t="s">
        <v>145</v>
      </c>
      <c r="L850" s="17" t="s">
        <v>9</v>
      </c>
      <c r="M850" s="15" t="s">
        <v>70</v>
      </c>
      <c r="N850" s="15" t="s">
        <v>81</v>
      </c>
      <c r="O850" s="15" t="s">
        <v>81</v>
      </c>
      <c r="P850" s="15" t="s">
        <v>135</v>
      </c>
      <c r="Q850" s="15" t="s">
        <v>129</v>
      </c>
      <c r="R850" s="15" t="s">
        <v>135</v>
      </c>
      <c r="S850" s="15" t="s">
        <v>405</v>
      </c>
      <c r="T850" s="15" t="s">
        <v>390</v>
      </c>
      <c r="U850" s="3" t="s">
        <v>5766</v>
      </c>
      <c r="V850" s="3" t="s">
        <v>5767</v>
      </c>
      <c r="W850" s="3"/>
      <c r="X850" s="3"/>
      <c r="Y850" s="15" t="n">
        <v>1</v>
      </c>
      <c r="Z850" s="15" t="n">
        <v>0</v>
      </c>
      <c r="AA850" s="15" t="n">
        <v>0</v>
      </c>
      <c r="AB850" s="15" t="n">
        <v>0</v>
      </c>
      <c r="AC850" s="15" t="n">
        <v>0</v>
      </c>
      <c r="AD850" s="15" t="n">
        <v>0</v>
      </c>
      <c r="AE850" s="15" t="n">
        <v>0</v>
      </c>
      <c r="AF850" s="15" t="n">
        <v>0</v>
      </c>
      <c r="AG850" s="15" t="n">
        <v>0</v>
      </c>
      <c r="AH850" s="15" t="n">
        <v>0</v>
      </c>
    </row>
    <row r="851" customFormat="false" ht="35.05" hidden="false" customHeight="false" outlineLevel="0" collapsed="false">
      <c r="A851" s="15" t="s">
        <v>5770</v>
      </c>
      <c r="B851" s="15" t="s">
        <v>38</v>
      </c>
      <c r="C851" s="15" t="s">
        <v>2683</v>
      </c>
      <c r="D851" s="15" t="n">
        <v>26</v>
      </c>
      <c r="E851" s="15" t="s">
        <v>2706</v>
      </c>
      <c r="F851" s="15" t="n">
        <v>0</v>
      </c>
      <c r="G851" s="15" t="s">
        <v>129</v>
      </c>
      <c r="H851" s="15" t="s">
        <v>130</v>
      </c>
      <c r="I851" s="3" t="s">
        <v>5771</v>
      </c>
      <c r="J851" s="3" t="s">
        <v>5772</v>
      </c>
      <c r="K851" s="15" t="s">
        <v>133</v>
      </c>
      <c r="L851" s="18" t="s">
        <v>5</v>
      </c>
      <c r="M851" s="15" t="s">
        <v>426</v>
      </c>
      <c r="N851" s="15" t="s">
        <v>426</v>
      </c>
      <c r="O851" s="15"/>
      <c r="P851" s="15" t="s">
        <v>185</v>
      </c>
      <c r="Q851" s="15" t="s">
        <v>129</v>
      </c>
      <c r="R851" s="15" t="s">
        <v>185</v>
      </c>
      <c r="S851" s="15"/>
      <c r="T851" s="15"/>
      <c r="U851" s="3" t="s">
        <v>5773</v>
      </c>
      <c r="V851" s="3" t="s">
        <v>4240</v>
      </c>
      <c r="W851" s="3"/>
      <c r="X851" s="3"/>
      <c r="Y851" s="15" t="n">
        <v>0</v>
      </c>
      <c r="Z851" s="15" t="n">
        <v>0</v>
      </c>
      <c r="AA851" s="15" t="n">
        <v>0</v>
      </c>
      <c r="AB851" s="15" t="n">
        <v>0</v>
      </c>
      <c r="AC851" s="15" t="n">
        <v>0</v>
      </c>
      <c r="AD851" s="15" t="n">
        <v>0</v>
      </c>
      <c r="AE851" s="15" t="n">
        <v>0</v>
      </c>
      <c r="AF851" s="15" t="n">
        <v>0</v>
      </c>
      <c r="AG851" s="15" t="n">
        <v>0</v>
      </c>
      <c r="AH851" s="15" t="n">
        <v>0</v>
      </c>
    </row>
    <row r="852" customFormat="false" ht="46.25" hidden="false" customHeight="false" outlineLevel="0" collapsed="false">
      <c r="A852" s="15" t="s">
        <v>5774</v>
      </c>
      <c r="B852" s="15" t="s">
        <v>38</v>
      </c>
      <c r="C852" s="15" t="s">
        <v>2683</v>
      </c>
      <c r="D852" s="15" t="n">
        <v>26</v>
      </c>
      <c r="E852" s="15" t="s">
        <v>2706</v>
      </c>
      <c r="F852" s="15" t="n">
        <v>1</v>
      </c>
      <c r="G852" s="15" t="s">
        <v>197</v>
      </c>
      <c r="H852" s="15" t="s">
        <v>142</v>
      </c>
      <c r="I852" s="3" t="s">
        <v>5775</v>
      </c>
      <c r="J852" s="3" t="s">
        <v>5776</v>
      </c>
      <c r="K852" s="15" t="s">
        <v>145</v>
      </c>
      <c r="L852" s="16" t="s">
        <v>7</v>
      </c>
      <c r="M852" s="15" t="s">
        <v>68</v>
      </c>
      <c r="N852" s="15" t="s">
        <v>82</v>
      </c>
      <c r="O852" s="15" t="s">
        <v>176</v>
      </c>
      <c r="P852" s="15" t="s">
        <v>135</v>
      </c>
      <c r="Q852" s="15" t="s">
        <v>129</v>
      </c>
      <c r="R852" s="15" t="s">
        <v>135</v>
      </c>
      <c r="S852" s="15"/>
      <c r="T852" s="15"/>
      <c r="U852" s="3" t="s">
        <v>5777</v>
      </c>
      <c r="V852" s="3" t="s">
        <v>5778</v>
      </c>
      <c r="W852" s="3"/>
      <c r="X852" s="3" t="s">
        <v>5779</v>
      </c>
      <c r="Y852" s="15" t="n">
        <v>0</v>
      </c>
      <c r="Z852" s="15" t="n">
        <v>1</v>
      </c>
      <c r="AA852" s="15" t="n">
        <v>0</v>
      </c>
      <c r="AB852" s="15" t="n">
        <v>0</v>
      </c>
      <c r="AC852" s="15" t="n">
        <v>1</v>
      </c>
      <c r="AD852" s="15" t="n">
        <v>0</v>
      </c>
      <c r="AE852" s="15" t="n">
        <v>0</v>
      </c>
      <c r="AF852" s="15" t="n">
        <v>1</v>
      </c>
      <c r="AG852" s="15" t="n">
        <v>0</v>
      </c>
      <c r="AH852" s="15" t="n">
        <v>0</v>
      </c>
    </row>
    <row r="853" customFormat="false" ht="23.85" hidden="false" customHeight="false" outlineLevel="0" collapsed="false">
      <c r="A853" s="15" t="s">
        <v>5780</v>
      </c>
      <c r="B853" s="15" t="s">
        <v>38</v>
      </c>
      <c r="C853" s="15" t="s">
        <v>2683</v>
      </c>
      <c r="D853" s="15" t="n">
        <v>26</v>
      </c>
      <c r="E853" s="15" t="s">
        <v>2706</v>
      </c>
      <c r="F853" s="15" t="n">
        <v>2</v>
      </c>
      <c r="G853" s="15" t="s">
        <v>141</v>
      </c>
      <c r="H853" s="15" t="s">
        <v>142</v>
      </c>
      <c r="I853" s="3" t="s">
        <v>5781</v>
      </c>
      <c r="J853" s="3" t="s">
        <v>5782</v>
      </c>
      <c r="K853" s="15" t="s">
        <v>133</v>
      </c>
      <c r="L853" s="16" t="s">
        <v>7</v>
      </c>
      <c r="M853" s="15" t="s">
        <v>66</v>
      </c>
      <c r="N853" s="15" t="s">
        <v>88</v>
      </c>
      <c r="O853" s="15" t="s">
        <v>88</v>
      </c>
      <c r="P853" s="15" t="s">
        <v>135</v>
      </c>
      <c r="Q853" s="15" t="s">
        <v>129</v>
      </c>
      <c r="R853" s="15" t="s">
        <v>185</v>
      </c>
      <c r="S853" s="15"/>
      <c r="T853" s="15"/>
      <c r="U853" s="3" t="s">
        <v>5783</v>
      </c>
      <c r="V853" s="3" t="s">
        <v>5784</v>
      </c>
      <c r="W853" s="3"/>
      <c r="X853" s="3"/>
      <c r="Y853" s="15" t="n">
        <v>0</v>
      </c>
      <c r="Z853" s="15" t="n">
        <v>0</v>
      </c>
      <c r="AA853" s="15" t="n">
        <v>0</v>
      </c>
      <c r="AB853" s="15" t="n">
        <v>0</v>
      </c>
      <c r="AC853" s="15" t="n">
        <v>0</v>
      </c>
      <c r="AD853" s="15" t="n">
        <v>0</v>
      </c>
      <c r="AE853" s="15" t="n">
        <v>0</v>
      </c>
      <c r="AF853" s="15" t="n">
        <v>1</v>
      </c>
      <c r="AG853" s="15" t="n">
        <v>0</v>
      </c>
      <c r="AH853" s="15" t="n">
        <v>0</v>
      </c>
    </row>
    <row r="854" customFormat="false" ht="35.05" hidden="false" customHeight="false" outlineLevel="0" collapsed="false">
      <c r="A854" s="15" t="s">
        <v>5785</v>
      </c>
      <c r="B854" s="15" t="s">
        <v>38</v>
      </c>
      <c r="C854" s="15" t="s">
        <v>2683</v>
      </c>
      <c r="D854" s="15" t="n">
        <v>33</v>
      </c>
      <c r="E854" s="15" t="s">
        <v>2725</v>
      </c>
      <c r="F854" s="15" t="n">
        <v>0</v>
      </c>
      <c r="G854" s="15" t="s">
        <v>129</v>
      </c>
      <c r="H854" s="15" t="s">
        <v>130</v>
      </c>
      <c r="I854" s="3" t="s">
        <v>5786</v>
      </c>
      <c r="J854" s="3" t="s">
        <v>5787</v>
      </c>
      <c r="K854" s="15" t="s">
        <v>133</v>
      </c>
      <c r="L854" s="16" t="s">
        <v>7</v>
      </c>
      <c r="M854" s="15" t="s">
        <v>68</v>
      </c>
      <c r="N854" s="15" t="s">
        <v>87</v>
      </c>
      <c r="O854" s="15" t="s">
        <v>3925</v>
      </c>
      <c r="P854" s="15" t="s">
        <v>185</v>
      </c>
      <c r="Q854" s="15" t="s">
        <v>129</v>
      </c>
      <c r="R854" s="15" t="s">
        <v>135</v>
      </c>
      <c r="S854" s="15"/>
      <c r="T854" s="15"/>
      <c r="U854" s="3" t="s">
        <v>5788</v>
      </c>
      <c r="V854" s="3" t="s">
        <v>5789</v>
      </c>
      <c r="W854" s="3" t="s">
        <v>5790</v>
      </c>
      <c r="X854" s="3" t="s">
        <v>5791</v>
      </c>
      <c r="Y854" s="15" t="n">
        <v>0</v>
      </c>
      <c r="Z854" s="15" t="n">
        <v>1</v>
      </c>
      <c r="AA854" s="15" t="n">
        <v>0</v>
      </c>
      <c r="AB854" s="15" t="n">
        <v>0</v>
      </c>
      <c r="AC854" s="15" t="n">
        <v>0</v>
      </c>
      <c r="AD854" s="15" t="n">
        <v>0</v>
      </c>
      <c r="AE854" s="15" t="n">
        <v>1</v>
      </c>
      <c r="AF854" s="15" t="n">
        <v>0</v>
      </c>
      <c r="AG854" s="15" t="n">
        <v>0</v>
      </c>
      <c r="AH854" s="15" t="n">
        <v>1</v>
      </c>
    </row>
    <row r="855" customFormat="false" ht="35.05" hidden="false" customHeight="false" outlineLevel="0" collapsed="false">
      <c r="A855" s="15" t="s">
        <v>5792</v>
      </c>
      <c r="B855" s="15" t="s">
        <v>38</v>
      </c>
      <c r="C855" s="15" t="s">
        <v>2683</v>
      </c>
      <c r="D855" s="15" t="n">
        <v>33</v>
      </c>
      <c r="E855" s="15" t="s">
        <v>2725</v>
      </c>
      <c r="F855" s="15" t="n">
        <v>1</v>
      </c>
      <c r="G855" s="15" t="s">
        <v>307</v>
      </c>
      <c r="H855" s="15" t="s">
        <v>308</v>
      </c>
      <c r="I855" s="3" t="s">
        <v>5793</v>
      </c>
      <c r="J855" s="3" t="s">
        <v>5787</v>
      </c>
      <c r="K855" s="15" t="s">
        <v>145</v>
      </c>
      <c r="L855" s="16" t="s">
        <v>7</v>
      </c>
      <c r="M855" s="15" t="s">
        <v>68</v>
      </c>
      <c r="N855" s="15" t="s">
        <v>87</v>
      </c>
      <c r="O855" s="15" t="s">
        <v>5794</v>
      </c>
      <c r="P855" s="15" t="s">
        <v>185</v>
      </c>
      <c r="Q855" s="15" t="s">
        <v>307</v>
      </c>
      <c r="R855" s="15" t="s">
        <v>135</v>
      </c>
      <c r="S855" s="15"/>
      <c r="T855" s="15"/>
      <c r="U855" s="3" t="s">
        <v>5795</v>
      </c>
      <c r="V855" s="3" t="s">
        <v>5796</v>
      </c>
      <c r="W855" s="3" t="s">
        <v>5797</v>
      </c>
      <c r="X855" s="3" t="s">
        <v>5798</v>
      </c>
      <c r="Y855" s="15" t="n">
        <v>0</v>
      </c>
      <c r="Z855" s="15" t="n">
        <v>0</v>
      </c>
      <c r="AA855" s="15" t="n">
        <v>1</v>
      </c>
      <c r="AB855" s="15" t="n">
        <v>0</v>
      </c>
      <c r="AC855" s="15" t="n">
        <v>0</v>
      </c>
      <c r="AD855" s="15" t="n">
        <v>0</v>
      </c>
      <c r="AE855" s="15" t="n">
        <v>1</v>
      </c>
      <c r="AF855" s="15" t="n">
        <v>0</v>
      </c>
      <c r="AG855" s="15" t="n">
        <v>0</v>
      </c>
      <c r="AH855" s="15" t="n">
        <v>1</v>
      </c>
    </row>
    <row r="856" customFormat="false" ht="46.25" hidden="false" customHeight="false" outlineLevel="0" collapsed="false">
      <c r="A856" s="15" t="s">
        <v>5799</v>
      </c>
      <c r="B856" s="15" t="s">
        <v>38</v>
      </c>
      <c r="C856" s="15" t="s">
        <v>2683</v>
      </c>
      <c r="D856" s="15" t="n">
        <v>33</v>
      </c>
      <c r="E856" s="15" t="s">
        <v>2725</v>
      </c>
      <c r="F856" s="15" t="n">
        <v>2</v>
      </c>
      <c r="G856" s="15" t="s">
        <v>197</v>
      </c>
      <c r="H856" s="15" t="s">
        <v>142</v>
      </c>
      <c r="I856" s="3" t="s">
        <v>5793</v>
      </c>
      <c r="J856" s="3" t="s">
        <v>5800</v>
      </c>
      <c r="K856" s="15" t="s">
        <v>133</v>
      </c>
      <c r="L856" s="16" t="s">
        <v>7</v>
      </c>
      <c r="M856" s="15" t="s">
        <v>68</v>
      </c>
      <c r="N856" s="15" t="s">
        <v>87</v>
      </c>
      <c r="O856" s="15" t="s">
        <v>4548</v>
      </c>
      <c r="P856" s="15" t="s">
        <v>135</v>
      </c>
      <c r="Q856" s="15" t="s">
        <v>152</v>
      </c>
      <c r="R856" s="15" t="s">
        <v>135</v>
      </c>
      <c r="S856" s="15"/>
      <c r="T856" s="15"/>
      <c r="U856" s="3" t="s">
        <v>5801</v>
      </c>
      <c r="V856" s="3" t="s">
        <v>5802</v>
      </c>
      <c r="W856" s="3" t="s">
        <v>5803</v>
      </c>
      <c r="X856" s="3" t="s">
        <v>5804</v>
      </c>
      <c r="Y856" s="15" t="n">
        <v>0</v>
      </c>
      <c r="Z856" s="15" t="n">
        <v>0</v>
      </c>
      <c r="AA856" s="15" t="n">
        <v>0</v>
      </c>
      <c r="AB856" s="15" t="n">
        <v>0</v>
      </c>
      <c r="AC856" s="15" t="n">
        <v>0</v>
      </c>
      <c r="AD856" s="15" t="n">
        <v>0</v>
      </c>
      <c r="AE856" s="15" t="n">
        <v>1</v>
      </c>
      <c r="AF856" s="15" t="n">
        <v>1</v>
      </c>
      <c r="AG856" s="15" t="n">
        <v>0</v>
      </c>
      <c r="AH856" s="15" t="n">
        <v>1</v>
      </c>
    </row>
    <row r="857" customFormat="false" ht="46.25" hidden="false" customHeight="false" outlineLevel="0" collapsed="false">
      <c r="A857" s="15" t="s">
        <v>5805</v>
      </c>
      <c r="B857" s="15" t="s">
        <v>38</v>
      </c>
      <c r="C857" s="15" t="s">
        <v>2683</v>
      </c>
      <c r="D857" s="15" t="n">
        <v>49</v>
      </c>
      <c r="E857" s="15" t="s">
        <v>2747</v>
      </c>
      <c r="F857" s="15" t="n">
        <v>0</v>
      </c>
      <c r="G857" s="15" t="s">
        <v>129</v>
      </c>
      <c r="H857" s="15" t="s">
        <v>130</v>
      </c>
      <c r="I857" s="3" t="s">
        <v>5806</v>
      </c>
      <c r="J857" s="3" t="s">
        <v>5807</v>
      </c>
      <c r="K857" s="15" t="s">
        <v>133</v>
      </c>
      <c r="L857" s="16" t="s">
        <v>7</v>
      </c>
      <c r="M857" s="15" t="s">
        <v>68</v>
      </c>
      <c r="N857" s="15" t="s">
        <v>84</v>
      </c>
      <c r="O857" s="15" t="s">
        <v>84</v>
      </c>
      <c r="P857" s="15" t="s">
        <v>185</v>
      </c>
      <c r="Q857" s="15" t="s">
        <v>129</v>
      </c>
      <c r="R857" s="15" t="s">
        <v>135</v>
      </c>
      <c r="S857" s="15"/>
      <c r="T857" s="15"/>
      <c r="U857" s="3" t="s">
        <v>5808</v>
      </c>
      <c r="V857" s="3" t="s">
        <v>5809</v>
      </c>
      <c r="W857" s="3" t="s">
        <v>5810</v>
      </c>
      <c r="X857" s="3" t="s">
        <v>5811</v>
      </c>
      <c r="Y857" s="15" t="n">
        <v>0</v>
      </c>
      <c r="Z857" s="15" t="n">
        <v>0</v>
      </c>
      <c r="AA857" s="15" t="n">
        <v>0</v>
      </c>
      <c r="AB857" s="15" t="n">
        <v>1</v>
      </c>
      <c r="AC857" s="15" t="n">
        <v>0</v>
      </c>
      <c r="AD857" s="15" t="n">
        <v>0</v>
      </c>
      <c r="AE857" s="15" t="n">
        <v>0</v>
      </c>
      <c r="AF857" s="15" t="n">
        <v>0</v>
      </c>
      <c r="AG857" s="15" t="n">
        <v>0</v>
      </c>
      <c r="AH857" s="15" t="n">
        <v>0</v>
      </c>
    </row>
    <row r="858" customFormat="false" ht="35.05" hidden="false" customHeight="false" outlineLevel="0" collapsed="false">
      <c r="A858" s="15" t="s">
        <v>5812</v>
      </c>
      <c r="B858" s="15" t="s">
        <v>38</v>
      </c>
      <c r="C858" s="15" t="s">
        <v>2683</v>
      </c>
      <c r="D858" s="15" t="n">
        <v>49</v>
      </c>
      <c r="E858" s="15" t="s">
        <v>2747</v>
      </c>
      <c r="F858" s="15" t="n">
        <v>1</v>
      </c>
      <c r="G858" s="15" t="s">
        <v>197</v>
      </c>
      <c r="H858" s="15" t="s">
        <v>142</v>
      </c>
      <c r="I858" s="3" t="s">
        <v>5813</v>
      </c>
      <c r="J858" s="3" t="s">
        <v>5814</v>
      </c>
      <c r="K858" s="15" t="s">
        <v>145</v>
      </c>
      <c r="L858" s="16" t="s">
        <v>7</v>
      </c>
      <c r="M858" s="15" t="s">
        <v>66</v>
      </c>
      <c r="N858" s="15" t="s">
        <v>88</v>
      </c>
      <c r="O858" s="15" t="s">
        <v>1790</v>
      </c>
      <c r="P858" s="15" t="s">
        <v>135</v>
      </c>
      <c r="Q858" s="15" t="s">
        <v>129</v>
      </c>
      <c r="R858" s="15" t="s">
        <v>135</v>
      </c>
      <c r="S858" s="15"/>
      <c r="T858" s="15"/>
      <c r="U858" s="3" t="s">
        <v>5815</v>
      </c>
      <c r="V858" s="3" t="s">
        <v>5816</v>
      </c>
      <c r="W858" s="3"/>
      <c r="X858" s="3" t="s">
        <v>5817</v>
      </c>
      <c r="Y858" s="15" t="n">
        <v>0</v>
      </c>
      <c r="Z858" s="15" t="n">
        <v>0</v>
      </c>
      <c r="AA858" s="15" t="n">
        <v>0</v>
      </c>
      <c r="AB858" s="15" t="n">
        <v>0</v>
      </c>
      <c r="AC858" s="15" t="n">
        <v>0</v>
      </c>
      <c r="AD858" s="15" t="n">
        <v>0</v>
      </c>
      <c r="AE858" s="15" t="n">
        <v>1</v>
      </c>
      <c r="AF858" s="15" t="n">
        <v>1</v>
      </c>
      <c r="AG858" s="15" t="n">
        <v>0</v>
      </c>
      <c r="AH858" s="15" t="n">
        <v>0</v>
      </c>
    </row>
    <row r="859" customFormat="false" ht="35.05" hidden="false" customHeight="false" outlineLevel="0" collapsed="false">
      <c r="A859" s="15" t="s">
        <v>5818</v>
      </c>
      <c r="B859" s="15" t="s">
        <v>38</v>
      </c>
      <c r="C859" s="15" t="s">
        <v>2683</v>
      </c>
      <c r="D859" s="15" t="n">
        <v>49</v>
      </c>
      <c r="E859" s="15" t="s">
        <v>2747</v>
      </c>
      <c r="F859" s="15" t="n">
        <v>2</v>
      </c>
      <c r="G859" s="15" t="s">
        <v>141</v>
      </c>
      <c r="H859" s="15" t="s">
        <v>142</v>
      </c>
      <c r="I859" s="3" t="s">
        <v>5819</v>
      </c>
      <c r="J859" s="3" t="s">
        <v>5820</v>
      </c>
      <c r="K859" s="15" t="s">
        <v>145</v>
      </c>
      <c r="L859" s="16" t="s">
        <v>7</v>
      </c>
      <c r="M859" s="15" t="s">
        <v>66</v>
      </c>
      <c r="N859" s="15" t="s">
        <v>88</v>
      </c>
      <c r="O859" s="15" t="s">
        <v>231</v>
      </c>
      <c r="P859" s="15" t="s">
        <v>135</v>
      </c>
      <c r="Q859" s="15" t="s">
        <v>129</v>
      </c>
      <c r="R859" s="15" t="s">
        <v>185</v>
      </c>
      <c r="S859" s="15"/>
      <c r="T859" s="15"/>
      <c r="U859" s="3" t="s">
        <v>5821</v>
      </c>
      <c r="V859" s="3" t="s">
        <v>5822</v>
      </c>
      <c r="W859" s="3" t="s">
        <v>5823</v>
      </c>
      <c r="X859" s="3" t="s">
        <v>5824</v>
      </c>
      <c r="Y859" s="15" t="n">
        <v>0</v>
      </c>
      <c r="Z859" s="15" t="n">
        <v>0</v>
      </c>
      <c r="AA859" s="15" t="n">
        <v>0</v>
      </c>
      <c r="AB859" s="15" t="n">
        <v>0</v>
      </c>
      <c r="AC859" s="15" t="n">
        <v>0</v>
      </c>
      <c r="AD859" s="15" t="n">
        <v>0</v>
      </c>
      <c r="AE859" s="15" t="n">
        <v>0</v>
      </c>
      <c r="AF859" s="15" t="n">
        <v>1</v>
      </c>
      <c r="AG859" s="15" t="n">
        <v>0</v>
      </c>
      <c r="AH859" s="15" t="n">
        <v>1</v>
      </c>
    </row>
    <row r="860" customFormat="false" ht="35.05" hidden="false" customHeight="false" outlineLevel="0" collapsed="false">
      <c r="A860" s="15" t="s">
        <v>5825</v>
      </c>
      <c r="B860" s="15" t="s">
        <v>38</v>
      </c>
      <c r="C860" s="15" t="s">
        <v>2683</v>
      </c>
      <c r="D860" s="15" t="n">
        <v>50</v>
      </c>
      <c r="E860" s="15" t="s">
        <v>2768</v>
      </c>
      <c r="F860" s="15" t="n">
        <v>0</v>
      </c>
      <c r="G860" s="15" t="s">
        <v>129</v>
      </c>
      <c r="H860" s="15" t="s">
        <v>130</v>
      </c>
      <c r="I860" s="3" t="s">
        <v>5826</v>
      </c>
      <c r="J860" s="3" t="s">
        <v>5827</v>
      </c>
      <c r="K860" s="15" t="s">
        <v>133</v>
      </c>
      <c r="L860" s="16" t="s">
        <v>7</v>
      </c>
      <c r="M860" s="15" t="s">
        <v>66</v>
      </c>
      <c r="N860" s="15" t="s">
        <v>88</v>
      </c>
      <c r="O860" s="15" t="s">
        <v>231</v>
      </c>
      <c r="P860" s="15" t="s">
        <v>135</v>
      </c>
      <c r="Q860" s="15" t="s">
        <v>136</v>
      </c>
      <c r="R860" s="15" t="s">
        <v>185</v>
      </c>
      <c r="S860" s="15"/>
      <c r="T860" s="15"/>
      <c r="U860" s="3" t="s">
        <v>5828</v>
      </c>
      <c r="V860" s="3" t="s">
        <v>5829</v>
      </c>
      <c r="W860" s="3" t="s">
        <v>5830</v>
      </c>
      <c r="X860" s="3" t="s">
        <v>5831</v>
      </c>
      <c r="Y860" s="15" t="n">
        <v>0</v>
      </c>
      <c r="Z860" s="15" t="n">
        <v>0</v>
      </c>
      <c r="AA860" s="15" t="n">
        <v>0</v>
      </c>
      <c r="AB860" s="15" t="n">
        <v>0</v>
      </c>
      <c r="AC860" s="15" t="n">
        <v>0</v>
      </c>
      <c r="AD860" s="15" t="n">
        <v>0</v>
      </c>
      <c r="AE860" s="15" t="n">
        <v>0</v>
      </c>
      <c r="AF860" s="15" t="n">
        <v>1</v>
      </c>
      <c r="AG860" s="15" t="n">
        <v>0</v>
      </c>
      <c r="AH860" s="15" t="n">
        <v>1</v>
      </c>
    </row>
    <row r="861" customFormat="false" ht="57.45" hidden="false" customHeight="false" outlineLevel="0" collapsed="false">
      <c r="A861" s="15" t="s">
        <v>5832</v>
      </c>
      <c r="B861" s="15" t="s">
        <v>38</v>
      </c>
      <c r="C861" s="15" t="s">
        <v>2683</v>
      </c>
      <c r="D861" s="15" t="n">
        <v>50</v>
      </c>
      <c r="E861" s="15" t="s">
        <v>2768</v>
      </c>
      <c r="F861" s="15" t="n">
        <v>1</v>
      </c>
      <c r="G861" s="15" t="s">
        <v>197</v>
      </c>
      <c r="H861" s="15" t="s">
        <v>142</v>
      </c>
      <c r="I861" s="3" t="s">
        <v>5833</v>
      </c>
      <c r="J861" s="3" t="s">
        <v>3838</v>
      </c>
      <c r="K861" s="15" t="s">
        <v>133</v>
      </c>
      <c r="L861" s="16" t="s">
        <v>7</v>
      </c>
      <c r="M861" s="15" t="s">
        <v>66</v>
      </c>
      <c r="N861" s="15" t="s">
        <v>88</v>
      </c>
      <c r="O861" s="15" t="s">
        <v>1790</v>
      </c>
      <c r="P861" s="15" t="s">
        <v>135</v>
      </c>
      <c r="Q861" s="15" t="s">
        <v>129</v>
      </c>
      <c r="R861" s="15" t="s">
        <v>135</v>
      </c>
      <c r="S861" s="15"/>
      <c r="T861" s="15"/>
      <c r="U861" s="3" t="s">
        <v>5834</v>
      </c>
      <c r="V861" s="3" t="s">
        <v>5835</v>
      </c>
      <c r="W861" s="3"/>
      <c r="X861" s="3" t="s">
        <v>5836</v>
      </c>
      <c r="Y861" s="15" t="n">
        <v>0</v>
      </c>
      <c r="Z861" s="15" t="n">
        <v>0</v>
      </c>
      <c r="AA861" s="15" t="n">
        <v>0</v>
      </c>
      <c r="AB861" s="15" t="n">
        <v>0</v>
      </c>
      <c r="AC861" s="15" t="n">
        <v>0</v>
      </c>
      <c r="AD861" s="15" t="n">
        <v>0</v>
      </c>
      <c r="AE861" s="15" t="n">
        <v>1</v>
      </c>
      <c r="AF861" s="15" t="n">
        <v>1</v>
      </c>
      <c r="AG861" s="15" t="n">
        <v>0</v>
      </c>
      <c r="AH861" s="15" t="n">
        <v>0</v>
      </c>
    </row>
    <row r="862" customFormat="false" ht="35.05" hidden="false" customHeight="false" outlineLevel="0" collapsed="false">
      <c r="A862" s="15" t="s">
        <v>5837</v>
      </c>
      <c r="B862" s="15" t="s">
        <v>38</v>
      </c>
      <c r="C862" s="15" t="s">
        <v>2683</v>
      </c>
      <c r="D862" s="15" t="n">
        <v>50</v>
      </c>
      <c r="E862" s="15" t="s">
        <v>2768</v>
      </c>
      <c r="F862" s="15" t="n">
        <v>2</v>
      </c>
      <c r="G862" s="15" t="s">
        <v>141</v>
      </c>
      <c r="H862" s="15" t="s">
        <v>142</v>
      </c>
      <c r="I862" s="3" t="s">
        <v>5838</v>
      </c>
      <c r="J862" s="3" t="s">
        <v>5839</v>
      </c>
      <c r="K862" s="15" t="s">
        <v>145</v>
      </c>
      <c r="L862" s="16" t="s">
        <v>7</v>
      </c>
      <c r="M862" s="15" t="s">
        <v>68</v>
      </c>
      <c r="N862" s="15" t="s">
        <v>83</v>
      </c>
      <c r="O862" s="15" t="s">
        <v>1701</v>
      </c>
      <c r="P862" s="15" t="s">
        <v>135</v>
      </c>
      <c r="Q862" s="15" t="s">
        <v>129</v>
      </c>
      <c r="R862" s="15" t="s">
        <v>135</v>
      </c>
      <c r="S862" s="15"/>
      <c r="T862" s="15"/>
      <c r="U862" s="3" t="s">
        <v>5840</v>
      </c>
      <c r="V862" s="3" t="s">
        <v>5841</v>
      </c>
      <c r="W862" s="3"/>
      <c r="X862" s="3" t="s">
        <v>5842</v>
      </c>
      <c r="Y862" s="15" t="n">
        <v>0</v>
      </c>
      <c r="Z862" s="15" t="n">
        <v>0</v>
      </c>
      <c r="AA862" s="15" t="n">
        <v>1</v>
      </c>
      <c r="AB862" s="15" t="n">
        <v>0</v>
      </c>
      <c r="AC862" s="15" t="n">
        <v>0</v>
      </c>
      <c r="AD862" s="15" t="n">
        <v>0</v>
      </c>
      <c r="AE862" s="15" t="n">
        <v>0</v>
      </c>
      <c r="AF862" s="15" t="n">
        <v>1</v>
      </c>
      <c r="AG862" s="15" t="n">
        <v>0</v>
      </c>
      <c r="AH862" s="15" t="n">
        <v>0</v>
      </c>
    </row>
    <row r="863" customFormat="false" ht="23.85" hidden="false" customHeight="false" outlineLevel="0" collapsed="false">
      <c r="A863" s="15" t="s">
        <v>5843</v>
      </c>
      <c r="B863" s="15" t="s">
        <v>38</v>
      </c>
      <c r="C863" s="15" t="s">
        <v>2683</v>
      </c>
      <c r="D863" s="15" t="n">
        <v>81</v>
      </c>
      <c r="E863" s="15" t="s">
        <v>2787</v>
      </c>
      <c r="F863" s="15" t="n">
        <v>0</v>
      </c>
      <c r="G863" s="15" t="s">
        <v>129</v>
      </c>
      <c r="H863" s="15" t="s">
        <v>130</v>
      </c>
      <c r="I863" s="3" t="s">
        <v>5844</v>
      </c>
      <c r="J863" s="3" t="s">
        <v>5845</v>
      </c>
      <c r="K863" s="15" t="s">
        <v>133</v>
      </c>
      <c r="L863" s="18" t="s">
        <v>5</v>
      </c>
      <c r="M863" s="15" t="s">
        <v>426</v>
      </c>
      <c r="N863" s="15" t="s">
        <v>426</v>
      </c>
      <c r="O863" s="15"/>
      <c r="P863" s="15" t="s">
        <v>185</v>
      </c>
      <c r="Q863" s="15" t="s">
        <v>129</v>
      </c>
      <c r="R863" s="15" t="s">
        <v>185</v>
      </c>
      <c r="S863" s="15"/>
      <c r="T863" s="15"/>
      <c r="U863" s="3" t="s">
        <v>5846</v>
      </c>
      <c r="V863" s="3" t="s">
        <v>5096</v>
      </c>
      <c r="W863" s="3"/>
      <c r="X863" s="3"/>
      <c r="Y863" s="15" t="n">
        <v>0</v>
      </c>
      <c r="Z863" s="15" t="n">
        <v>0</v>
      </c>
      <c r="AA863" s="15" t="n">
        <v>0</v>
      </c>
      <c r="AB863" s="15" t="n">
        <v>0</v>
      </c>
      <c r="AC863" s="15" t="n">
        <v>0</v>
      </c>
      <c r="AD863" s="15" t="n">
        <v>0</v>
      </c>
      <c r="AE863" s="15" t="n">
        <v>0</v>
      </c>
      <c r="AF863" s="15" t="n">
        <v>0</v>
      </c>
      <c r="AG863" s="15" t="n">
        <v>0</v>
      </c>
      <c r="AH863" s="15" t="n">
        <v>0</v>
      </c>
    </row>
    <row r="864" customFormat="false" ht="23.85" hidden="false" customHeight="false" outlineLevel="0" collapsed="false">
      <c r="A864" s="15" t="s">
        <v>5847</v>
      </c>
      <c r="B864" s="15" t="s">
        <v>38</v>
      </c>
      <c r="C864" s="15" t="s">
        <v>2683</v>
      </c>
      <c r="D864" s="15" t="n">
        <v>81</v>
      </c>
      <c r="E864" s="15" t="s">
        <v>2787</v>
      </c>
      <c r="F864" s="15" t="n">
        <v>1</v>
      </c>
      <c r="G864" s="15" t="s">
        <v>307</v>
      </c>
      <c r="H864" s="15" t="s">
        <v>308</v>
      </c>
      <c r="I864" s="3" t="s">
        <v>2793</v>
      </c>
      <c r="J864" s="3" t="s">
        <v>5848</v>
      </c>
      <c r="K864" s="15" t="s">
        <v>145</v>
      </c>
      <c r="L864" s="16" t="s">
        <v>7</v>
      </c>
      <c r="M864" s="15" t="s">
        <v>66</v>
      </c>
      <c r="N864" s="15" t="s">
        <v>88</v>
      </c>
      <c r="O864" s="15" t="s">
        <v>3940</v>
      </c>
      <c r="P864" s="15" t="s">
        <v>135</v>
      </c>
      <c r="Q864" s="15" t="s">
        <v>129</v>
      </c>
      <c r="R864" s="15" t="s">
        <v>185</v>
      </c>
      <c r="S864" s="15"/>
      <c r="T864" s="15"/>
      <c r="U864" s="3" t="s">
        <v>5849</v>
      </c>
      <c r="V864" s="3" t="s">
        <v>5850</v>
      </c>
      <c r="W864" s="3"/>
      <c r="X864" s="3" t="s">
        <v>5851</v>
      </c>
      <c r="Y864" s="15" t="n">
        <v>0</v>
      </c>
      <c r="Z864" s="15" t="n">
        <v>0</v>
      </c>
      <c r="AA864" s="15" t="n">
        <v>0</v>
      </c>
      <c r="AB864" s="15" t="n">
        <v>0</v>
      </c>
      <c r="AC864" s="15" t="n">
        <v>0</v>
      </c>
      <c r="AD864" s="15" t="n">
        <v>0</v>
      </c>
      <c r="AE864" s="15" t="n">
        <v>0</v>
      </c>
      <c r="AF864" s="15" t="n">
        <v>1</v>
      </c>
      <c r="AG864" s="15" t="n">
        <v>1</v>
      </c>
      <c r="AH864" s="15" t="n">
        <v>0</v>
      </c>
    </row>
    <row r="865" customFormat="false" ht="35.05" hidden="false" customHeight="false" outlineLevel="0" collapsed="false">
      <c r="A865" s="15" t="s">
        <v>5852</v>
      </c>
      <c r="B865" s="15" t="s">
        <v>38</v>
      </c>
      <c r="C865" s="15" t="s">
        <v>2683</v>
      </c>
      <c r="D865" s="15" t="n">
        <v>81</v>
      </c>
      <c r="E865" s="15" t="s">
        <v>2787</v>
      </c>
      <c r="F865" s="15" t="n">
        <v>2</v>
      </c>
      <c r="G865" s="15" t="s">
        <v>197</v>
      </c>
      <c r="H865" s="15" t="s">
        <v>142</v>
      </c>
      <c r="I865" s="3" t="s">
        <v>5853</v>
      </c>
      <c r="J865" s="3" t="s">
        <v>5854</v>
      </c>
      <c r="K865" s="15" t="s">
        <v>133</v>
      </c>
      <c r="L865" s="16" t="s">
        <v>7</v>
      </c>
      <c r="M865" s="15" t="s">
        <v>66</v>
      </c>
      <c r="N865" s="15" t="s">
        <v>88</v>
      </c>
      <c r="O865" s="15" t="s">
        <v>88</v>
      </c>
      <c r="P865" s="15" t="s">
        <v>135</v>
      </c>
      <c r="Q865" s="15" t="s">
        <v>129</v>
      </c>
      <c r="R865" s="15" t="s">
        <v>185</v>
      </c>
      <c r="S865" s="15"/>
      <c r="T865" s="15"/>
      <c r="U865" s="3" t="s">
        <v>5855</v>
      </c>
      <c r="V865" s="3" t="s">
        <v>5856</v>
      </c>
      <c r="W865" s="3"/>
      <c r="X865" s="3" t="s">
        <v>5857</v>
      </c>
      <c r="Y865" s="15" t="n">
        <v>0</v>
      </c>
      <c r="Z865" s="15" t="n">
        <v>0</v>
      </c>
      <c r="AA865" s="15" t="n">
        <v>0</v>
      </c>
      <c r="AB865" s="15" t="n">
        <v>0</v>
      </c>
      <c r="AC865" s="15" t="n">
        <v>0</v>
      </c>
      <c r="AD865" s="15" t="n">
        <v>0</v>
      </c>
      <c r="AE865" s="15" t="n">
        <v>0</v>
      </c>
      <c r="AF865" s="15" t="n">
        <v>1</v>
      </c>
      <c r="AG865" s="15" t="n">
        <v>0</v>
      </c>
      <c r="AH865" s="15" t="n">
        <v>0</v>
      </c>
    </row>
    <row r="866" customFormat="false" ht="23.85" hidden="false" customHeight="false" outlineLevel="0" collapsed="false">
      <c r="A866" s="15" t="s">
        <v>5858</v>
      </c>
      <c r="B866" s="15" t="s">
        <v>38</v>
      </c>
      <c r="C866" s="15" t="s">
        <v>2683</v>
      </c>
      <c r="D866" s="15" t="n">
        <v>83</v>
      </c>
      <c r="E866" s="15" t="s">
        <v>2809</v>
      </c>
      <c r="F866" s="15" t="n">
        <v>0</v>
      </c>
      <c r="G866" s="15" t="s">
        <v>129</v>
      </c>
      <c r="H866" s="15" t="s">
        <v>130</v>
      </c>
      <c r="I866" s="3" t="s">
        <v>5859</v>
      </c>
      <c r="J866" s="3" t="s">
        <v>5860</v>
      </c>
      <c r="K866" s="15" t="s">
        <v>145</v>
      </c>
      <c r="L866" s="16" t="s">
        <v>7</v>
      </c>
      <c r="M866" s="15" t="s">
        <v>66</v>
      </c>
      <c r="N866" s="15" t="s">
        <v>88</v>
      </c>
      <c r="O866" s="15" t="s">
        <v>4158</v>
      </c>
      <c r="P866" s="15" t="s">
        <v>135</v>
      </c>
      <c r="Q866" s="15" t="s">
        <v>136</v>
      </c>
      <c r="R866" s="15" t="s">
        <v>135</v>
      </c>
      <c r="S866" s="15"/>
      <c r="T866" s="15"/>
      <c r="U866" s="3" t="s">
        <v>5861</v>
      </c>
      <c r="V866" s="3" t="s">
        <v>5862</v>
      </c>
      <c r="W866" s="3"/>
      <c r="X866" s="3" t="s">
        <v>5863</v>
      </c>
      <c r="Y866" s="15" t="n">
        <v>0</v>
      </c>
      <c r="Z866" s="15" t="n">
        <v>0</v>
      </c>
      <c r="AA866" s="15" t="n">
        <v>0</v>
      </c>
      <c r="AB866" s="15" t="n">
        <v>0</v>
      </c>
      <c r="AC866" s="15" t="n">
        <v>0</v>
      </c>
      <c r="AD866" s="15" t="n">
        <v>1</v>
      </c>
      <c r="AE866" s="15" t="n">
        <v>0</v>
      </c>
      <c r="AF866" s="15" t="n">
        <v>1</v>
      </c>
      <c r="AG866" s="15" t="n">
        <v>0</v>
      </c>
      <c r="AH866" s="15" t="n">
        <v>0</v>
      </c>
    </row>
    <row r="867" customFormat="false" ht="57.45" hidden="false" customHeight="false" outlineLevel="0" collapsed="false">
      <c r="A867" s="15" t="s">
        <v>5864</v>
      </c>
      <c r="B867" s="15" t="s">
        <v>38</v>
      </c>
      <c r="C867" s="15" t="s">
        <v>2683</v>
      </c>
      <c r="D867" s="15" t="n">
        <v>83</v>
      </c>
      <c r="E867" s="15" t="s">
        <v>2809</v>
      </c>
      <c r="F867" s="15" t="n">
        <v>1</v>
      </c>
      <c r="G867" s="15" t="s">
        <v>197</v>
      </c>
      <c r="H867" s="15" t="s">
        <v>142</v>
      </c>
      <c r="I867" s="3" t="s">
        <v>5865</v>
      </c>
      <c r="J867" s="3" t="s">
        <v>5866</v>
      </c>
      <c r="K867" s="15" t="s">
        <v>145</v>
      </c>
      <c r="L867" s="16" t="s">
        <v>7</v>
      </c>
      <c r="M867" s="15" t="s">
        <v>68</v>
      </c>
      <c r="N867" s="15" t="s">
        <v>84</v>
      </c>
      <c r="O867" s="15" t="s">
        <v>3165</v>
      </c>
      <c r="P867" s="15" t="s">
        <v>135</v>
      </c>
      <c r="Q867" s="15" t="s">
        <v>129</v>
      </c>
      <c r="R867" s="15" t="s">
        <v>135</v>
      </c>
      <c r="S867" s="15"/>
      <c r="T867" s="15"/>
      <c r="U867" s="3" t="s">
        <v>5867</v>
      </c>
      <c r="V867" s="3" t="s">
        <v>5868</v>
      </c>
      <c r="W867" s="3" t="s">
        <v>5869</v>
      </c>
      <c r="X867" s="3" t="s">
        <v>5870</v>
      </c>
      <c r="Y867" s="15" t="n">
        <v>0</v>
      </c>
      <c r="Z867" s="15" t="n">
        <v>0</v>
      </c>
      <c r="AA867" s="15" t="n">
        <v>0</v>
      </c>
      <c r="AB867" s="15" t="n">
        <v>1</v>
      </c>
      <c r="AC867" s="15" t="n">
        <v>0</v>
      </c>
      <c r="AD867" s="15" t="n">
        <v>0</v>
      </c>
      <c r="AE867" s="15" t="n">
        <v>0</v>
      </c>
      <c r="AF867" s="15" t="n">
        <v>1</v>
      </c>
      <c r="AG867" s="15" t="n">
        <v>0</v>
      </c>
      <c r="AH867" s="15" t="n">
        <v>0</v>
      </c>
    </row>
    <row r="868" customFormat="false" ht="35.05" hidden="false" customHeight="false" outlineLevel="0" collapsed="false">
      <c r="A868" s="15" t="s">
        <v>5871</v>
      </c>
      <c r="B868" s="15" t="s">
        <v>38</v>
      </c>
      <c r="C868" s="15" t="s">
        <v>2683</v>
      </c>
      <c r="D868" s="15" t="n">
        <v>83</v>
      </c>
      <c r="E868" s="15" t="s">
        <v>2809</v>
      </c>
      <c r="F868" s="15" t="n">
        <v>2</v>
      </c>
      <c r="G868" s="15" t="s">
        <v>141</v>
      </c>
      <c r="H868" s="15" t="s">
        <v>142</v>
      </c>
      <c r="I868" s="3" t="s">
        <v>5872</v>
      </c>
      <c r="J868" s="3" t="s">
        <v>5873</v>
      </c>
      <c r="K868" s="15" t="s">
        <v>145</v>
      </c>
      <c r="L868" s="16" t="s">
        <v>7</v>
      </c>
      <c r="M868" s="15" t="s">
        <v>66</v>
      </c>
      <c r="N868" s="15" t="s">
        <v>88</v>
      </c>
      <c r="O868" s="15" t="s">
        <v>88</v>
      </c>
      <c r="P868" s="15" t="s">
        <v>135</v>
      </c>
      <c r="Q868" s="15" t="s">
        <v>129</v>
      </c>
      <c r="R868" s="15" t="s">
        <v>185</v>
      </c>
      <c r="S868" s="15"/>
      <c r="T868" s="15"/>
      <c r="U868" s="3" t="s">
        <v>5874</v>
      </c>
      <c r="V868" s="3" t="s">
        <v>5875</v>
      </c>
      <c r="W868" s="3"/>
      <c r="X868" s="3" t="s">
        <v>5876</v>
      </c>
      <c r="Y868" s="15" t="n">
        <v>0</v>
      </c>
      <c r="Z868" s="15" t="n">
        <v>0</v>
      </c>
      <c r="AA868" s="15" t="n">
        <v>0</v>
      </c>
      <c r="AB868" s="15" t="n">
        <v>0</v>
      </c>
      <c r="AC868" s="15" t="n">
        <v>0</v>
      </c>
      <c r="AD868" s="15" t="n">
        <v>0</v>
      </c>
      <c r="AE868" s="15" t="n">
        <v>0</v>
      </c>
      <c r="AF868" s="15" t="n">
        <v>1</v>
      </c>
      <c r="AG868" s="15" t="n">
        <v>0</v>
      </c>
      <c r="AH868" s="15" t="n">
        <v>0</v>
      </c>
    </row>
    <row r="869" customFormat="false" ht="46.25" hidden="false" customHeight="false" outlineLevel="0" collapsed="false">
      <c r="A869" s="15" t="s">
        <v>5877</v>
      </c>
      <c r="B869" s="15" t="s">
        <v>38</v>
      </c>
      <c r="C869" s="15" t="s">
        <v>2683</v>
      </c>
      <c r="D869" s="15" t="n">
        <v>84</v>
      </c>
      <c r="E869" s="15" t="s">
        <v>2829</v>
      </c>
      <c r="F869" s="15" t="n">
        <v>0</v>
      </c>
      <c r="G869" s="15" t="s">
        <v>129</v>
      </c>
      <c r="H869" s="15" t="s">
        <v>130</v>
      </c>
      <c r="I869" s="3" t="s">
        <v>5878</v>
      </c>
      <c r="J869" s="3" t="s">
        <v>5879</v>
      </c>
      <c r="K869" s="15" t="s">
        <v>145</v>
      </c>
      <c r="L869" s="16" t="s">
        <v>7</v>
      </c>
      <c r="M869" s="15" t="s">
        <v>68</v>
      </c>
      <c r="N869" s="15" t="s">
        <v>82</v>
      </c>
      <c r="O869" s="15" t="s">
        <v>1542</v>
      </c>
      <c r="P869" s="15" t="s">
        <v>135</v>
      </c>
      <c r="Q869" s="15" t="s">
        <v>197</v>
      </c>
      <c r="R869" s="15" t="s">
        <v>135</v>
      </c>
      <c r="S869" s="15"/>
      <c r="T869" s="15"/>
      <c r="U869" s="3" t="s">
        <v>5880</v>
      </c>
      <c r="V869" s="3" t="s">
        <v>5881</v>
      </c>
      <c r="W869" s="3" t="s">
        <v>5882</v>
      </c>
      <c r="X869" s="3" t="s">
        <v>5883</v>
      </c>
      <c r="Y869" s="15" t="n">
        <v>0</v>
      </c>
      <c r="Z869" s="15" t="n">
        <v>1</v>
      </c>
      <c r="AA869" s="15" t="n">
        <v>0</v>
      </c>
      <c r="AB869" s="15" t="n">
        <v>0</v>
      </c>
      <c r="AC869" s="15" t="n">
        <v>0</v>
      </c>
      <c r="AD869" s="15" t="n">
        <v>0</v>
      </c>
      <c r="AE869" s="15" t="n">
        <v>0</v>
      </c>
      <c r="AF869" s="15" t="n">
        <v>1</v>
      </c>
      <c r="AG869" s="15" t="n">
        <v>1</v>
      </c>
      <c r="AH869" s="15" t="n">
        <v>0</v>
      </c>
    </row>
    <row r="870" customFormat="false" ht="35.05" hidden="false" customHeight="false" outlineLevel="0" collapsed="false">
      <c r="A870" s="15" t="s">
        <v>5884</v>
      </c>
      <c r="B870" s="15" t="s">
        <v>38</v>
      </c>
      <c r="C870" s="15" t="s">
        <v>2683</v>
      </c>
      <c r="D870" s="15" t="n">
        <v>84</v>
      </c>
      <c r="E870" s="15" t="s">
        <v>2829</v>
      </c>
      <c r="F870" s="15" t="n">
        <v>1</v>
      </c>
      <c r="G870" s="15" t="s">
        <v>197</v>
      </c>
      <c r="H870" s="15" t="s">
        <v>142</v>
      </c>
      <c r="I870" s="3" t="s">
        <v>5885</v>
      </c>
      <c r="J870" s="3" t="s">
        <v>5886</v>
      </c>
      <c r="K870" s="15" t="s">
        <v>133</v>
      </c>
      <c r="L870" s="16" t="s">
        <v>7</v>
      </c>
      <c r="M870" s="15" t="s">
        <v>68</v>
      </c>
      <c r="N870" s="15" t="s">
        <v>83</v>
      </c>
      <c r="O870" s="15" t="s">
        <v>1701</v>
      </c>
      <c r="P870" s="15" t="s">
        <v>135</v>
      </c>
      <c r="Q870" s="15" t="s">
        <v>141</v>
      </c>
      <c r="R870" s="15" t="s">
        <v>135</v>
      </c>
      <c r="S870" s="15"/>
      <c r="T870" s="15"/>
      <c r="U870" s="3" t="s">
        <v>5887</v>
      </c>
      <c r="V870" s="3" t="s">
        <v>5888</v>
      </c>
      <c r="W870" s="3" t="s">
        <v>5889</v>
      </c>
      <c r="X870" s="3" t="s">
        <v>5890</v>
      </c>
      <c r="Y870" s="15" t="n">
        <v>0</v>
      </c>
      <c r="Z870" s="15" t="n">
        <v>0</v>
      </c>
      <c r="AA870" s="15" t="n">
        <v>1</v>
      </c>
      <c r="AB870" s="15" t="n">
        <v>0</v>
      </c>
      <c r="AC870" s="15" t="n">
        <v>0</v>
      </c>
      <c r="AD870" s="15" t="n">
        <v>0</v>
      </c>
      <c r="AE870" s="15" t="n">
        <v>0</v>
      </c>
      <c r="AF870" s="15" t="n">
        <v>1</v>
      </c>
      <c r="AG870" s="15" t="n">
        <v>0</v>
      </c>
      <c r="AH870" s="15" t="n">
        <v>0</v>
      </c>
    </row>
    <row r="871" customFormat="false" ht="35.05" hidden="false" customHeight="false" outlineLevel="0" collapsed="false">
      <c r="A871" s="15" t="s">
        <v>5891</v>
      </c>
      <c r="B871" s="15" t="s">
        <v>38</v>
      </c>
      <c r="C871" s="15" t="s">
        <v>2683</v>
      </c>
      <c r="D871" s="15" t="n">
        <v>84</v>
      </c>
      <c r="E871" s="15" t="s">
        <v>2829</v>
      </c>
      <c r="F871" s="15" t="n">
        <v>2</v>
      </c>
      <c r="G871" s="15" t="s">
        <v>141</v>
      </c>
      <c r="H871" s="15" t="s">
        <v>142</v>
      </c>
      <c r="I871" s="3" t="s">
        <v>5892</v>
      </c>
      <c r="J871" s="3" t="s">
        <v>5893</v>
      </c>
      <c r="K871" s="15" t="s">
        <v>133</v>
      </c>
      <c r="L871" s="16" t="s">
        <v>7</v>
      </c>
      <c r="M871" s="15" t="s">
        <v>66</v>
      </c>
      <c r="N871" s="15" t="s">
        <v>88</v>
      </c>
      <c r="O871" s="15" t="s">
        <v>1790</v>
      </c>
      <c r="P871" s="15" t="s">
        <v>135</v>
      </c>
      <c r="Q871" s="15" t="s">
        <v>152</v>
      </c>
      <c r="R871" s="15" t="s">
        <v>135</v>
      </c>
      <c r="S871" s="15"/>
      <c r="T871" s="15"/>
      <c r="U871" s="3" t="s">
        <v>5894</v>
      </c>
      <c r="V871" s="3" t="s">
        <v>5895</v>
      </c>
      <c r="W871" s="3" t="s">
        <v>5896</v>
      </c>
      <c r="X871" s="3" t="s">
        <v>5897</v>
      </c>
      <c r="Y871" s="15" t="n">
        <v>0</v>
      </c>
      <c r="Z871" s="15" t="n">
        <v>0</v>
      </c>
      <c r="AA871" s="15" t="n">
        <v>0</v>
      </c>
      <c r="AB871" s="15" t="n">
        <v>0</v>
      </c>
      <c r="AC871" s="15" t="n">
        <v>0</v>
      </c>
      <c r="AD871" s="15" t="n">
        <v>0</v>
      </c>
      <c r="AE871" s="15" t="n">
        <v>1</v>
      </c>
      <c r="AF871" s="15" t="n">
        <v>1</v>
      </c>
      <c r="AG871" s="15" t="n">
        <v>0</v>
      </c>
      <c r="AH871" s="15" t="n">
        <v>0</v>
      </c>
    </row>
    <row r="872" customFormat="false" ht="23.85" hidden="false" customHeight="false" outlineLevel="0" collapsed="false">
      <c r="A872" s="15" t="s">
        <v>5898</v>
      </c>
      <c r="B872" s="15" t="s">
        <v>38</v>
      </c>
      <c r="C872" s="15" t="s">
        <v>2849</v>
      </c>
      <c r="D872" s="15" t="n">
        <v>25</v>
      </c>
      <c r="E872" s="15" t="s">
        <v>2850</v>
      </c>
      <c r="F872" s="15" t="n">
        <v>0</v>
      </c>
      <c r="G872" s="15" t="s">
        <v>129</v>
      </c>
      <c r="H872" s="15" t="s">
        <v>130</v>
      </c>
      <c r="I872" s="3" t="s">
        <v>5899</v>
      </c>
      <c r="J872" s="3" t="s">
        <v>3838</v>
      </c>
      <c r="K872" s="15" t="s">
        <v>133</v>
      </c>
      <c r="L872" s="18" t="s">
        <v>5</v>
      </c>
      <c r="M872" s="15" t="s">
        <v>426</v>
      </c>
      <c r="N872" s="15" t="s">
        <v>426</v>
      </c>
      <c r="O872" s="15"/>
      <c r="P872" s="15" t="s">
        <v>185</v>
      </c>
      <c r="Q872" s="15" t="s">
        <v>129</v>
      </c>
      <c r="R872" s="15" t="s">
        <v>185</v>
      </c>
      <c r="S872" s="15"/>
      <c r="T872" s="15"/>
      <c r="U872" s="3" t="s">
        <v>5900</v>
      </c>
      <c r="V872" s="3" t="s">
        <v>5901</v>
      </c>
      <c r="W872" s="3"/>
      <c r="X872" s="3"/>
      <c r="Y872" s="15" t="n">
        <v>0</v>
      </c>
      <c r="Z872" s="15" t="n">
        <v>0</v>
      </c>
      <c r="AA872" s="15" t="n">
        <v>0</v>
      </c>
      <c r="AB872" s="15" t="n">
        <v>0</v>
      </c>
      <c r="AC872" s="15" t="n">
        <v>0</v>
      </c>
      <c r="AD872" s="15" t="n">
        <v>0</v>
      </c>
      <c r="AE872" s="15" t="n">
        <v>0</v>
      </c>
      <c r="AF872" s="15" t="n">
        <v>0</v>
      </c>
      <c r="AG872" s="15" t="n">
        <v>0</v>
      </c>
      <c r="AH872" s="15" t="n">
        <v>0</v>
      </c>
    </row>
    <row r="873" customFormat="false" ht="35.05" hidden="false" customHeight="false" outlineLevel="0" collapsed="false">
      <c r="A873" s="15" t="s">
        <v>5902</v>
      </c>
      <c r="B873" s="15" t="s">
        <v>38</v>
      </c>
      <c r="C873" s="15" t="s">
        <v>2849</v>
      </c>
      <c r="D873" s="15" t="n">
        <v>25</v>
      </c>
      <c r="E873" s="15" t="s">
        <v>2850</v>
      </c>
      <c r="F873" s="15" t="n">
        <v>1</v>
      </c>
      <c r="G873" s="15" t="s">
        <v>197</v>
      </c>
      <c r="H873" s="15" t="s">
        <v>142</v>
      </c>
      <c r="I873" s="3" t="s">
        <v>5903</v>
      </c>
      <c r="J873" s="3" t="s">
        <v>3838</v>
      </c>
      <c r="K873" s="15" t="s">
        <v>145</v>
      </c>
      <c r="L873" s="16" t="s">
        <v>7</v>
      </c>
      <c r="M873" s="15" t="s">
        <v>66</v>
      </c>
      <c r="N873" s="15" t="s">
        <v>88</v>
      </c>
      <c r="O873" s="15" t="s">
        <v>88</v>
      </c>
      <c r="P873" s="15" t="s">
        <v>135</v>
      </c>
      <c r="Q873" s="15" t="s">
        <v>129</v>
      </c>
      <c r="R873" s="15" t="s">
        <v>185</v>
      </c>
      <c r="S873" s="15"/>
      <c r="T873" s="15"/>
      <c r="U873" s="3" t="s">
        <v>5904</v>
      </c>
      <c r="V873" s="3" t="s">
        <v>5905</v>
      </c>
      <c r="W873" s="3"/>
      <c r="X873" s="3" t="s">
        <v>5906</v>
      </c>
      <c r="Y873" s="15" t="n">
        <v>0</v>
      </c>
      <c r="Z873" s="15" t="n">
        <v>0</v>
      </c>
      <c r="AA873" s="15" t="n">
        <v>0</v>
      </c>
      <c r="AB873" s="15" t="n">
        <v>0</v>
      </c>
      <c r="AC873" s="15" t="n">
        <v>0</v>
      </c>
      <c r="AD873" s="15" t="n">
        <v>0</v>
      </c>
      <c r="AE873" s="15" t="n">
        <v>0</v>
      </c>
      <c r="AF873" s="15" t="n">
        <v>1</v>
      </c>
      <c r="AG873" s="15" t="n">
        <v>0</v>
      </c>
      <c r="AH873" s="15" t="n">
        <v>0</v>
      </c>
    </row>
    <row r="874" customFormat="false" ht="35.05" hidden="false" customHeight="false" outlineLevel="0" collapsed="false">
      <c r="A874" s="15" t="s">
        <v>5907</v>
      </c>
      <c r="B874" s="15" t="s">
        <v>38</v>
      </c>
      <c r="C874" s="15" t="s">
        <v>2849</v>
      </c>
      <c r="D874" s="15" t="n">
        <v>25</v>
      </c>
      <c r="E874" s="15" t="s">
        <v>2850</v>
      </c>
      <c r="F874" s="15" t="n">
        <v>2</v>
      </c>
      <c r="G874" s="15" t="s">
        <v>141</v>
      </c>
      <c r="H874" s="15" t="s">
        <v>142</v>
      </c>
      <c r="I874" s="3" t="s">
        <v>5899</v>
      </c>
      <c r="J874" s="3" t="s">
        <v>5908</v>
      </c>
      <c r="K874" s="15" t="s">
        <v>133</v>
      </c>
      <c r="L874" s="16" t="s">
        <v>7</v>
      </c>
      <c r="M874" s="15" t="s">
        <v>66</v>
      </c>
      <c r="N874" s="15" t="s">
        <v>88</v>
      </c>
      <c r="O874" s="15" t="s">
        <v>5909</v>
      </c>
      <c r="P874" s="15" t="s">
        <v>135</v>
      </c>
      <c r="Q874" s="15" t="s">
        <v>197</v>
      </c>
      <c r="R874" s="15" t="s">
        <v>185</v>
      </c>
      <c r="S874" s="15"/>
      <c r="T874" s="15"/>
      <c r="U874" s="3" t="s">
        <v>5910</v>
      </c>
      <c r="V874" s="3" t="s">
        <v>5911</v>
      </c>
      <c r="W874" s="3"/>
      <c r="X874" s="3" t="s">
        <v>5912</v>
      </c>
      <c r="Y874" s="15" t="n">
        <v>0</v>
      </c>
      <c r="Z874" s="15" t="n">
        <v>0</v>
      </c>
      <c r="AA874" s="15" t="n">
        <v>0</v>
      </c>
      <c r="AB874" s="15" t="n">
        <v>0</v>
      </c>
      <c r="AC874" s="15" t="n">
        <v>0</v>
      </c>
      <c r="AD874" s="15" t="n">
        <v>0</v>
      </c>
      <c r="AE874" s="15" t="n">
        <v>0</v>
      </c>
      <c r="AF874" s="15" t="n">
        <v>1</v>
      </c>
      <c r="AG874" s="15" t="n">
        <v>1</v>
      </c>
      <c r="AH874" s="15" t="n">
        <v>0</v>
      </c>
    </row>
    <row r="875" customFormat="false" ht="46.25" hidden="false" customHeight="false" outlineLevel="0" collapsed="false">
      <c r="A875" s="15" t="s">
        <v>5913</v>
      </c>
      <c r="B875" s="15" t="s">
        <v>38</v>
      </c>
      <c r="C875" s="15" t="s">
        <v>2849</v>
      </c>
      <c r="D875" s="15" t="n">
        <v>32</v>
      </c>
      <c r="E875" s="15" t="s">
        <v>2868</v>
      </c>
      <c r="F875" s="15" t="n">
        <v>0</v>
      </c>
      <c r="G875" s="15" t="s">
        <v>129</v>
      </c>
      <c r="H875" s="15" t="s">
        <v>130</v>
      </c>
      <c r="I875" s="3" t="s">
        <v>5914</v>
      </c>
      <c r="J875" s="3" t="s">
        <v>5915</v>
      </c>
      <c r="K875" s="15" t="s">
        <v>133</v>
      </c>
      <c r="L875" s="16" t="s">
        <v>7</v>
      </c>
      <c r="M875" s="15" t="s">
        <v>68</v>
      </c>
      <c r="N875" s="15" t="s">
        <v>82</v>
      </c>
      <c r="O875" s="15" t="s">
        <v>549</v>
      </c>
      <c r="P875" s="15" t="s">
        <v>185</v>
      </c>
      <c r="Q875" s="15" t="s">
        <v>129</v>
      </c>
      <c r="R875" s="15" t="s">
        <v>135</v>
      </c>
      <c r="S875" s="15"/>
      <c r="T875" s="15"/>
      <c r="U875" s="3" t="s">
        <v>5916</v>
      </c>
      <c r="V875" s="3" t="s">
        <v>5917</v>
      </c>
      <c r="W875" s="3" t="s">
        <v>5918</v>
      </c>
      <c r="X875" s="3" t="s">
        <v>5919</v>
      </c>
      <c r="Y875" s="15" t="n">
        <v>0</v>
      </c>
      <c r="Z875" s="15" t="n">
        <v>1</v>
      </c>
      <c r="AA875" s="15" t="n">
        <v>0</v>
      </c>
      <c r="AB875" s="15" t="n">
        <v>0</v>
      </c>
      <c r="AC875" s="15" t="n">
        <v>0</v>
      </c>
      <c r="AD875" s="15" t="n">
        <v>0</v>
      </c>
      <c r="AE875" s="15" t="n">
        <v>0</v>
      </c>
      <c r="AF875" s="15" t="n">
        <v>0</v>
      </c>
      <c r="AG875" s="15" t="n">
        <v>0</v>
      </c>
      <c r="AH875" s="15" t="n">
        <v>1</v>
      </c>
    </row>
    <row r="876" customFormat="false" ht="35.05" hidden="false" customHeight="false" outlineLevel="0" collapsed="false">
      <c r="A876" s="15" t="s">
        <v>5920</v>
      </c>
      <c r="B876" s="15" t="s">
        <v>38</v>
      </c>
      <c r="C876" s="15" t="s">
        <v>2849</v>
      </c>
      <c r="D876" s="15" t="n">
        <v>32</v>
      </c>
      <c r="E876" s="15" t="s">
        <v>2868</v>
      </c>
      <c r="F876" s="15" t="n">
        <v>1</v>
      </c>
      <c r="G876" s="15" t="s">
        <v>152</v>
      </c>
      <c r="H876" s="15" t="s">
        <v>142</v>
      </c>
      <c r="I876" s="3" t="s">
        <v>5921</v>
      </c>
      <c r="J876" s="3" t="s">
        <v>5922</v>
      </c>
      <c r="K876" s="15" t="s">
        <v>145</v>
      </c>
      <c r="L876" s="16" t="s">
        <v>7</v>
      </c>
      <c r="M876" s="15" t="s">
        <v>66</v>
      </c>
      <c r="N876" s="15" t="s">
        <v>88</v>
      </c>
      <c r="O876" s="15" t="s">
        <v>88</v>
      </c>
      <c r="P876" s="15" t="s">
        <v>135</v>
      </c>
      <c r="Q876" s="15" t="s">
        <v>129</v>
      </c>
      <c r="R876" s="15" t="s">
        <v>185</v>
      </c>
      <c r="S876" s="15"/>
      <c r="T876" s="15"/>
      <c r="U876" s="3" t="s">
        <v>5923</v>
      </c>
      <c r="V876" s="3" t="s">
        <v>5924</v>
      </c>
      <c r="W876" s="3"/>
      <c r="X876" s="3" t="s">
        <v>5925</v>
      </c>
      <c r="Y876" s="15" t="n">
        <v>0</v>
      </c>
      <c r="Z876" s="15" t="n">
        <v>0</v>
      </c>
      <c r="AA876" s="15" t="n">
        <v>0</v>
      </c>
      <c r="AB876" s="15" t="n">
        <v>0</v>
      </c>
      <c r="AC876" s="15" t="n">
        <v>0</v>
      </c>
      <c r="AD876" s="15" t="n">
        <v>0</v>
      </c>
      <c r="AE876" s="15" t="n">
        <v>0</v>
      </c>
      <c r="AF876" s="15" t="n">
        <v>1</v>
      </c>
      <c r="AG876" s="15" t="n">
        <v>0</v>
      </c>
      <c r="AH876" s="15" t="n">
        <v>0</v>
      </c>
    </row>
    <row r="877" customFormat="false" ht="35.05" hidden="false" customHeight="false" outlineLevel="0" collapsed="false">
      <c r="A877" s="15" t="s">
        <v>5926</v>
      </c>
      <c r="B877" s="15" t="s">
        <v>38</v>
      </c>
      <c r="C877" s="15" t="s">
        <v>2849</v>
      </c>
      <c r="D877" s="15" t="n">
        <v>32</v>
      </c>
      <c r="E877" s="15" t="s">
        <v>2868</v>
      </c>
      <c r="F877" s="15" t="n">
        <v>2</v>
      </c>
      <c r="G877" s="15" t="s">
        <v>197</v>
      </c>
      <c r="H877" s="15" t="s">
        <v>142</v>
      </c>
      <c r="I877" s="3" t="s">
        <v>5927</v>
      </c>
      <c r="J877" s="3" t="s">
        <v>5928</v>
      </c>
      <c r="K877" s="15" t="s">
        <v>133</v>
      </c>
      <c r="L877" s="17" t="s">
        <v>9</v>
      </c>
      <c r="M877" s="15" t="s">
        <v>70</v>
      </c>
      <c r="N877" s="15" t="s">
        <v>81</v>
      </c>
      <c r="O877" s="15" t="s">
        <v>81</v>
      </c>
      <c r="P877" s="15" t="s">
        <v>135</v>
      </c>
      <c r="Q877" s="15" t="s">
        <v>129</v>
      </c>
      <c r="R877" s="15" t="s">
        <v>135</v>
      </c>
      <c r="S877" s="15" t="s">
        <v>405</v>
      </c>
      <c r="T877" s="15" t="s">
        <v>390</v>
      </c>
      <c r="U877" s="3" t="s">
        <v>5929</v>
      </c>
      <c r="V877" s="3" t="s">
        <v>5930</v>
      </c>
      <c r="W877" s="3"/>
      <c r="X877" s="3"/>
      <c r="Y877" s="15" t="n">
        <v>1</v>
      </c>
      <c r="Z877" s="15" t="n">
        <v>0</v>
      </c>
      <c r="AA877" s="15" t="n">
        <v>0</v>
      </c>
      <c r="AB877" s="15" t="n">
        <v>0</v>
      </c>
      <c r="AC877" s="15" t="n">
        <v>0</v>
      </c>
      <c r="AD877" s="15" t="n">
        <v>0</v>
      </c>
      <c r="AE877" s="15" t="n">
        <v>0</v>
      </c>
      <c r="AF877" s="15" t="n">
        <v>0</v>
      </c>
      <c r="AG877" s="15" t="n">
        <v>0</v>
      </c>
      <c r="AH877" s="15" t="n">
        <v>0</v>
      </c>
    </row>
    <row r="878" customFormat="false" ht="46.25" hidden="false" customHeight="false" outlineLevel="0" collapsed="false">
      <c r="A878" s="15" t="s">
        <v>5931</v>
      </c>
      <c r="B878" s="15" t="s">
        <v>38</v>
      </c>
      <c r="C878" s="15" t="s">
        <v>2849</v>
      </c>
      <c r="D878" s="15" t="n">
        <v>36</v>
      </c>
      <c r="E878" s="15" t="s">
        <v>2888</v>
      </c>
      <c r="F878" s="15" t="n">
        <v>0</v>
      </c>
      <c r="G878" s="15" t="s">
        <v>129</v>
      </c>
      <c r="H878" s="15" t="s">
        <v>130</v>
      </c>
      <c r="I878" s="3" t="s">
        <v>5932</v>
      </c>
      <c r="J878" s="3" t="s">
        <v>5933</v>
      </c>
      <c r="K878" s="15" t="s">
        <v>145</v>
      </c>
      <c r="L878" s="16" t="s">
        <v>7</v>
      </c>
      <c r="M878" s="15" t="s">
        <v>68</v>
      </c>
      <c r="N878" s="15" t="s">
        <v>84</v>
      </c>
      <c r="O878" s="15" t="s">
        <v>3186</v>
      </c>
      <c r="P878" s="15" t="s">
        <v>185</v>
      </c>
      <c r="Q878" s="15" t="s">
        <v>129</v>
      </c>
      <c r="R878" s="15" t="s">
        <v>135</v>
      </c>
      <c r="S878" s="15"/>
      <c r="T878" s="15"/>
      <c r="U878" s="3" t="s">
        <v>5934</v>
      </c>
      <c r="V878" s="3" t="s">
        <v>5935</v>
      </c>
      <c r="W878" s="3" t="s">
        <v>5936</v>
      </c>
      <c r="X878" s="3" t="s">
        <v>5937</v>
      </c>
      <c r="Y878" s="15" t="n">
        <v>0</v>
      </c>
      <c r="Z878" s="15" t="n">
        <v>0</v>
      </c>
      <c r="AA878" s="15" t="n">
        <v>0</v>
      </c>
      <c r="AB878" s="15" t="n">
        <v>1</v>
      </c>
      <c r="AC878" s="15" t="n">
        <v>0</v>
      </c>
      <c r="AD878" s="15" t="n">
        <v>0</v>
      </c>
      <c r="AE878" s="15" t="n">
        <v>1</v>
      </c>
      <c r="AF878" s="15" t="n">
        <v>0</v>
      </c>
      <c r="AG878" s="15" t="n">
        <v>0</v>
      </c>
      <c r="AH878" s="15" t="n">
        <v>0</v>
      </c>
    </row>
    <row r="879" customFormat="false" ht="46.25" hidden="false" customHeight="false" outlineLevel="0" collapsed="false">
      <c r="A879" s="15" t="s">
        <v>5938</v>
      </c>
      <c r="B879" s="15" t="s">
        <v>38</v>
      </c>
      <c r="C879" s="15" t="s">
        <v>2849</v>
      </c>
      <c r="D879" s="15" t="n">
        <v>36</v>
      </c>
      <c r="E879" s="15" t="s">
        <v>2888</v>
      </c>
      <c r="F879" s="15" t="n">
        <v>1</v>
      </c>
      <c r="G879" s="15" t="s">
        <v>197</v>
      </c>
      <c r="H879" s="15" t="s">
        <v>142</v>
      </c>
      <c r="I879" s="3" t="s">
        <v>5939</v>
      </c>
      <c r="J879" s="3" t="s">
        <v>5940</v>
      </c>
      <c r="K879" s="15" t="s">
        <v>133</v>
      </c>
      <c r="L879" s="17" t="s">
        <v>9</v>
      </c>
      <c r="M879" s="15" t="s">
        <v>70</v>
      </c>
      <c r="N879" s="15" t="s">
        <v>81</v>
      </c>
      <c r="O879" s="15" t="s">
        <v>81</v>
      </c>
      <c r="P879" s="15" t="s">
        <v>135</v>
      </c>
      <c r="Q879" s="15" t="s">
        <v>129</v>
      </c>
      <c r="R879" s="15" t="s">
        <v>135</v>
      </c>
      <c r="S879" s="15" t="s">
        <v>398</v>
      </c>
      <c r="T879" s="15" t="s">
        <v>327</v>
      </c>
      <c r="U879" s="3" t="s">
        <v>5941</v>
      </c>
      <c r="V879" s="3" t="s">
        <v>5942</v>
      </c>
      <c r="W879" s="3"/>
      <c r="X879" s="3"/>
      <c r="Y879" s="15" t="n">
        <v>1</v>
      </c>
      <c r="Z879" s="15" t="n">
        <v>0</v>
      </c>
      <c r="AA879" s="15" t="n">
        <v>0</v>
      </c>
      <c r="AB879" s="15" t="n">
        <v>0</v>
      </c>
      <c r="AC879" s="15" t="n">
        <v>0</v>
      </c>
      <c r="AD879" s="15" t="n">
        <v>0</v>
      </c>
      <c r="AE879" s="15" t="n">
        <v>0</v>
      </c>
      <c r="AF879" s="15" t="n">
        <v>0</v>
      </c>
      <c r="AG879" s="15" t="n">
        <v>0</v>
      </c>
      <c r="AH879" s="15" t="n">
        <v>0</v>
      </c>
    </row>
    <row r="880" customFormat="false" ht="57.45" hidden="false" customHeight="false" outlineLevel="0" collapsed="false">
      <c r="A880" s="15" t="s">
        <v>5943</v>
      </c>
      <c r="B880" s="15" t="s">
        <v>38</v>
      </c>
      <c r="C880" s="15" t="s">
        <v>2849</v>
      </c>
      <c r="D880" s="15" t="n">
        <v>36</v>
      </c>
      <c r="E880" s="15" t="s">
        <v>2888</v>
      </c>
      <c r="F880" s="15" t="n">
        <v>2</v>
      </c>
      <c r="G880" s="15" t="s">
        <v>141</v>
      </c>
      <c r="H880" s="15" t="s">
        <v>142</v>
      </c>
      <c r="I880" s="3" t="s">
        <v>5944</v>
      </c>
      <c r="J880" s="3" t="s">
        <v>5945</v>
      </c>
      <c r="K880" s="15" t="s">
        <v>145</v>
      </c>
      <c r="L880" s="16" t="s">
        <v>7</v>
      </c>
      <c r="M880" s="15" t="s">
        <v>68</v>
      </c>
      <c r="N880" s="15" t="s">
        <v>84</v>
      </c>
      <c r="O880" s="15" t="s">
        <v>3165</v>
      </c>
      <c r="P880" s="15" t="s">
        <v>135</v>
      </c>
      <c r="Q880" s="15" t="s">
        <v>129</v>
      </c>
      <c r="R880" s="15" t="s">
        <v>135</v>
      </c>
      <c r="S880" s="15"/>
      <c r="T880" s="15"/>
      <c r="U880" s="3" t="s">
        <v>5946</v>
      </c>
      <c r="V880" s="3" t="s">
        <v>5947</v>
      </c>
      <c r="W880" s="3" t="s">
        <v>5948</v>
      </c>
      <c r="X880" s="3" t="s">
        <v>5949</v>
      </c>
      <c r="Y880" s="15" t="n">
        <v>0</v>
      </c>
      <c r="Z880" s="15" t="n">
        <v>0</v>
      </c>
      <c r="AA880" s="15" t="n">
        <v>0</v>
      </c>
      <c r="AB880" s="15" t="n">
        <v>1</v>
      </c>
      <c r="AC880" s="15" t="n">
        <v>0</v>
      </c>
      <c r="AD880" s="15" t="n">
        <v>0</v>
      </c>
      <c r="AE880" s="15" t="n">
        <v>0</v>
      </c>
      <c r="AF880" s="15" t="n">
        <v>1</v>
      </c>
      <c r="AG880" s="15" t="n">
        <v>0</v>
      </c>
      <c r="AH880" s="15" t="n">
        <v>0</v>
      </c>
    </row>
    <row r="881" customFormat="false" ht="68.65" hidden="false" customHeight="false" outlineLevel="0" collapsed="false">
      <c r="A881" s="15" t="s">
        <v>5950</v>
      </c>
      <c r="B881" s="15" t="s">
        <v>38</v>
      </c>
      <c r="C881" s="15" t="s">
        <v>2849</v>
      </c>
      <c r="D881" s="15" t="n">
        <v>38</v>
      </c>
      <c r="E881" s="15" t="s">
        <v>2904</v>
      </c>
      <c r="F881" s="15" t="n">
        <v>0</v>
      </c>
      <c r="G881" s="15" t="s">
        <v>129</v>
      </c>
      <c r="H881" s="15" t="s">
        <v>130</v>
      </c>
      <c r="I881" s="3" t="s">
        <v>5951</v>
      </c>
      <c r="J881" s="3" t="s">
        <v>5952</v>
      </c>
      <c r="K881" s="15" t="s">
        <v>133</v>
      </c>
      <c r="L881" s="16" t="s">
        <v>7</v>
      </c>
      <c r="M881" s="15" t="s">
        <v>68</v>
      </c>
      <c r="N881" s="15" t="s">
        <v>88</v>
      </c>
      <c r="O881" s="15" t="s">
        <v>5953</v>
      </c>
      <c r="P881" s="15" t="s">
        <v>185</v>
      </c>
      <c r="Q881" s="15" t="s">
        <v>129</v>
      </c>
      <c r="R881" s="15" t="s">
        <v>135</v>
      </c>
      <c r="S881" s="15"/>
      <c r="T881" s="15"/>
      <c r="U881" s="3" t="s">
        <v>5954</v>
      </c>
      <c r="V881" s="3" t="s">
        <v>5955</v>
      </c>
      <c r="W881" s="3" t="s">
        <v>5956</v>
      </c>
      <c r="X881" s="3" t="s">
        <v>5957</v>
      </c>
      <c r="Y881" s="15" t="n">
        <v>0</v>
      </c>
      <c r="Z881" s="15" t="n">
        <v>0</v>
      </c>
      <c r="AA881" s="15" t="n">
        <v>0</v>
      </c>
      <c r="AB881" s="15" t="n">
        <v>1</v>
      </c>
      <c r="AC881" s="15" t="n">
        <v>0</v>
      </c>
      <c r="AD881" s="15" t="n">
        <v>0</v>
      </c>
      <c r="AE881" s="15" t="n">
        <v>0</v>
      </c>
      <c r="AF881" s="15" t="n">
        <v>1</v>
      </c>
      <c r="AG881" s="15" t="n">
        <v>0</v>
      </c>
      <c r="AH881" s="15" t="n">
        <v>1</v>
      </c>
    </row>
    <row r="882" customFormat="false" ht="68.65" hidden="false" customHeight="false" outlineLevel="0" collapsed="false">
      <c r="A882" s="15" t="s">
        <v>5958</v>
      </c>
      <c r="B882" s="15" t="s">
        <v>38</v>
      </c>
      <c r="C882" s="15" t="s">
        <v>2849</v>
      </c>
      <c r="D882" s="15" t="n">
        <v>38</v>
      </c>
      <c r="E882" s="15" t="s">
        <v>2904</v>
      </c>
      <c r="F882" s="15" t="n">
        <v>1</v>
      </c>
      <c r="G882" s="15" t="s">
        <v>152</v>
      </c>
      <c r="H882" s="15" t="s">
        <v>142</v>
      </c>
      <c r="I882" s="3" t="s">
        <v>5952</v>
      </c>
      <c r="J882" s="3" t="s">
        <v>5952</v>
      </c>
      <c r="K882" s="15" t="s">
        <v>133</v>
      </c>
      <c r="L882" s="16" t="s">
        <v>7</v>
      </c>
      <c r="M882" s="15" t="s">
        <v>68</v>
      </c>
      <c r="N882" s="15" t="s">
        <v>88</v>
      </c>
      <c r="O882" s="15" t="s">
        <v>5953</v>
      </c>
      <c r="P882" s="15" t="s">
        <v>135</v>
      </c>
      <c r="Q882" s="15" t="s">
        <v>129</v>
      </c>
      <c r="R882" s="15" t="s">
        <v>135</v>
      </c>
      <c r="S882" s="15"/>
      <c r="T882" s="15"/>
      <c r="U882" s="3" t="s">
        <v>5954</v>
      </c>
      <c r="V882" s="3" t="s">
        <v>5959</v>
      </c>
      <c r="W882" s="3" t="s">
        <v>5956</v>
      </c>
      <c r="X882" s="3" t="s">
        <v>5957</v>
      </c>
      <c r="Y882" s="15" t="n">
        <v>0</v>
      </c>
      <c r="Z882" s="15" t="n">
        <v>0</v>
      </c>
      <c r="AA882" s="15" t="n">
        <v>0</v>
      </c>
      <c r="AB882" s="15" t="n">
        <v>1</v>
      </c>
      <c r="AC882" s="15" t="n">
        <v>0</v>
      </c>
      <c r="AD882" s="15" t="n">
        <v>0</v>
      </c>
      <c r="AE882" s="15" t="n">
        <v>0</v>
      </c>
      <c r="AF882" s="15" t="n">
        <v>1</v>
      </c>
      <c r="AG882" s="15" t="n">
        <v>0</v>
      </c>
      <c r="AH882" s="15" t="n">
        <v>1</v>
      </c>
    </row>
    <row r="883" customFormat="false" ht="68.65" hidden="false" customHeight="false" outlineLevel="0" collapsed="false">
      <c r="A883" s="15" t="s">
        <v>5960</v>
      </c>
      <c r="B883" s="15" t="s">
        <v>38</v>
      </c>
      <c r="C883" s="15" t="s">
        <v>2849</v>
      </c>
      <c r="D883" s="15" t="n">
        <v>38</v>
      </c>
      <c r="E883" s="15" t="s">
        <v>2904</v>
      </c>
      <c r="F883" s="15" t="n">
        <v>2</v>
      </c>
      <c r="G883" s="15" t="s">
        <v>197</v>
      </c>
      <c r="H883" s="15" t="s">
        <v>142</v>
      </c>
      <c r="I883" s="3" t="s">
        <v>5952</v>
      </c>
      <c r="J883" s="3" t="s">
        <v>5952</v>
      </c>
      <c r="K883" s="15" t="s">
        <v>145</v>
      </c>
      <c r="L883" s="16" t="s">
        <v>7</v>
      </c>
      <c r="M883" s="15" t="s">
        <v>68</v>
      </c>
      <c r="N883" s="15" t="s">
        <v>88</v>
      </c>
      <c r="O883" s="15" t="s">
        <v>5953</v>
      </c>
      <c r="P883" s="15" t="s">
        <v>135</v>
      </c>
      <c r="Q883" s="15" t="s">
        <v>129</v>
      </c>
      <c r="R883" s="15" t="s">
        <v>135</v>
      </c>
      <c r="S883" s="15"/>
      <c r="T883" s="15"/>
      <c r="U883" s="3" t="s">
        <v>5954</v>
      </c>
      <c r="V883" s="3" t="s">
        <v>5959</v>
      </c>
      <c r="W883" s="3" t="s">
        <v>5956</v>
      </c>
      <c r="X883" s="3" t="s">
        <v>5957</v>
      </c>
      <c r="Y883" s="15" t="n">
        <v>0</v>
      </c>
      <c r="Z883" s="15" t="n">
        <v>0</v>
      </c>
      <c r="AA883" s="15" t="n">
        <v>0</v>
      </c>
      <c r="AB883" s="15" t="n">
        <v>1</v>
      </c>
      <c r="AC883" s="15" t="n">
        <v>0</v>
      </c>
      <c r="AD883" s="15" t="n">
        <v>0</v>
      </c>
      <c r="AE883" s="15" t="n">
        <v>0</v>
      </c>
      <c r="AF883" s="15" t="n">
        <v>1</v>
      </c>
      <c r="AG883" s="15" t="n">
        <v>0</v>
      </c>
      <c r="AH883" s="15" t="n">
        <v>1</v>
      </c>
    </row>
    <row r="884" customFormat="false" ht="35.05" hidden="false" customHeight="false" outlineLevel="0" collapsed="false">
      <c r="A884" s="15" t="s">
        <v>5961</v>
      </c>
      <c r="B884" s="15" t="s">
        <v>38</v>
      </c>
      <c r="C884" s="15" t="s">
        <v>2849</v>
      </c>
      <c r="D884" s="15" t="n">
        <v>41</v>
      </c>
      <c r="E884" s="15" t="s">
        <v>2927</v>
      </c>
      <c r="F884" s="15" t="n">
        <v>0</v>
      </c>
      <c r="G884" s="15" t="s">
        <v>141</v>
      </c>
      <c r="H884" s="15" t="s">
        <v>142</v>
      </c>
      <c r="I884" s="3" t="s">
        <v>5962</v>
      </c>
      <c r="J884" s="3" t="s">
        <v>2929</v>
      </c>
      <c r="K884" s="15" t="s">
        <v>145</v>
      </c>
      <c r="L884" s="16" t="s">
        <v>7</v>
      </c>
      <c r="M884" s="15" t="s">
        <v>66</v>
      </c>
      <c r="N884" s="15" t="s">
        <v>88</v>
      </c>
      <c r="O884" s="15" t="s">
        <v>1798</v>
      </c>
      <c r="P884" s="15" t="s">
        <v>135</v>
      </c>
      <c r="Q884" s="15" t="s">
        <v>129</v>
      </c>
      <c r="R884" s="15" t="s">
        <v>135</v>
      </c>
      <c r="S884" s="15"/>
      <c r="T884" s="15"/>
      <c r="U884" s="3" t="s">
        <v>5963</v>
      </c>
      <c r="V884" s="3" t="s">
        <v>5964</v>
      </c>
      <c r="W884" s="3" t="s">
        <v>5965</v>
      </c>
      <c r="X884" s="3" t="s">
        <v>5966</v>
      </c>
      <c r="Y884" s="15" t="n">
        <v>0</v>
      </c>
      <c r="Z884" s="15" t="n">
        <v>0</v>
      </c>
      <c r="AA884" s="15" t="n">
        <v>0</v>
      </c>
      <c r="AB884" s="15" t="n">
        <v>0</v>
      </c>
      <c r="AC884" s="15" t="n">
        <v>0</v>
      </c>
      <c r="AD884" s="15" t="n">
        <v>1</v>
      </c>
      <c r="AE884" s="15" t="n">
        <v>0</v>
      </c>
      <c r="AF884" s="15" t="n">
        <v>1</v>
      </c>
      <c r="AG884" s="15" t="n">
        <v>0</v>
      </c>
      <c r="AH884" s="15" t="n">
        <v>1</v>
      </c>
    </row>
    <row r="885" customFormat="false" ht="46.25" hidden="false" customHeight="false" outlineLevel="0" collapsed="false">
      <c r="A885" s="15" t="s">
        <v>5967</v>
      </c>
      <c r="B885" s="15" t="s">
        <v>38</v>
      </c>
      <c r="C885" s="15" t="s">
        <v>2849</v>
      </c>
      <c r="D885" s="15" t="n">
        <v>41</v>
      </c>
      <c r="E885" s="15" t="s">
        <v>2927</v>
      </c>
      <c r="F885" s="15" t="n">
        <v>1</v>
      </c>
      <c r="G885" s="15" t="s">
        <v>152</v>
      </c>
      <c r="H885" s="15" t="s">
        <v>142</v>
      </c>
      <c r="I885" s="3" t="s">
        <v>5968</v>
      </c>
      <c r="J885" s="3" t="s">
        <v>5969</v>
      </c>
      <c r="K885" s="15" t="s">
        <v>145</v>
      </c>
      <c r="L885" s="16" t="s">
        <v>7</v>
      </c>
      <c r="M885" s="15" t="s">
        <v>68</v>
      </c>
      <c r="N885" s="15" t="s">
        <v>87</v>
      </c>
      <c r="O885" s="15" t="s">
        <v>1491</v>
      </c>
      <c r="P885" s="15" t="s">
        <v>135</v>
      </c>
      <c r="Q885" s="15" t="s">
        <v>129</v>
      </c>
      <c r="R885" s="15" t="s">
        <v>135</v>
      </c>
      <c r="S885" s="15"/>
      <c r="T885" s="15"/>
      <c r="U885" s="3" t="s">
        <v>5970</v>
      </c>
      <c r="V885" s="3" t="s">
        <v>5971</v>
      </c>
      <c r="W885" s="3" t="s">
        <v>5972</v>
      </c>
      <c r="X885" s="3" t="s">
        <v>5973</v>
      </c>
      <c r="Y885" s="15" t="n">
        <v>0</v>
      </c>
      <c r="Z885" s="15" t="n">
        <v>1</v>
      </c>
      <c r="AA885" s="15" t="n">
        <v>0</v>
      </c>
      <c r="AB885" s="15" t="n">
        <v>0</v>
      </c>
      <c r="AC885" s="15" t="n">
        <v>0</v>
      </c>
      <c r="AD885" s="15" t="n">
        <v>0</v>
      </c>
      <c r="AE885" s="15" t="n">
        <v>1</v>
      </c>
      <c r="AF885" s="15" t="n">
        <v>1</v>
      </c>
      <c r="AG885" s="15" t="n">
        <v>0</v>
      </c>
      <c r="AH885" s="15" t="n">
        <v>0</v>
      </c>
    </row>
    <row r="886" customFormat="false" ht="35.05" hidden="false" customHeight="false" outlineLevel="0" collapsed="false">
      <c r="A886" s="15" t="s">
        <v>5974</v>
      </c>
      <c r="B886" s="15" t="s">
        <v>38</v>
      </c>
      <c r="C886" s="15" t="s">
        <v>2849</v>
      </c>
      <c r="D886" s="15" t="n">
        <v>41</v>
      </c>
      <c r="E886" s="15" t="s">
        <v>2927</v>
      </c>
      <c r="F886" s="15" t="n">
        <v>2</v>
      </c>
      <c r="G886" s="15" t="s">
        <v>129</v>
      </c>
      <c r="H886" s="15" t="s">
        <v>130</v>
      </c>
      <c r="I886" s="3" t="s">
        <v>5975</v>
      </c>
      <c r="J886" s="3" t="s">
        <v>5969</v>
      </c>
      <c r="K886" s="15" t="s">
        <v>133</v>
      </c>
      <c r="L886" s="16" t="s">
        <v>7</v>
      </c>
      <c r="M886" s="15" t="s">
        <v>68</v>
      </c>
      <c r="N886" s="15" t="s">
        <v>82</v>
      </c>
      <c r="O886" s="15" t="s">
        <v>5976</v>
      </c>
      <c r="P886" s="15" t="s">
        <v>135</v>
      </c>
      <c r="Q886" s="15" t="s">
        <v>197</v>
      </c>
      <c r="R886" s="15" t="s">
        <v>135</v>
      </c>
      <c r="S886" s="15"/>
      <c r="T886" s="15"/>
      <c r="U886" s="3" t="s">
        <v>5977</v>
      </c>
      <c r="V886" s="3" t="s">
        <v>5978</v>
      </c>
      <c r="W886" s="3"/>
      <c r="X886" s="3" t="s">
        <v>5979</v>
      </c>
      <c r="Y886" s="15" t="n">
        <v>0</v>
      </c>
      <c r="Z886" s="15" t="n">
        <v>1</v>
      </c>
      <c r="AA886" s="15" t="n">
        <v>0</v>
      </c>
      <c r="AB886" s="15" t="n">
        <v>1</v>
      </c>
      <c r="AC886" s="15" t="n">
        <v>0</v>
      </c>
      <c r="AD886" s="15" t="n">
        <v>0</v>
      </c>
      <c r="AE886" s="15" t="n">
        <v>1</v>
      </c>
      <c r="AF886" s="15" t="n">
        <v>1</v>
      </c>
      <c r="AG886" s="15" t="n">
        <v>0</v>
      </c>
      <c r="AH886" s="15" t="n">
        <v>0</v>
      </c>
    </row>
    <row r="887" customFormat="false" ht="35.05" hidden="false" customHeight="false" outlineLevel="0" collapsed="false">
      <c r="A887" s="15" t="s">
        <v>5980</v>
      </c>
      <c r="B887" s="15" t="s">
        <v>38</v>
      </c>
      <c r="C887" s="15" t="s">
        <v>2849</v>
      </c>
      <c r="D887" s="15" t="n">
        <v>53</v>
      </c>
      <c r="E887" s="15" t="s">
        <v>2951</v>
      </c>
      <c r="F887" s="15" t="n">
        <v>0</v>
      </c>
      <c r="G887" s="15" t="s">
        <v>129</v>
      </c>
      <c r="H887" s="15" t="s">
        <v>130</v>
      </c>
      <c r="I887" s="3" t="s">
        <v>5981</v>
      </c>
      <c r="J887" s="3" t="s">
        <v>3838</v>
      </c>
      <c r="K887" s="15" t="s">
        <v>133</v>
      </c>
      <c r="L887" s="18" t="s">
        <v>5</v>
      </c>
      <c r="M887" s="15" t="s">
        <v>426</v>
      </c>
      <c r="N887" s="15" t="s">
        <v>426</v>
      </c>
      <c r="O887" s="15"/>
      <c r="P887" s="15" t="s">
        <v>185</v>
      </c>
      <c r="Q887" s="15" t="s">
        <v>129</v>
      </c>
      <c r="R887" s="15" t="s">
        <v>185</v>
      </c>
      <c r="S887" s="15"/>
      <c r="T887" s="15"/>
      <c r="U887" s="3" t="s">
        <v>5982</v>
      </c>
      <c r="V887" s="3" t="s">
        <v>4268</v>
      </c>
      <c r="W887" s="3"/>
      <c r="X887" s="3"/>
      <c r="Y887" s="15" t="n">
        <v>0</v>
      </c>
      <c r="Z887" s="15" t="n">
        <v>0</v>
      </c>
      <c r="AA887" s="15" t="n">
        <v>0</v>
      </c>
      <c r="AB887" s="15" t="n">
        <v>0</v>
      </c>
      <c r="AC887" s="15" t="n">
        <v>0</v>
      </c>
      <c r="AD887" s="15" t="n">
        <v>0</v>
      </c>
      <c r="AE887" s="15" t="n">
        <v>0</v>
      </c>
      <c r="AF887" s="15" t="n">
        <v>0</v>
      </c>
      <c r="AG887" s="15" t="n">
        <v>0</v>
      </c>
      <c r="AH887" s="15" t="n">
        <v>0</v>
      </c>
    </row>
    <row r="888" customFormat="false" ht="57.45" hidden="false" customHeight="false" outlineLevel="0" collapsed="false">
      <c r="A888" s="15" t="s">
        <v>5983</v>
      </c>
      <c r="B888" s="15" t="s">
        <v>38</v>
      </c>
      <c r="C888" s="15" t="s">
        <v>2849</v>
      </c>
      <c r="D888" s="15" t="n">
        <v>53</v>
      </c>
      <c r="E888" s="15" t="s">
        <v>2951</v>
      </c>
      <c r="F888" s="15" t="n">
        <v>1</v>
      </c>
      <c r="G888" s="15" t="s">
        <v>141</v>
      </c>
      <c r="H888" s="15" t="s">
        <v>142</v>
      </c>
      <c r="I888" s="3" t="s">
        <v>5984</v>
      </c>
      <c r="J888" s="3" t="s">
        <v>5985</v>
      </c>
      <c r="K888" s="15" t="s">
        <v>145</v>
      </c>
      <c r="L888" s="18" t="s">
        <v>5</v>
      </c>
      <c r="M888" s="15" t="s">
        <v>426</v>
      </c>
      <c r="N888" s="15" t="s">
        <v>426</v>
      </c>
      <c r="O888" s="15"/>
      <c r="P888" s="15" t="s">
        <v>185</v>
      </c>
      <c r="Q888" s="15" t="s">
        <v>141</v>
      </c>
      <c r="R888" s="15" t="s">
        <v>185</v>
      </c>
      <c r="S888" s="15"/>
      <c r="T888" s="15"/>
      <c r="U888" s="3" t="s">
        <v>5986</v>
      </c>
      <c r="V888" s="3" t="s">
        <v>5987</v>
      </c>
      <c r="W888" s="3"/>
      <c r="X888" s="3"/>
      <c r="Y888" s="15" t="n">
        <v>0</v>
      </c>
      <c r="Z888" s="15" t="n">
        <v>0</v>
      </c>
      <c r="AA888" s="15" t="n">
        <v>0</v>
      </c>
      <c r="AB888" s="15" t="n">
        <v>0</v>
      </c>
      <c r="AC888" s="15" t="n">
        <v>0</v>
      </c>
      <c r="AD888" s="15" t="n">
        <v>0</v>
      </c>
      <c r="AE888" s="15" t="n">
        <v>0</v>
      </c>
      <c r="AF888" s="15" t="n">
        <v>0</v>
      </c>
      <c r="AG888" s="15" t="n">
        <v>0</v>
      </c>
      <c r="AH888" s="15" t="n">
        <v>0</v>
      </c>
    </row>
    <row r="889" customFormat="false" ht="35.05" hidden="false" customHeight="false" outlineLevel="0" collapsed="false">
      <c r="A889" s="15" t="s">
        <v>5988</v>
      </c>
      <c r="B889" s="15" t="s">
        <v>38</v>
      </c>
      <c r="C889" s="15" t="s">
        <v>2849</v>
      </c>
      <c r="D889" s="15" t="n">
        <v>53</v>
      </c>
      <c r="E889" s="15" t="s">
        <v>2951</v>
      </c>
      <c r="F889" s="15" t="n">
        <v>2</v>
      </c>
      <c r="G889" s="15" t="s">
        <v>197</v>
      </c>
      <c r="H889" s="15" t="s">
        <v>142</v>
      </c>
      <c r="I889" s="3" t="s">
        <v>5989</v>
      </c>
      <c r="J889" s="3" t="s">
        <v>5990</v>
      </c>
      <c r="K889" s="15" t="s">
        <v>133</v>
      </c>
      <c r="L889" s="16" t="s">
        <v>7</v>
      </c>
      <c r="M889" s="15" t="s">
        <v>66</v>
      </c>
      <c r="N889" s="15" t="s">
        <v>89</v>
      </c>
      <c r="O889" s="15" t="s">
        <v>815</v>
      </c>
      <c r="P889" s="15" t="s">
        <v>185</v>
      </c>
      <c r="Q889" s="15" t="s">
        <v>197</v>
      </c>
      <c r="R889" s="15" t="s">
        <v>135</v>
      </c>
      <c r="S889" s="15"/>
      <c r="T889" s="15"/>
      <c r="U889" s="3" t="s">
        <v>5991</v>
      </c>
      <c r="V889" s="3" t="s">
        <v>5992</v>
      </c>
      <c r="W889" s="3"/>
      <c r="X889" s="3" t="s">
        <v>5993</v>
      </c>
      <c r="Y889" s="15" t="n">
        <v>0</v>
      </c>
      <c r="Z889" s="15" t="n">
        <v>0</v>
      </c>
      <c r="AA889" s="15" t="n">
        <v>0</v>
      </c>
      <c r="AB889" s="15" t="n">
        <v>0</v>
      </c>
      <c r="AC889" s="15" t="n">
        <v>0</v>
      </c>
      <c r="AD889" s="15" t="n">
        <v>1</v>
      </c>
      <c r="AE889" s="15" t="n">
        <v>0</v>
      </c>
      <c r="AF889" s="15" t="n">
        <v>0</v>
      </c>
      <c r="AG889" s="15" t="n">
        <v>1</v>
      </c>
      <c r="AH889" s="15" t="n">
        <v>0</v>
      </c>
    </row>
    <row r="890" customFormat="false" ht="23.85" hidden="false" customHeight="false" outlineLevel="0" collapsed="false">
      <c r="A890" s="15" t="s">
        <v>5994</v>
      </c>
      <c r="B890" s="15" t="s">
        <v>38</v>
      </c>
      <c r="C890" s="15" t="s">
        <v>2849</v>
      </c>
      <c r="D890" s="15" t="n">
        <v>54</v>
      </c>
      <c r="E890" s="15" t="s">
        <v>2972</v>
      </c>
      <c r="F890" s="15" t="n">
        <v>0</v>
      </c>
      <c r="G890" s="15" t="s">
        <v>307</v>
      </c>
      <c r="H890" s="15" t="s">
        <v>308</v>
      </c>
      <c r="I890" s="3" t="s">
        <v>5995</v>
      </c>
      <c r="J890" s="3" t="s">
        <v>5996</v>
      </c>
      <c r="K890" s="15" t="s">
        <v>133</v>
      </c>
      <c r="L890" s="16" t="s">
        <v>7</v>
      </c>
      <c r="M890" s="15" t="s">
        <v>66</v>
      </c>
      <c r="N890" s="15" t="s">
        <v>88</v>
      </c>
      <c r="O890" s="15" t="s">
        <v>88</v>
      </c>
      <c r="P890" s="15" t="s">
        <v>135</v>
      </c>
      <c r="Q890" s="15" t="s">
        <v>129</v>
      </c>
      <c r="R890" s="15" t="s">
        <v>185</v>
      </c>
      <c r="S890" s="15"/>
      <c r="T890" s="15"/>
      <c r="U890" s="3" t="s">
        <v>5997</v>
      </c>
      <c r="V890" s="3" t="s">
        <v>5998</v>
      </c>
      <c r="W890" s="3"/>
      <c r="X890" s="3" t="s">
        <v>5999</v>
      </c>
      <c r="Y890" s="15" t="n">
        <v>0</v>
      </c>
      <c r="Z890" s="15" t="n">
        <v>0</v>
      </c>
      <c r="AA890" s="15" t="n">
        <v>0</v>
      </c>
      <c r="AB890" s="15" t="n">
        <v>0</v>
      </c>
      <c r="AC890" s="15" t="n">
        <v>0</v>
      </c>
      <c r="AD890" s="15" t="n">
        <v>0</v>
      </c>
      <c r="AE890" s="15" t="n">
        <v>0</v>
      </c>
      <c r="AF890" s="15" t="n">
        <v>1</v>
      </c>
      <c r="AG890" s="15" t="n">
        <v>0</v>
      </c>
      <c r="AH890" s="15" t="n">
        <v>0</v>
      </c>
    </row>
    <row r="891" customFormat="false" ht="35.05" hidden="false" customHeight="false" outlineLevel="0" collapsed="false">
      <c r="A891" s="15" t="s">
        <v>6000</v>
      </c>
      <c r="B891" s="15" t="s">
        <v>38</v>
      </c>
      <c r="C891" s="15" t="s">
        <v>2849</v>
      </c>
      <c r="D891" s="15" t="n">
        <v>54</v>
      </c>
      <c r="E891" s="15" t="s">
        <v>2972</v>
      </c>
      <c r="F891" s="15" t="n">
        <v>1</v>
      </c>
      <c r="G891" s="15" t="s">
        <v>129</v>
      </c>
      <c r="H891" s="15" t="s">
        <v>130</v>
      </c>
      <c r="I891" s="3" t="s">
        <v>6001</v>
      </c>
      <c r="J891" s="3" t="s">
        <v>6002</v>
      </c>
      <c r="K891" s="15" t="s">
        <v>145</v>
      </c>
      <c r="L891" s="16" t="s">
        <v>7</v>
      </c>
      <c r="M891" s="15" t="s">
        <v>66</v>
      </c>
      <c r="N891" s="15" t="s">
        <v>88</v>
      </c>
      <c r="O891" s="15" t="s">
        <v>88</v>
      </c>
      <c r="P891" s="15" t="s">
        <v>135</v>
      </c>
      <c r="Q891" s="15" t="s">
        <v>136</v>
      </c>
      <c r="R891" s="15" t="s">
        <v>185</v>
      </c>
      <c r="S891" s="15"/>
      <c r="T891" s="15"/>
      <c r="U891" s="3" t="s">
        <v>6003</v>
      </c>
      <c r="V891" s="3" t="s">
        <v>6004</v>
      </c>
      <c r="W891" s="3"/>
      <c r="X891" s="3" t="s">
        <v>6005</v>
      </c>
      <c r="Y891" s="15" t="n">
        <v>0</v>
      </c>
      <c r="Z891" s="15" t="n">
        <v>0</v>
      </c>
      <c r="AA891" s="15" t="n">
        <v>0</v>
      </c>
      <c r="AB891" s="15" t="n">
        <v>0</v>
      </c>
      <c r="AC891" s="15" t="n">
        <v>0</v>
      </c>
      <c r="AD891" s="15" t="n">
        <v>0</v>
      </c>
      <c r="AE891" s="15" t="n">
        <v>0</v>
      </c>
      <c r="AF891" s="15" t="n">
        <v>1</v>
      </c>
      <c r="AG891" s="15" t="n">
        <v>0</v>
      </c>
      <c r="AH891" s="15" t="n">
        <v>0</v>
      </c>
    </row>
    <row r="892" customFormat="false" ht="46.25" hidden="false" customHeight="false" outlineLevel="0" collapsed="false">
      <c r="A892" s="15" t="s">
        <v>6006</v>
      </c>
      <c r="B892" s="15" t="s">
        <v>38</v>
      </c>
      <c r="C892" s="15" t="s">
        <v>2849</v>
      </c>
      <c r="D892" s="15" t="n">
        <v>54</v>
      </c>
      <c r="E892" s="15" t="s">
        <v>2972</v>
      </c>
      <c r="F892" s="15" t="n">
        <v>2</v>
      </c>
      <c r="G892" s="15" t="s">
        <v>197</v>
      </c>
      <c r="H892" s="15" t="s">
        <v>142</v>
      </c>
      <c r="I892" s="3" t="s">
        <v>6007</v>
      </c>
      <c r="J892" s="3" t="s">
        <v>6008</v>
      </c>
      <c r="K892" s="15" t="s">
        <v>133</v>
      </c>
      <c r="L892" s="16" t="s">
        <v>7</v>
      </c>
      <c r="M892" s="15" t="s">
        <v>66</v>
      </c>
      <c r="N892" s="15" t="s">
        <v>88</v>
      </c>
      <c r="O892" s="15" t="s">
        <v>88</v>
      </c>
      <c r="P892" s="15" t="s">
        <v>135</v>
      </c>
      <c r="Q892" s="15" t="s">
        <v>129</v>
      </c>
      <c r="R892" s="15" t="s">
        <v>185</v>
      </c>
      <c r="S892" s="15"/>
      <c r="T892" s="15"/>
      <c r="U892" s="3" t="s">
        <v>6009</v>
      </c>
      <c r="V892" s="3" t="s">
        <v>6010</v>
      </c>
      <c r="W892" s="3"/>
      <c r="X892" s="3" t="s">
        <v>6011</v>
      </c>
      <c r="Y892" s="15" t="n">
        <v>0</v>
      </c>
      <c r="Z892" s="15" t="n">
        <v>0</v>
      </c>
      <c r="AA892" s="15" t="n">
        <v>0</v>
      </c>
      <c r="AB892" s="15" t="n">
        <v>0</v>
      </c>
      <c r="AC892" s="15" t="n">
        <v>0</v>
      </c>
      <c r="AD892" s="15" t="n">
        <v>0</v>
      </c>
      <c r="AE892" s="15" t="n">
        <v>0</v>
      </c>
      <c r="AF892" s="15" t="n">
        <v>1</v>
      </c>
      <c r="AG892" s="15" t="n">
        <v>0</v>
      </c>
      <c r="AH892" s="15" t="n">
        <v>0</v>
      </c>
    </row>
    <row r="893" customFormat="false" ht="46.25" hidden="false" customHeight="false" outlineLevel="0" collapsed="false">
      <c r="A893" s="15" t="s">
        <v>6012</v>
      </c>
      <c r="B893" s="15" t="s">
        <v>38</v>
      </c>
      <c r="C893" s="15" t="s">
        <v>2849</v>
      </c>
      <c r="D893" s="15" t="n">
        <v>56</v>
      </c>
      <c r="E893" s="15" t="s">
        <v>2993</v>
      </c>
      <c r="F893" s="15" t="n">
        <v>0</v>
      </c>
      <c r="G893" s="15" t="s">
        <v>129</v>
      </c>
      <c r="H893" s="15" t="s">
        <v>130</v>
      </c>
      <c r="I893" s="3" t="s">
        <v>6013</v>
      </c>
      <c r="J893" s="3" t="s">
        <v>6014</v>
      </c>
      <c r="K893" s="15" t="s">
        <v>133</v>
      </c>
      <c r="L893" s="16" t="s">
        <v>7</v>
      </c>
      <c r="M893" s="15" t="s">
        <v>68</v>
      </c>
      <c r="N893" s="15" t="s">
        <v>85</v>
      </c>
      <c r="O893" s="15" t="s">
        <v>381</v>
      </c>
      <c r="P893" s="15" t="s">
        <v>135</v>
      </c>
      <c r="Q893" s="15" t="s">
        <v>136</v>
      </c>
      <c r="R893" s="15" t="s">
        <v>135</v>
      </c>
      <c r="S893" s="15"/>
      <c r="T893" s="15"/>
      <c r="U893" s="3" t="s">
        <v>6015</v>
      </c>
      <c r="V893" s="3" t="s">
        <v>6016</v>
      </c>
      <c r="W893" s="3" t="s">
        <v>6017</v>
      </c>
      <c r="X893" s="3" t="s">
        <v>6018</v>
      </c>
      <c r="Y893" s="15" t="n">
        <v>0</v>
      </c>
      <c r="Z893" s="15" t="n">
        <v>1</v>
      </c>
      <c r="AA893" s="15" t="n">
        <v>0</v>
      </c>
      <c r="AB893" s="15" t="n">
        <v>0</v>
      </c>
      <c r="AC893" s="15" t="n">
        <v>1</v>
      </c>
      <c r="AD893" s="15" t="n">
        <v>0</v>
      </c>
      <c r="AE893" s="15" t="n">
        <v>0</v>
      </c>
      <c r="AF893" s="15" t="n">
        <v>1</v>
      </c>
      <c r="AG893" s="15" t="n">
        <v>0</v>
      </c>
      <c r="AH893" s="15" t="n">
        <v>1</v>
      </c>
    </row>
    <row r="894" customFormat="false" ht="46.25" hidden="false" customHeight="false" outlineLevel="0" collapsed="false">
      <c r="A894" s="15" t="s">
        <v>6019</v>
      </c>
      <c r="B894" s="15" t="s">
        <v>38</v>
      </c>
      <c r="C894" s="15" t="s">
        <v>2849</v>
      </c>
      <c r="D894" s="15" t="n">
        <v>56</v>
      </c>
      <c r="E894" s="15" t="s">
        <v>2993</v>
      </c>
      <c r="F894" s="15" t="n">
        <v>1</v>
      </c>
      <c r="G894" s="15" t="s">
        <v>197</v>
      </c>
      <c r="H894" s="15" t="s">
        <v>142</v>
      </c>
      <c r="I894" s="3" t="s">
        <v>6020</v>
      </c>
      <c r="J894" s="3" t="s">
        <v>6021</v>
      </c>
      <c r="K894" s="15" t="s">
        <v>145</v>
      </c>
      <c r="L894" s="16" t="s">
        <v>7</v>
      </c>
      <c r="M894" s="15" t="s">
        <v>68</v>
      </c>
      <c r="N894" s="15" t="s">
        <v>82</v>
      </c>
      <c r="O894" s="15" t="s">
        <v>1116</v>
      </c>
      <c r="P894" s="15" t="s">
        <v>135</v>
      </c>
      <c r="Q894" s="15" t="s">
        <v>307</v>
      </c>
      <c r="R894" s="15" t="s">
        <v>135</v>
      </c>
      <c r="S894" s="15"/>
      <c r="T894" s="15"/>
      <c r="U894" s="3" t="s">
        <v>6022</v>
      </c>
      <c r="V894" s="3" t="s">
        <v>6023</v>
      </c>
      <c r="W894" s="3"/>
      <c r="X894" s="3" t="s">
        <v>6024</v>
      </c>
      <c r="Y894" s="15" t="n">
        <v>0</v>
      </c>
      <c r="Z894" s="15" t="n">
        <v>1</v>
      </c>
      <c r="AA894" s="15" t="n">
        <v>1</v>
      </c>
      <c r="AB894" s="15" t="n">
        <v>0</v>
      </c>
      <c r="AC894" s="15" t="n">
        <v>0</v>
      </c>
      <c r="AD894" s="15" t="n">
        <v>0</v>
      </c>
      <c r="AE894" s="15" t="n">
        <v>0</v>
      </c>
      <c r="AF894" s="15" t="n">
        <v>1</v>
      </c>
      <c r="AG894" s="15" t="n">
        <v>0</v>
      </c>
      <c r="AH894" s="15" t="n">
        <v>0</v>
      </c>
    </row>
    <row r="895" customFormat="false" ht="46.25" hidden="false" customHeight="false" outlineLevel="0" collapsed="false">
      <c r="A895" s="15" t="s">
        <v>6025</v>
      </c>
      <c r="B895" s="15" t="s">
        <v>38</v>
      </c>
      <c r="C895" s="15" t="s">
        <v>2849</v>
      </c>
      <c r="D895" s="15" t="n">
        <v>56</v>
      </c>
      <c r="E895" s="15" t="s">
        <v>2993</v>
      </c>
      <c r="F895" s="15" t="n">
        <v>2</v>
      </c>
      <c r="G895" s="15" t="s">
        <v>141</v>
      </c>
      <c r="H895" s="15" t="s">
        <v>142</v>
      </c>
      <c r="I895" s="3" t="s">
        <v>6026</v>
      </c>
      <c r="J895" s="3" t="s">
        <v>6027</v>
      </c>
      <c r="K895" s="15" t="s">
        <v>133</v>
      </c>
      <c r="L895" s="16" t="s">
        <v>7</v>
      </c>
      <c r="M895" s="15" t="s">
        <v>66</v>
      </c>
      <c r="N895" s="15" t="s">
        <v>88</v>
      </c>
      <c r="O895" s="15" t="s">
        <v>231</v>
      </c>
      <c r="P895" s="15" t="s">
        <v>135</v>
      </c>
      <c r="Q895" s="15" t="s">
        <v>136</v>
      </c>
      <c r="R895" s="15" t="s">
        <v>185</v>
      </c>
      <c r="S895" s="15"/>
      <c r="T895" s="15"/>
      <c r="U895" s="3" t="s">
        <v>6028</v>
      </c>
      <c r="V895" s="3" t="s">
        <v>6029</v>
      </c>
      <c r="W895" s="3" t="s">
        <v>6030</v>
      </c>
      <c r="X895" s="3" t="s">
        <v>6031</v>
      </c>
      <c r="Y895" s="15" t="n">
        <v>0</v>
      </c>
      <c r="Z895" s="15" t="n">
        <v>0</v>
      </c>
      <c r="AA895" s="15" t="n">
        <v>0</v>
      </c>
      <c r="AB895" s="15" t="n">
        <v>0</v>
      </c>
      <c r="AC895" s="15" t="n">
        <v>0</v>
      </c>
      <c r="AD895" s="15" t="n">
        <v>0</v>
      </c>
      <c r="AE895" s="15" t="n">
        <v>0</v>
      </c>
      <c r="AF895" s="15" t="n">
        <v>1</v>
      </c>
      <c r="AG895" s="15" t="n">
        <v>0</v>
      </c>
      <c r="AH895" s="15" t="n">
        <v>1</v>
      </c>
    </row>
    <row r="896" customFormat="false" ht="23.85" hidden="false" customHeight="false" outlineLevel="0" collapsed="false">
      <c r="A896" s="15" t="s">
        <v>6032</v>
      </c>
      <c r="B896" s="15" t="s">
        <v>38</v>
      </c>
      <c r="C896" s="15" t="s">
        <v>2849</v>
      </c>
      <c r="D896" s="15" t="n">
        <v>63</v>
      </c>
      <c r="E896" s="15" t="s">
        <v>3018</v>
      </c>
      <c r="F896" s="15" t="n">
        <v>0</v>
      </c>
      <c r="G896" s="15" t="s">
        <v>129</v>
      </c>
      <c r="H896" s="15" t="s">
        <v>130</v>
      </c>
      <c r="I896" s="3" t="s">
        <v>6033</v>
      </c>
      <c r="J896" s="3" t="s">
        <v>6034</v>
      </c>
      <c r="K896" s="15" t="s">
        <v>133</v>
      </c>
      <c r="L896" s="16" t="s">
        <v>7</v>
      </c>
      <c r="M896" s="15" t="s">
        <v>66</v>
      </c>
      <c r="N896" s="15" t="s">
        <v>90</v>
      </c>
      <c r="O896" s="15" t="s">
        <v>893</v>
      </c>
      <c r="P896" s="15" t="s">
        <v>185</v>
      </c>
      <c r="Q896" s="15" t="s">
        <v>129</v>
      </c>
      <c r="R896" s="15" t="s">
        <v>135</v>
      </c>
      <c r="S896" s="15"/>
      <c r="T896" s="15"/>
      <c r="U896" s="3" t="s">
        <v>6035</v>
      </c>
      <c r="V896" s="3" t="s">
        <v>6036</v>
      </c>
      <c r="W896" s="3" t="s">
        <v>6037</v>
      </c>
      <c r="X896" s="3" t="s">
        <v>6038</v>
      </c>
      <c r="Y896" s="15" t="n">
        <v>0</v>
      </c>
      <c r="Z896" s="15" t="n">
        <v>0</v>
      </c>
      <c r="AA896" s="15" t="n">
        <v>0</v>
      </c>
      <c r="AB896" s="15" t="n">
        <v>0</v>
      </c>
      <c r="AC896" s="15" t="n">
        <v>0</v>
      </c>
      <c r="AD896" s="15" t="n">
        <v>1</v>
      </c>
      <c r="AE896" s="15" t="n">
        <v>0</v>
      </c>
      <c r="AF896" s="15" t="n">
        <v>0</v>
      </c>
      <c r="AG896" s="15" t="n">
        <v>0</v>
      </c>
      <c r="AH896" s="15" t="n">
        <v>1</v>
      </c>
    </row>
    <row r="897" customFormat="false" ht="35.05" hidden="false" customHeight="false" outlineLevel="0" collapsed="false">
      <c r="A897" s="15" t="s">
        <v>6039</v>
      </c>
      <c r="B897" s="15" t="s">
        <v>38</v>
      </c>
      <c r="C897" s="15" t="s">
        <v>2849</v>
      </c>
      <c r="D897" s="15" t="n">
        <v>63</v>
      </c>
      <c r="E897" s="15" t="s">
        <v>3018</v>
      </c>
      <c r="F897" s="15" t="n">
        <v>1</v>
      </c>
      <c r="G897" s="15" t="s">
        <v>197</v>
      </c>
      <c r="H897" s="15" t="s">
        <v>142</v>
      </c>
      <c r="I897" s="3" t="s">
        <v>6040</v>
      </c>
      <c r="J897" s="3" t="s">
        <v>6041</v>
      </c>
      <c r="K897" s="15" t="s">
        <v>145</v>
      </c>
      <c r="L897" s="16" t="s">
        <v>7</v>
      </c>
      <c r="M897" s="15" t="s">
        <v>68</v>
      </c>
      <c r="N897" s="15" t="s">
        <v>82</v>
      </c>
      <c r="O897" s="15" t="s">
        <v>176</v>
      </c>
      <c r="P897" s="15" t="s">
        <v>135</v>
      </c>
      <c r="Q897" s="15" t="s">
        <v>129</v>
      </c>
      <c r="R897" s="15" t="s">
        <v>135</v>
      </c>
      <c r="S897" s="15"/>
      <c r="T897" s="15"/>
      <c r="U897" s="3" t="s">
        <v>6042</v>
      </c>
      <c r="V897" s="3" t="s">
        <v>6043</v>
      </c>
      <c r="W897" s="3"/>
      <c r="X897" s="3" t="s">
        <v>6044</v>
      </c>
      <c r="Y897" s="15" t="n">
        <v>0</v>
      </c>
      <c r="Z897" s="15" t="n">
        <v>1</v>
      </c>
      <c r="AA897" s="15" t="n">
        <v>0</v>
      </c>
      <c r="AB897" s="15" t="n">
        <v>0</v>
      </c>
      <c r="AC897" s="15" t="n">
        <v>1</v>
      </c>
      <c r="AD897" s="15" t="n">
        <v>0</v>
      </c>
      <c r="AE897" s="15" t="n">
        <v>0</v>
      </c>
      <c r="AF897" s="15" t="n">
        <v>1</v>
      </c>
      <c r="AG897" s="15" t="n">
        <v>0</v>
      </c>
      <c r="AH897" s="15" t="n">
        <v>0</v>
      </c>
    </row>
    <row r="898" customFormat="false" ht="23.85" hidden="false" customHeight="false" outlineLevel="0" collapsed="false">
      <c r="A898" s="15" t="s">
        <v>6045</v>
      </c>
      <c r="B898" s="15" t="s">
        <v>38</v>
      </c>
      <c r="C898" s="15" t="s">
        <v>2849</v>
      </c>
      <c r="D898" s="15" t="n">
        <v>63</v>
      </c>
      <c r="E898" s="15" t="s">
        <v>3018</v>
      </c>
      <c r="F898" s="15" t="n">
        <v>2</v>
      </c>
      <c r="G898" s="15" t="s">
        <v>141</v>
      </c>
      <c r="H898" s="15" t="s">
        <v>142</v>
      </c>
      <c r="I898" s="3" t="s">
        <v>6046</v>
      </c>
      <c r="J898" s="3" t="s">
        <v>6034</v>
      </c>
      <c r="K898" s="15" t="s">
        <v>133</v>
      </c>
      <c r="L898" s="16" t="s">
        <v>7</v>
      </c>
      <c r="M898" s="15" t="s">
        <v>66</v>
      </c>
      <c r="N898" s="15" t="s">
        <v>88</v>
      </c>
      <c r="O898" s="15" t="s">
        <v>88</v>
      </c>
      <c r="P898" s="15" t="s">
        <v>135</v>
      </c>
      <c r="Q898" s="15" t="s">
        <v>129</v>
      </c>
      <c r="R898" s="15" t="s">
        <v>185</v>
      </c>
      <c r="S898" s="15"/>
      <c r="T898" s="15"/>
      <c r="U898" s="3" t="s">
        <v>6047</v>
      </c>
      <c r="V898" s="3" t="s">
        <v>6048</v>
      </c>
      <c r="W898" s="3"/>
      <c r="X898" s="3" t="s">
        <v>6049</v>
      </c>
      <c r="Y898" s="15" t="n">
        <v>0</v>
      </c>
      <c r="Z898" s="15" t="n">
        <v>0</v>
      </c>
      <c r="AA898" s="15" t="n">
        <v>0</v>
      </c>
      <c r="AB898" s="15" t="n">
        <v>0</v>
      </c>
      <c r="AC898" s="15" t="n">
        <v>0</v>
      </c>
      <c r="AD898" s="15" t="n">
        <v>0</v>
      </c>
      <c r="AE898" s="15" t="n">
        <v>0</v>
      </c>
      <c r="AF898" s="15" t="n">
        <v>1</v>
      </c>
      <c r="AG898" s="15" t="n">
        <v>0</v>
      </c>
      <c r="AH898" s="15" t="n">
        <v>0</v>
      </c>
    </row>
    <row r="899" customFormat="false" ht="68.65" hidden="false" customHeight="false" outlineLevel="0" collapsed="false">
      <c r="A899" s="15" t="s">
        <v>6050</v>
      </c>
      <c r="B899" s="15" t="s">
        <v>38</v>
      </c>
      <c r="C899" s="15" t="s">
        <v>2849</v>
      </c>
      <c r="D899" s="15" t="n">
        <v>65</v>
      </c>
      <c r="E899" s="15" t="s">
        <v>3039</v>
      </c>
      <c r="F899" s="15" t="n">
        <v>0</v>
      </c>
      <c r="G899" s="15" t="s">
        <v>197</v>
      </c>
      <c r="H899" s="15" t="s">
        <v>142</v>
      </c>
      <c r="I899" s="3" t="s">
        <v>6051</v>
      </c>
      <c r="J899" s="3" t="s">
        <v>6052</v>
      </c>
      <c r="K899" s="15" t="s">
        <v>145</v>
      </c>
      <c r="L899" s="16" t="s">
        <v>7</v>
      </c>
      <c r="M899" s="15" t="s">
        <v>68</v>
      </c>
      <c r="N899" s="15" t="s">
        <v>84</v>
      </c>
      <c r="O899" s="15" t="s">
        <v>2307</v>
      </c>
      <c r="P899" s="15" t="s">
        <v>135</v>
      </c>
      <c r="Q899" s="15" t="s">
        <v>152</v>
      </c>
      <c r="R899" s="15" t="s">
        <v>135</v>
      </c>
      <c r="S899" s="15"/>
      <c r="T899" s="15"/>
      <c r="U899" s="3" t="s">
        <v>6053</v>
      </c>
      <c r="V899" s="3" t="s">
        <v>6054</v>
      </c>
      <c r="W899" s="3" t="s">
        <v>6055</v>
      </c>
      <c r="X899" s="3" t="s">
        <v>6056</v>
      </c>
      <c r="Y899" s="15" t="n">
        <v>0</v>
      </c>
      <c r="Z899" s="15" t="n">
        <v>0</v>
      </c>
      <c r="AA899" s="15" t="n">
        <v>0</v>
      </c>
      <c r="AB899" s="15" t="n">
        <v>1</v>
      </c>
      <c r="AC899" s="15" t="n">
        <v>0</v>
      </c>
      <c r="AD899" s="15" t="n">
        <v>0</v>
      </c>
      <c r="AE899" s="15" t="n">
        <v>0</v>
      </c>
      <c r="AF899" s="15" t="n">
        <v>1</v>
      </c>
      <c r="AG899" s="15" t="n">
        <v>0</v>
      </c>
      <c r="AH899" s="15" t="n">
        <v>1</v>
      </c>
    </row>
    <row r="900" customFormat="false" ht="35.05" hidden="false" customHeight="false" outlineLevel="0" collapsed="false">
      <c r="A900" s="15" t="s">
        <v>6057</v>
      </c>
      <c r="B900" s="15" t="s">
        <v>38</v>
      </c>
      <c r="C900" s="15" t="s">
        <v>2849</v>
      </c>
      <c r="D900" s="15" t="n">
        <v>65</v>
      </c>
      <c r="E900" s="15" t="s">
        <v>3039</v>
      </c>
      <c r="F900" s="15" t="n">
        <v>1</v>
      </c>
      <c r="G900" s="15" t="s">
        <v>129</v>
      </c>
      <c r="H900" s="15" t="s">
        <v>130</v>
      </c>
      <c r="I900" s="3" t="s">
        <v>6058</v>
      </c>
      <c r="J900" s="3" t="s">
        <v>6059</v>
      </c>
      <c r="K900" s="15" t="s">
        <v>133</v>
      </c>
      <c r="L900" s="18" t="s">
        <v>5</v>
      </c>
      <c r="M900" s="15" t="s">
        <v>426</v>
      </c>
      <c r="N900" s="15" t="s">
        <v>426</v>
      </c>
      <c r="O900" s="15"/>
      <c r="P900" s="15" t="s">
        <v>185</v>
      </c>
      <c r="Q900" s="15" t="s">
        <v>129</v>
      </c>
      <c r="R900" s="15" t="s">
        <v>185</v>
      </c>
      <c r="S900" s="15"/>
      <c r="T900" s="15"/>
      <c r="U900" s="3" t="s">
        <v>6060</v>
      </c>
      <c r="V900" s="3" t="s">
        <v>6061</v>
      </c>
      <c r="W900" s="3"/>
      <c r="X900" s="3"/>
      <c r="Y900" s="15" t="n">
        <v>0</v>
      </c>
      <c r="Z900" s="15" t="n">
        <v>0</v>
      </c>
      <c r="AA900" s="15" t="n">
        <v>0</v>
      </c>
      <c r="AB900" s="15" t="n">
        <v>0</v>
      </c>
      <c r="AC900" s="15" t="n">
        <v>0</v>
      </c>
      <c r="AD900" s="15" t="n">
        <v>0</v>
      </c>
      <c r="AE900" s="15" t="n">
        <v>0</v>
      </c>
      <c r="AF900" s="15" t="n">
        <v>0</v>
      </c>
      <c r="AG900" s="15" t="n">
        <v>0</v>
      </c>
      <c r="AH900" s="15" t="n">
        <v>0</v>
      </c>
    </row>
    <row r="901" customFormat="false" ht="68.65" hidden="false" customHeight="false" outlineLevel="0" collapsed="false">
      <c r="A901" s="15" t="s">
        <v>6062</v>
      </c>
      <c r="B901" s="15" t="s">
        <v>38</v>
      </c>
      <c r="C901" s="15" t="s">
        <v>2849</v>
      </c>
      <c r="D901" s="15" t="n">
        <v>65</v>
      </c>
      <c r="E901" s="15" t="s">
        <v>3039</v>
      </c>
      <c r="F901" s="15" t="n">
        <v>2</v>
      </c>
      <c r="G901" s="15" t="s">
        <v>141</v>
      </c>
      <c r="H901" s="15" t="s">
        <v>142</v>
      </c>
      <c r="I901" s="3" t="s">
        <v>6063</v>
      </c>
      <c r="J901" s="3" t="s">
        <v>6064</v>
      </c>
      <c r="K901" s="15" t="s">
        <v>145</v>
      </c>
      <c r="L901" s="16" t="s">
        <v>7</v>
      </c>
      <c r="M901" s="15" t="s">
        <v>66</v>
      </c>
      <c r="N901" s="15" t="s">
        <v>87</v>
      </c>
      <c r="O901" s="15" t="s">
        <v>3737</v>
      </c>
      <c r="P901" s="15" t="s">
        <v>135</v>
      </c>
      <c r="Q901" s="15" t="s">
        <v>152</v>
      </c>
      <c r="R901" s="15" t="s">
        <v>135</v>
      </c>
      <c r="S901" s="15"/>
      <c r="T901" s="15"/>
      <c r="U901" s="3" t="s">
        <v>6065</v>
      </c>
      <c r="V901" s="3" t="s">
        <v>6066</v>
      </c>
      <c r="W901" s="3"/>
      <c r="X901" s="3" t="s">
        <v>6067</v>
      </c>
      <c r="Y901" s="15" t="n">
        <v>0</v>
      </c>
      <c r="Z901" s="15" t="n">
        <v>0</v>
      </c>
      <c r="AA901" s="15" t="n">
        <v>0</v>
      </c>
      <c r="AB901" s="15" t="n">
        <v>0</v>
      </c>
      <c r="AC901" s="15" t="n">
        <v>0</v>
      </c>
      <c r="AD901" s="15" t="n">
        <v>0</v>
      </c>
      <c r="AE901" s="15" t="n">
        <v>1</v>
      </c>
      <c r="AF901" s="15" t="n">
        <v>1</v>
      </c>
      <c r="AG901" s="15" t="n">
        <v>0</v>
      </c>
      <c r="AH901" s="15" t="n">
        <v>0</v>
      </c>
    </row>
    <row r="902" customFormat="false" ht="35.05" hidden="false" customHeight="false" outlineLevel="0" collapsed="false">
      <c r="A902" s="15" t="s">
        <v>6068</v>
      </c>
      <c r="B902" s="15" t="s">
        <v>38</v>
      </c>
      <c r="C902" s="15" t="s">
        <v>2849</v>
      </c>
      <c r="D902" s="15" t="n">
        <v>73</v>
      </c>
      <c r="E902" s="15" t="s">
        <v>3057</v>
      </c>
      <c r="F902" s="15" t="n">
        <v>0</v>
      </c>
      <c r="G902" s="15" t="s">
        <v>129</v>
      </c>
      <c r="H902" s="15" t="s">
        <v>130</v>
      </c>
      <c r="I902" s="3" t="s">
        <v>6069</v>
      </c>
      <c r="J902" s="3" t="s">
        <v>5116</v>
      </c>
      <c r="K902" s="15" t="s">
        <v>133</v>
      </c>
      <c r="L902" s="18" t="s">
        <v>5</v>
      </c>
      <c r="M902" s="15" t="s">
        <v>426</v>
      </c>
      <c r="N902" s="15" t="s">
        <v>426</v>
      </c>
      <c r="O902" s="15"/>
      <c r="P902" s="15" t="s">
        <v>185</v>
      </c>
      <c r="Q902" s="15" t="s">
        <v>129</v>
      </c>
      <c r="R902" s="15" t="s">
        <v>185</v>
      </c>
      <c r="S902" s="15"/>
      <c r="T902" s="15"/>
      <c r="U902" s="3" t="s">
        <v>6070</v>
      </c>
      <c r="V902" s="3" t="s">
        <v>6071</v>
      </c>
      <c r="W902" s="3"/>
      <c r="X902" s="3"/>
      <c r="Y902" s="15" t="n">
        <v>0</v>
      </c>
      <c r="Z902" s="15" t="n">
        <v>0</v>
      </c>
      <c r="AA902" s="15" t="n">
        <v>0</v>
      </c>
      <c r="AB902" s="15" t="n">
        <v>0</v>
      </c>
      <c r="AC902" s="15" t="n">
        <v>0</v>
      </c>
      <c r="AD902" s="15" t="n">
        <v>0</v>
      </c>
      <c r="AE902" s="15" t="n">
        <v>0</v>
      </c>
      <c r="AF902" s="15" t="n">
        <v>0</v>
      </c>
      <c r="AG902" s="15" t="n">
        <v>0</v>
      </c>
      <c r="AH902" s="15" t="n">
        <v>0</v>
      </c>
    </row>
    <row r="903" customFormat="false" ht="46.25" hidden="false" customHeight="false" outlineLevel="0" collapsed="false">
      <c r="A903" s="15" t="s">
        <v>6072</v>
      </c>
      <c r="B903" s="15" t="s">
        <v>38</v>
      </c>
      <c r="C903" s="15" t="s">
        <v>2849</v>
      </c>
      <c r="D903" s="15" t="n">
        <v>73</v>
      </c>
      <c r="E903" s="15" t="s">
        <v>3057</v>
      </c>
      <c r="F903" s="15" t="n">
        <v>1</v>
      </c>
      <c r="G903" s="15" t="s">
        <v>141</v>
      </c>
      <c r="H903" s="15" t="s">
        <v>142</v>
      </c>
      <c r="I903" s="3" t="s">
        <v>6073</v>
      </c>
      <c r="J903" s="3" t="s">
        <v>6074</v>
      </c>
      <c r="K903" s="15" t="s">
        <v>145</v>
      </c>
      <c r="L903" s="16" t="s">
        <v>7</v>
      </c>
      <c r="M903" s="15" t="s">
        <v>68</v>
      </c>
      <c r="N903" s="15" t="s">
        <v>82</v>
      </c>
      <c r="O903" s="15" t="s">
        <v>222</v>
      </c>
      <c r="P903" s="15" t="s">
        <v>135</v>
      </c>
      <c r="Q903" s="15" t="s">
        <v>197</v>
      </c>
      <c r="R903" s="15" t="s">
        <v>135</v>
      </c>
      <c r="S903" s="15"/>
      <c r="T903" s="15"/>
      <c r="U903" s="3" t="s">
        <v>6075</v>
      </c>
      <c r="V903" s="3" t="s">
        <v>6076</v>
      </c>
      <c r="W903" s="3" t="s">
        <v>6077</v>
      </c>
      <c r="X903" s="3" t="s">
        <v>6078</v>
      </c>
      <c r="Y903" s="15" t="n">
        <v>0</v>
      </c>
      <c r="Z903" s="15" t="n">
        <v>1</v>
      </c>
      <c r="AA903" s="15" t="n">
        <v>0</v>
      </c>
      <c r="AB903" s="15" t="n">
        <v>0</v>
      </c>
      <c r="AC903" s="15" t="n">
        <v>0</v>
      </c>
      <c r="AD903" s="15" t="n">
        <v>0</v>
      </c>
      <c r="AE903" s="15" t="n">
        <v>0</v>
      </c>
      <c r="AF903" s="15" t="n">
        <v>1</v>
      </c>
      <c r="AG903" s="15" t="n">
        <v>0</v>
      </c>
      <c r="AH903" s="15" t="n">
        <v>1</v>
      </c>
    </row>
    <row r="904" customFormat="false" ht="35.05" hidden="false" customHeight="false" outlineLevel="0" collapsed="false">
      <c r="A904" s="15" t="s">
        <v>6079</v>
      </c>
      <c r="B904" s="15" t="s">
        <v>38</v>
      </c>
      <c r="C904" s="15" t="s">
        <v>2849</v>
      </c>
      <c r="D904" s="15" t="n">
        <v>73</v>
      </c>
      <c r="E904" s="15" t="s">
        <v>3057</v>
      </c>
      <c r="F904" s="15" t="n">
        <v>2</v>
      </c>
      <c r="G904" s="15" t="s">
        <v>197</v>
      </c>
      <c r="H904" s="15" t="s">
        <v>142</v>
      </c>
      <c r="I904" s="3" t="s">
        <v>6080</v>
      </c>
      <c r="J904" s="3" t="s">
        <v>5116</v>
      </c>
      <c r="K904" s="15" t="s">
        <v>133</v>
      </c>
      <c r="L904" s="16" t="s">
        <v>7</v>
      </c>
      <c r="M904" s="15" t="s">
        <v>66</v>
      </c>
      <c r="N904" s="15" t="s">
        <v>88</v>
      </c>
      <c r="O904" s="15" t="s">
        <v>1790</v>
      </c>
      <c r="P904" s="15" t="s">
        <v>135</v>
      </c>
      <c r="Q904" s="15" t="s">
        <v>129</v>
      </c>
      <c r="R904" s="15" t="s">
        <v>135</v>
      </c>
      <c r="S904" s="15"/>
      <c r="T904" s="15"/>
      <c r="U904" s="3" t="s">
        <v>6081</v>
      </c>
      <c r="V904" s="3" t="s">
        <v>6082</v>
      </c>
      <c r="W904" s="3" t="s">
        <v>6083</v>
      </c>
      <c r="X904" s="3" t="s">
        <v>6084</v>
      </c>
      <c r="Y904" s="15" t="n">
        <v>0</v>
      </c>
      <c r="Z904" s="15" t="n">
        <v>0</v>
      </c>
      <c r="AA904" s="15" t="n">
        <v>0</v>
      </c>
      <c r="AB904" s="15" t="n">
        <v>0</v>
      </c>
      <c r="AC904" s="15" t="n">
        <v>0</v>
      </c>
      <c r="AD904" s="15" t="n">
        <v>0</v>
      </c>
      <c r="AE904" s="15" t="n">
        <v>1</v>
      </c>
      <c r="AF904" s="15" t="n">
        <v>1</v>
      </c>
      <c r="AG904" s="15" t="n">
        <v>0</v>
      </c>
      <c r="AH904" s="15" t="n">
        <v>0</v>
      </c>
    </row>
    <row r="905" customFormat="false" ht="23.85" hidden="false" customHeight="false" outlineLevel="0" collapsed="false">
      <c r="A905" s="15" t="s">
        <v>6085</v>
      </c>
      <c r="B905" s="15" t="s">
        <v>38</v>
      </c>
      <c r="C905" s="15" t="s">
        <v>2849</v>
      </c>
      <c r="D905" s="15" t="n">
        <v>77</v>
      </c>
      <c r="E905" s="15" t="s">
        <v>3076</v>
      </c>
      <c r="F905" s="15" t="n">
        <v>0</v>
      </c>
      <c r="G905" s="15" t="s">
        <v>129</v>
      </c>
      <c r="H905" s="15" t="s">
        <v>130</v>
      </c>
      <c r="I905" s="3" t="s">
        <v>6086</v>
      </c>
      <c r="J905" s="3" t="s">
        <v>6087</v>
      </c>
      <c r="K905" s="15" t="s">
        <v>133</v>
      </c>
      <c r="L905" s="18" t="s">
        <v>5</v>
      </c>
      <c r="M905" s="15" t="s">
        <v>426</v>
      </c>
      <c r="N905" s="15" t="s">
        <v>426</v>
      </c>
      <c r="O905" s="15"/>
      <c r="P905" s="15" t="s">
        <v>185</v>
      </c>
      <c r="Q905" s="15" t="s">
        <v>129</v>
      </c>
      <c r="R905" s="15" t="s">
        <v>185</v>
      </c>
      <c r="S905" s="15"/>
      <c r="T905" s="15"/>
      <c r="U905" s="3" t="s">
        <v>6088</v>
      </c>
      <c r="V905" s="3" t="s">
        <v>6089</v>
      </c>
      <c r="W905" s="3"/>
      <c r="X905" s="3"/>
      <c r="Y905" s="15" t="n">
        <v>0</v>
      </c>
      <c r="Z905" s="15" t="n">
        <v>0</v>
      </c>
      <c r="AA905" s="15" t="n">
        <v>0</v>
      </c>
      <c r="AB905" s="15" t="n">
        <v>0</v>
      </c>
      <c r="AC905" s="15" t="n">
        <v>0</v>
      </c>
      <c r="AD905" s="15" t="n">
        <v>0</v>
      </c>
      <c r="AE905" s="15" t="n">
        <v>0</v>
      </c>
      <c r="AF905" s="15" t="n">
        <v>0</v>
      </c>
      <c r="AG905" s="15" t="n">
        <v>0</v>
      </c>
      <c r="AH905" s="15" t="n">
        <v>0</v>
      </c>
    </row>
    <row r="906" customFormat="false" ht="35.05" hidden="false" customHeight="false" outlineLevel="0" collapsed="false">
      <c r="A906" s="15" t="s">
        <v>6090</v>
      </c>
      <c r="B906" s="15" t="s">
        <v>38</v>
      </c>
      <c r="C906" s="15" t="s">
        <v>2849</v>
      </c>
      <c r="D906" s="15" t="n">
        <v>77</v>
      </c>
      <c r="E906" s="15" t="s">
        <v>3076</v>
      </c>
      <c r="F906" s="15" t="n">
        <v>1</v>
      </c>
      <c r="G906" s="15" t="s">
        <v>197</v>
      </c>
      <c r="H906" s="15" t="s">
        <v>142</v>
      </c>
      <c r="I906" s="3" t="s">
        <v>6091</v>
      </c>
      <c r="J906" s="3" t="s">
        <v>6092</v>
      </c>
      <c r="K906" s="15" t="s">
        <v>145</v>
      </c>
      <c r="L906" s="16" t="s">
        <v>7</v>
      </c>
      <c r="M906" s="15" t="s">
        <v>66</v>
      </c>
      <c r="N906" s="15" t="s">
        <v>90</v>
      </c>
      <c r="O906" s="15" t="s">
        <v>90</v>
      </c>
      <c r="P906" s="15" t="s">
        <v>185</v>
      </c>
      <c r="Q906" s="15" t="s">
        <v>197</v>
      </c>
      <c r="R906" s="15" t="s">
        <v>185</v>
      </c>
      <c r="S906" s="15"/>
      <c r="T906" s="15"/>
      <c r="U906" s="3" t="s">
        <v>6093</v>
      </c>
      <c r="V906" s="3" t="s">
        <v>6094</v>
      </c>
      <c r="W906" s="3" t="s">
        <v>6095</v>
      </c>
      <c r="X906" s="3" t="s">
        <v>6096</v>
      </c>
      <c r="Y906" s="15" t="n">
        <v>0</v>
      </c>
      <c r="Z906" s="15" t="n">
        <v>0</v>
      </c>
      <c r="AA906" s="15" t="n">
        <v>0</v>
      </c>
      <c r="AB906" s="15" t="n">
        <v>0</v>
      </c>
      <c r="AC906" s="15" t="n">
        <v>0</v>
      </c>
      <c r="AD906" s="15" t="n">
        <v>0</v>
      </c>
      <c r="AE906" s="15" t="n">
        <v>0</v>
      </c>
      <c r="AF906" s="15" t="n">
        <v>0</v>
      </c>
      <c r="AG906" s="15" t="n">
        <v>0</v>
      </c>
      <c r="AH906" s="15" t="n">
        <v>1</v>
      </c>
    </row>
    <row r="907" customFormat="false" ht="35.05" hidden="false" customHeight="false" outlineLevel="0" collapsed="false">
      <c r="A907" s="15" t="s">
        <v>6097</v>
      </c>
      <c r="B907" s="15" t="s">
        <v>38</v>
      </c>
      <c r="C907" s="15" t="s">
        <v>2849</v>
      </c>
      <c r="D907" s="15" t="n">
        <v>77</v>
      </c>
      <c r="E907" s="15" t="s">
        <v>3076</v>
      </c>
      <c r="F907" s="15" t="n">
        <v>2</v>
      </c>
      <c r="G907" s="15" t="s">
        <v>141</v>
      </c>
      <c r="H907" s="15" t="s">
        <v>142</v>
      </c>
      <c r="I907" s="3" t="s">
        <v>6098</v>
      </c>
      <c r="J907" s="3" t="s">
        <v>6099</v>
      </c>
      <c r="K907" s="15" t="s">
        <v>133</v>
      </c>
      <c r="L907" s="16" t="s">
        <v>7</v>
      </c>
      <c r="M907" s="15" t="s">
        <v>68</v>
      </c>
      <c r="N907" s="15" t="s">
        <v>82</v>
      </c>
      <c r="O907" s="15" t="s">
        <v>215</v>
      </c>
      <c r="P907" s="15" t="s">
        <v>135</v>
      </c>
      <c r="Q907" s="15" t="s">
        <v>197</v>
      </c>
      <c r="R907" s="15" t="s">
        <v>135</v>
      </c>
      <c r="S907" s="15"/>
      <c r="T907" s="15"/>
      <c r="U907" s="3" t="s">
        <v>6100</v>
      </c>
      <c r="V907" s="3" t="s">
        <v>6101</v>
      </c>
      <c r="W907" s="3" t="s">
        <v>6102</v>
      </c>
      <c r="X907" s="3" t="s">
        <v>6103</v>
      </c>
      <c r="Y907" s="15" t="n">
        <v>0</v>
      </c>
      <c r="Z907" s="15" t="n">
        <v>1</v>
      </c>
      <c r="AA907" s="15" t="n">
        <v>0</v>
      </c>
      <c r="AB907" s="15" t="n">
        <v>0</v>
      </c>
      <c r="AC907" s="15" t="n">
        <v>0</v>
      </c>
      <c r="AD907" s="15" t="n">
        <v>0</v>
      </c>
      <c r="AE907" s="15" t="n">
        <v>0</v>
      </c>
      <c r="AF907" s="15" t="n">
        <v>1</v>
      </c>
      <c r="AG907" s="15" t="n">
        <v>0</v>
      </c>
      <c r="AH907" s="15" t="n">
        <v>0</v>
      </c>
    </row>
    <row r="908" customFormat="false" ht="46.25" hidden="false" customHeight="false" outlineLevel="0" collapsed="false">
      <c r="A908" s="15" t="s">
        <v>6104</v>
      </c>
      <c r="B908" s="15" t="s">
        <v>38</v>
      </c>
      <c r="C908" s="15" t="s">
        <v>2849</v>
      </c>
      <c r="D908" s="15" t="n">
        <v>81</v>
      </c>
      <c r="E908" s="15" t="s">
        <v>3098</v>
      </c>
      <c r="F908" s="15" t="n">
        <v>0</v>
      </c>
      <c r="G908" s="15" t="s">
        <v>152</v>
      </c>
      <c r="H908" s="15" t="s">
        <v>142</v>
      </c>
      <c r="I908" s="3" t="s">
        <v>6105</v>
      </c>
      <c r="J908" s="3" t="s">
        <v>6106</v>
      </c>
      <c r="K908" s="15" t="s">
        <v>133</v>
      </c>
      <c r="L908" s="16" t="s">
        <v>7</v>
      </c>
      <c r="M908" s="15" t="s">
        <v>68</v>
      </c>
      <c r="N908" s="15" t="s">
        <v>82</v>
      </c>
      <c r="O908" s="15" t="s">
        <v>215</v>
      </c>
      <c r="P908" s="15" t="s">
        <v>135</v>
      </c>
      <c r="Q908" s="15" t="s">
        <v>197</v>
      </c>
      <c r="R908" s="15" t="s">
        <v>135</v>
      </c>
      <c r="S908" s="15"/>
      <c r="T908" s="15"/>
      <c r="U908" s="3" t="s">
        <v>6107</v>
      </c>
      <c r="V908" s="3" t="s">
        <v>6108</v>
      </c>
      <c r="W908" s="3" t="s">
        <v>6109</v>
      </c>
      <c r="X908" s="3" t="s">
        <v>6110</v>
      </c>
      <c r="Y908" s="15" t="n">
        <v>0</v>
      </c>
      <c r="Z908" s="15" t="n">
        <v>1</v>
      </c>
      <c r="AA908" s="15" t="n">
        <v>0</v>
      </c>
      <c r="AB908" s="15" t="n">
        <v>0</v>
      </c>
      <c r="AC908" s="15" t="n">
        <v>0</v>
      </c>
      <c r="AD908" s="15" t="n">
        <v>0</v>
      </c>
      <c r="AE908" s="15" t="n">
        <v>0</v>
      </c>
      <c r="AF908" s="15" t="n">
        <v>1</v>
      </c>
      <c r="AG908" s="15" t="n">
        <v>0</v>
      </c>
      <c r="AH908" s="15" t="n">
        <v>0</v>
      </c>
    </row>
    <row r="909" customFormat="false" ht="46.25" hidden="false" customHeight="false" outlineLevel="0" collapsed="false">
      <c r="A909" s="15" t="s">
        <v>6111</v>
      </c>
      <c r="B909" s="15" t="s">
        <v>38</v>
      </c>
      <c r="C909" s="15" t="s">
        <v>2849</v>
      </c>
      <c r="D909" s="15" t="n">
        <v>81</v>
      </c>
      <c r="E909" s="15" t="s">
        <v>3098</v>
      </c>
      <c r="F909" s="15" t="n">
        <v>1</v>
      </c>
      <c r="G909" s="15" t="s">
        <v>129</v>
      </c>
      <c r="H909" s="15" t="s">
        <v>130</v>
      </c>
      <c r="I909" s="3" t="s">
        <v>6112</v>
      </c>
      <c r="J909" s="3" t="s">
        <v>6113</v>
      </c>
      <c r="K909" s="15" t="s">
        <v>145</v>
      </c>
      <c r="L909" s="18" t="s">
        <v>5</v>
      </c>
      <c r="M909" s="15" t="s">
        <v>426</v>
      </c>
      <c r="N909" s="15" t="s">
        <v>426</v>
      </c>
      <c r="O909" s="15"/>
      <c r="P909" s="15" t="s">
        <v>185</v>
      </c>
      <c r="Q909" s="15" t="s">
        <v>129</v>
      </c>
      <c r="R909" s="15" t="s">
        <v>185</v>
      </c>
      <c r="S909" s="15"/>
      <c r="T909" s="15"/>
      <c r="U909" s="3" t="s">
        <v>6114</v>
      </c>
      <c r="V909" s="3" t="s">
        <v>6115</v>
      </c>
      <c r="W909" s="3"/>
      <c r="X909" s="3"/>
      <c r="Y909" s="15" t="n">
        <v>0</v>
      </c>
      <c r="Z909" s="15" t="n">
        <v>0</v>
      </c>
      <c r="AA909" s="15" t="n">
        <v>0</v>
      </c>
      <c r="AB909" s="15" t="n">
        <v>0</v>
      </c>
      <c r="AC909" s="15" t="n">
        <v>0</v>
      </c>
      <c r="AD909" s="15" t="n">
        <v>0</v>
      </c>
      <c r="AE909" s="15" t="n">
        <v>0</v>
      </c>
      <c r="AF909" s="15" t="n">
        <v>0</v>
      </c>
      <c r="AG909" s="15" t="n">
        <v>0</v>
      </c>
      <c r="AH909" s="15" t="n">
        <v>0</v>
      </c>
    </row>
    <row r="910" customFormat="false" ht="46.25" hidden="false" customHeight="false" outlineLevel="0" collapsed="false">
      <c r="A910" s="15" t="s">
        <v>6116</v>
      </c>
      <c r="B910" s="15" t="s">
        <v>38</v>
      </c>
      <c r="C910" s="15" t="s">
        <v>2849</v>
      </c>
      <c r="D910" s="15" t="n">
        <v>81</v>
      </c>
      <c r="E910" s="15" t="s">
        <v>3098</v>
      </c>
      <c r="F910" s="15" t="n">
        <v>2</v>
      </c>
      <c r="G910" s="15" t="s">
        <v>197</v>
      </c>
      <c r="H910" s="15" t="s">
        <v>142</v>
      </c>
      <c r="I910" s="3" t="s">
        <v>6117</v>
      </c>
      <c r="J910" s="3" t="s">
        <v>6118</v>
      </c>
      <c r="K910" s="15" t="s">
        <v>133</v>
      </c>
      <c r="L910" s="16" t="s">
        <v>7</v>
      </c>
      <c r="M910" s="15" t="s">
        <v>66</v>
      </c>
      <c r="N910" s="15" t="s">
        <v>85</v>
      </c>
      <c r="O910" s="15" t="s">
        <v>146</v>
      </c>
      <c r="P910" s="15" t="s">
        <v>135</v>
      </c>
      <c r="Q910" s="15" t="s">
        <v>129</v>
      </c>
      <c r="R910" s="15" t="s">
        <v>135</v>
      </c>
      <c r="S910" s="15"/>
      <c r="T910" s="15"/>
      <c r="U910" s="3" t="s">
        <v>6119</v>
      </c>
      <c r="V910" s="3" t="s">
        <v>6120</v>
      </c>
      <c r="W910" s="3" t="s">
        <v>6121</v>
      </c>
      <c r="X910" s="3" t="s">
        <v>6122</v>
      </c>
      <c r="Y910" s="15" t="n">
        <v>0</v>
      </c>
      <c r="Z910" s="15" t="n">
        <v>0</v>
      </c>
      <c r="AA910" s="15" t="n">
        <v>0</v>
      </c>
      <c r="AB910" s="15" t="n">
        <v>0</v>
      </c>
      <c r="AC910" s="15" t="n">
        <v>1</v>
      </c>
      <c r="AD910" s="15" t="n">
        <v>0</v>
      </c>
      <c r="AE910" s="15" t="n">
        <v>0</v>
      </c>
      <c r="AF910" s="15" t="n">
        <v>1</v>
      </c>
      <c r="AG910" s="15" t="n">
        <v>0</v>
      </c>
      <c r="AH910" s="15" t="n">
        <v>0</v>
      </c>
    </row>
    <row r="911" customFormat="false" ht="35.05" hidden="false" customHeight="false" outlineLevel="0" collapsed="false">
      <c r="A911" s="15" t="s">
        <v>6123</v>
      </c>
      <c r="B911" s="15" t="s">
        <v>38</v>
      </c>
      <c r="C911" s="15" t="s">
        <v>2849</v>
      </c>
      <c r="D911" s="15" t="n">
        <v>97</v>
      </c>
      <c r="E911" s="15" t="s">
        <v>3121</v>
      </c>
      <c r="F911" s="15" t="n">
        <v>0</v>
      </c>
      <c r="G911" s="15" t="s">
        <v>197</v>
      </c>
      <c r="H911" s="15" t="s">
        <v>142</v>
      </c>
      <c r="I911" s="3" t="s">
        <v>6124</v>
      </c>
      <c r="J911" s="3" t="s">
        <v>6125</v>
      </c>
      <c r="K911" s="15" t="s">
        <v>133</v>
      </c>
      <c r="L911" s="16" t="s">
        <v>7</v>
      </c>
      <c r="M911" s="15" t="s">
        <v>66</v>
      </c>
      <c r="N911" s="15" t="s">
        <v>88</v>
      </c>
      <c r="O911" s="15" t="s">
        <v>231</v>
      </c>
      <c r="P911" s="15" t="s">
        <v>135</v>
      </c>
      <c r="Q911" s="15" t="s">
        <v>129</v>
      </c>
      <c r="R911" s="15" t="s">
        <v>185</v>
      </c>
      <c r="S911" s="15"/>
      <c r="T911" s="15"/>
      <c r="U911" s="3" t="s">
        <v>6126</v>
      </c>
      <c r="V911" s="3" t="s">
        <v>6127</v>
      </c>
      <c r="W911" s="3" t="s">
        <v>6128</v>
      </c>
      <c r="X911" s="3" t="s">
        <v>6129</v>
      </c>
      <c r="Y911" s="15" t="n">
        <v>0</v>
      </c>
      <c r="Z911" s="15" t="n">
        <v>0</v>
      </c>
      <c r="AA911" s="15" t="n">
        <v>0</v>
      </c>
      <c r="AB911" s="15" t="n">
        <v>0</v>
      </c>
      <c r="AC911" s="15" t="n">
        <v>0</v>
      </c>
      <c r="AD911" s="15" t="n">
        <v>0</v>
      </c>
      <c r="AE911" s="15" t="n">
        <v>0</v>
      </c>
      <c r="AF911" s="15" t="n">
        <v>1</v>
      </c>
      <c r="AG911" s="15" t="n">
        <v>0</v>
      </c>
      <c r="AH911" s="15" t="n">
        <v>1</v>
      </c>
    </row>
    <row r="912" customFormat="false" ht="35.05" hidden="false" customHeight="false" outlineLevel="0" collapsed="false">
      <c r="A912" s="15" t="s">
        <v>6130</v>
      </c>
      <c r="B912" s="15" t="s">
        <v>38</v>
      </c>
      <c r="C912" s="15" t="s">
        <v>2849</v>
      </c>
      <c r="D912" s="15" t="n">
        <v>97</v>
      </c>
      <c r="E912" s="15" t="s">
        <v>3121</v>
      </c>
      <c r="F912" s="15" t="n">
        <v>1</v>
      </c>
      <c r="G912" s="15" t="s">
        <v>307</v>
      </c>
      <c r="H912" s="15" t="s">
        <v>308</v>
      </c>
      <c r="I912" s="3" t="s">
        <v>6131</v>
      </c>
      <c r="J912" s="3" t="s">
        <v>6132</v>
      </c>
      <c r="K912" s="15" t="s">
        <v>145</v>
      </c>
      <c r="L912" s="16" t="s">
        <v>7</v>
      </c>
      <c r="M912" s="15" t="s">
        <v>68</v>
      </c>
      <c r="N912" s="15" t="s">
        <v>82</v>
      </c>
      <c r="O912" s="15" t="s">
        <v>176</v>
      </c>
      <c r="P912" s="15" t="s">
        <v>135</v>
      </c>
      <c r="Q912" s="15" t="s">
        <v>307</v>
      </c>
      <c r="R912" s="15" t="s">
        <v>135</v>
      </c>
      <c r="S912" s="15"/>
      <c r="T912" s="15"/>
      <c r="U912" s="3" t="s">
        <v>6133</v>
      </c>
      <c r="V912" s="3" t="s">
        <v>6134</v>
      </c>
      <c r="W912" s="3"/>
      <c r="X912" s="3" t="s">
        <v>6135</v>
      </c>
      <c r="Y912" s="15" t="n">
        <v>0</v>
      </c>
      <c r="Z912" s="15" t="n">
        <v>1</v>
      </c>
      <c r="AA912" s="15" t="n">
        <v>0</v>
      </c>
      <c r="AB912" s="15" t="n">
        <v>0</v>
      </c>
      <c r="AC912" s="15" t="n">
        <v>1</v>
      </c>
      <c r="AD912" s="15" t="n">
        <v>0</v>
      </c>
      <c r="AE912" s="15" t="n">
        <v>0</v>
      </c>
      <c r="AF912" s="15" t="n">
        <v>1</v>
      </c>
      <c r="AG912" s="15" t="n">
        <v>0</v>
      </c>
      <c r="AH912" s="15" t="n">
        <v>0</v>
      </c>
    </row>
    <row r="913" customFormat="false" ht="35.05" hidden="false" customHeight="false" outlineLevel="0" collapsed="false">
      <c r="A913" s="15" t="s">
        <v>6136</v>
      </c>
      <c r="B913" s="15" t="s">
        <v>38</v>
      </c>
      <c r="C913" s="15" t="s">
        <v>2849</v>
      </c>
      <c r="D913" s="15" t="n">
        <v>97</v>
      </c>
      <c r="E913" s="15" t="s">
        <v>3121</v>
      </c>
      <c r="F913" s="15" t="n">
        <v>2</v>
      </c>
      <c r="G913" s="15" t="s">
        <v>129</v>
      </c>
      <c r="H913" s="15" t="s">
        <v>130</v>
      </c>
      <c r="I913" s="3" t="s">
        <v>6137</v>
      </c>
      <c r="J913" s="3" t="s">
        <v>6138</v>
      </c>
      <c r="K913" s="15" t="s">
        <v>133</v>
      </c>
      <c r="L913" s="16" t="s">
        <v>7</v>
      </c>
      <c r="M913" s="15" t="s">
        <v>68</v>
      </c>
      <c r="N913" s="15" t="s">
        <v>82</v>
      </c>
      <c r="O913" s="15" t="s">
        <v>82</v>
      </c>
      <c r="P913" s="15" t="s">
        <v>185</v>
      </c>
      <c r="Q913" s="15" t="s">
        <v>129</v>
      </c>
      <c r="R913" s="15" t="s">
        <v>135</v>
      </c>
      <c r="S913" s="15"/>
      <c r="T913" s="15"/>
      <c r="U913" s="3" t="s">
        <v>6139</v>
      </c>
      <c r="V913" s="3" t="s">
        <v>6140</v>
      </c>
      <c r="W913" s="3"/>
      <c r="X913" s="3" t="s">
        <v>6141</v>
      </c>
      <c r="Y913" s="15" t="n">
        <v>0</v>
      </c>
      <c r="Z913" s="15" t="n">
        <v>1</v>
      </c>
      <c r="AA913" s="15" t="n">
        <v>0</v>
      </c>
      <c r="AB913" s="15" t="n">
        <v>0</v>
      </c>
      <c r="AC913" s="15" t="n">
        <v>0</v>
      </c>
      <c r="AD913" s="15" t="n">
        <v>0</v>
      </c>
      <c r="AE913" s="15" t="n">
        <v>0</v>
      </c>
      <c r="AF913" s="15" t="n">
        <v>0</v>
      </c>
      <c r="AG913" s="15" t="n">
        <v>0</v>
      </c>
      <c r="AH913" s="15" t="n">
        <v>0</v>
      </c>
    </row>
    <row r="914" customFormat="false" ht="23.85" hidden="false" customHeight="false" outlineLevel="0" collapsed="false">
      <c r="A914" s="15" t="s">
        <v>6142</v>
      </c>
      <c r="B914" s="15" t="s">
        <v>38</v>
      </c>
      <c r="C914" s="15" t="s">
        <v>3141</v>
      </c>
      <c r="D914" s="15" t="n">
        <v>1</v>
      </c>
      <c r="E914" s="15" t="s">
        <v>3142</v>
      </c>
      <c r="F914" s="15" t="n">
        <v>0</v>
      </c>
      <c r="G914" s="15" t="s">
        <v>129</v>
      </c>
      <c r="H914" s="15" t="s">
        <v>130</v>
      </c>
      <c r="I914" s="3" t="s">
        <v>6143</v>
      </c>
      <c r="J914" s="3" t="s">
        <v>6144</v>
      </c>
      <c r="K914" s="15" t="s">
        <v>133</v>
      </c>
      <c r="L914" s="16" t="s">
        <v>7</v>
      </c>
      <c r="M914" s="15" t="s">
        <v>66</v>
      </c>
      <c r="N914" s="15" t="s">
        <v>89</v>
      </c>
      <c r="O914" s="15" t="s">
        <v>89</v>
      </c>
      <c r="P914" s="15" t="s">
        <v>185</v>
      </c>
      <c r="Q914" s="15" t="s">
        <v>129</v>
      </c>
      <c r="R914" s="15" t="s">
        <v>185</v>
      </c>
      <c r="S914" s="15"/>
      <c r="T914" s="15"/>
      <c r="U914" s="3" t="s">
        <v>6145</v>
      </c>
      <c r="V914" s="3" t="s">
        <v>6146</v>
      </c>
      <c r="W914" s="3"/>
      <c r="X914" s="3" t="s">
        <v>6147</v>
      </c>
      <c r="Y914" s="15" t="n">
        <v>0</v>
      </c>
      <c r="Z914" s="15" t="n">
        <v>0</v>
      </c>
      <c r="AA914" s="15" t="n">
        <v>0</v>
      </c>
      <c r="AB914" s="15" t="n">
        <v>0</v>
      </c>
      <c r="AC914" s="15" t="n">
        <v>0</v>
      </c>
      <c r="AD914" s="15" t="n">
        <v>0</v>
      </c>
      <c r="AE914" s="15" t="n">
        <v>0</v>
      </c>
      <c r="AF914" s="15" t="n">
        <v>0</v>
      </c>
      <c r="AG914" s="15" t="n">
        <v>1</v>
      </c>
      <c r="AH914" s="15" t="n">
        <v>0</v>
      </c>
    </row>
    <row r="915" customFormat="false" ht="23.85" hidden="false" customHeight="false" outlineLevel="0" collapsed="false">
      <c r="A915" s="15" t="s">
        <v>6148</v>
      </c>
      <c r="B915" s="15" t="s">
        <v>38</v>
      </c>
      <c r="C915" s="15" t="s">
        <v>3141</v>
      </c>
      <c r="D915" s="15" t="n">
        <v>1</v>
      </c>
      <c r="E915" s="15" t="s">
        <v>3142</v>
      </c>
      <c r="F915" s="15" t="n">
        <v>1</v>
      </c>
      <c r="G915" s="15" t="s">
        <v>197</v>
      </c>
      <c r="H915" s="15" t="s">
        <v>142</v>
      </c>
      <c r="I915" s="3" t="s">
        <v>6149</v>
      </c>
      <c r="J915" s="3" t="s">
        <v>6150</v>
      </c>
      <c r="K915" s="15" t="s">
        <v>145</v>
      </c>
      <c r="L915" s="18" t="s">
        <v>5</v>
      </c>
      <c r="M915" s="15" t="s">
        <v>426</v>
      </c>
      <c r="N915" s="15" t="s">
        <v>426</v>
      </c>
      <c r="O915" s="15"/>
      <c r="P915" s="15" t="s">
        <v>185</v>
      </c>
      <c r="Q915" s="15" t="s">
        <v>197</v>
      </c>
      <c r="R915" s="15" t="s">
        <v>185</v>
      </c>
      <c r="S915" s="15"/>
      <c r="T915" s="15"/>
      <c r="U915" s="3" t="s">
        <v>6151</v>
      </c>
      <c r="V915" s="3" t="s">
        <v>6152</v>
      </c>
      <c r="W915" s="3"/>
      <c r="X915" s="3"/>
      <c r="Y915" s="15" t="n">
        <v>0</v>
      </c>
      <c r="Z915" s="15" t="n">
        <v>0</v>
      </c>
      <c r="AA915" s="15" t="n">
        <v>0</v>
      </c>
      <c r="AB915" s="15" t="n">
        <v>0</v>
      </c>
      <c r="AC915" s="15" t="n">
        <v>0</v>
      </c>
      <c r="AD915" s="15" t="n">
        <v>0</v>
      </c>
      <c r="AE915" s="15" t="n">
        <v>0</v>
      </c>
      <c r="AF915" s="15" t="n">
        <v>0</v>
      </c>
      <c r="AG915" s="15" t="n">
        <v>0</v>
      </c>
      <c r="AH915" s="15" t="n">
        <v>0</v>
      </c>
    </row>
    <row r="916" customFormat="false" ht="35.05" hidden="false" customHeight="false" outlineLevel="0" collapsed="false">
      <c r="A916" s="15" t="s">
        <v>6153</v>
      </c>
      <c r="B916" s="15" t="s">
        <v>38</v>
      </c>
      <c r="C916" s="15" t="s">
        <v>3141</v>
      </c>
      <c r="D916" s="15" t="n">
        <v>1</v>
      </c>
      <c r="E916" s="15" t="s">
        <v>3142</v>
      </c>
      <c r="F916" s="15" t="n">
        <v>2</v>
      </c>
      <c r="G916" s="15" t="s">
        <v>141</v>
      </c>
      <c r="H916" s="15" t="s">
        <v>142</v>
      </c>
      <c r="I916" s="3" t="s">
        <v>6154</v>
      </c>
      <c r="J916" s="3" t="s">
        <v>6155</v>
      </c>
      <c r="K916" s="15" t="s">
        <v>133</v>
      </c>
      <c r="L916" s="16" t="s">
        <v>7</v>
      </c>
      <c r="M916" s="15" t="s">
        <v>66</v>
      </c>
      <c r="N916" s="15" t="s">
        <v>88</v>
      </c>
      <c r="O916" s="15" t="s">
        <v>1871</v>
      </c>
      <c r="P916" s="15" t="s">
        <v>135</v>
      </c>
      <c r="Q916" s="15" t="s">
        <v>129</v>
      </c>
      <c r="R916" s="15" t="s">
        <v>185</v>
      </c>
      <c r="S916" s="15"/>
      <c r="T916" s="15"/>
      <c r="U916" s="3" t="s">
        <v>6156</v>
      </c>
      <c r="V916" s="3" t="s">
        <v>6157</v>
      </c>
      <c r="W916" s="3" t="s">
        <v>6158</v>
      </c>
      <c r="X916" s="3" t="s">
        <v>6159</v>
      </c>
      <c r="Y916" s="15" t="n">
        <v>0</v>
      </c>
      <c r="Z916" s="15" t="n">
        <v>0</v>
      </c>
      <c r="AA916" s="15" t="n">
        <v>0</v>
      </c>
      <c r="AB916" s="15" t="n">
        <v>0</v>
      </c>
      <c r="AC916" s="15" t="n">
        <v>0</v>
      </c>
      <c r="AD916" s="15" t="n">
        <v>0</v>
      </c>
      <c r="AE916" s="15" t="n">
        <v>0</v>
      </c>
      <c r="AF916" s="15" t="n">
        <v>1</v>
      </c>
      <c r="AG916" s="15" t="n">
        <v>1</v>
      </c>
      <c r="AH916" s="15" t="n">
        <v>1</v>
      </c>
    </row>
    <row r="917" customFormat="false" ht="23.85" hidden="false" customHeight="false" outlineLevel="0" collapsed="false">
      <c r="A917" s="15" t="s">
        <v>6160</v>
      </c>
      <c r="B917" s="15" t="s">
        <v>38</v>
      </c>
      <c r="C917" s="15" t="s">
        <v>3161</v>
      </c>
      <c r="D917" s="15" t="n">
        <v>1</v>
      </c>
      <c r="E917" s="15" t="s">
        <v>3162</v>
      </c>
      <c r="F917" s="15" t="n">
        <v>0</v>
      </c>
      <c r="G917" s="15" t="s">
        <v>129</v>
      </c>
      <c r="H917" s="15" t="s">
        <v>130</v>
      </c>
      <c r="I917" s="3" t="s">
        <v>6161</v>
      </c>
      <c r="J917" s="3" t="s">
        <v>6162</v>
      </c>
      <c r="K917" s="15" t="s">
        <v>133</v>
      </c>
      <c r="L917" s="18" t="s">
        <v>5</v>
      </c>
      <c r="M917" s="15" t="s">
        <v>426</v>
      </c>
      <c r="N917" s="15" t="s">
        <v>426</v>
      </c>
      <c r="O917" s="15"/>
      <c r="P917" s="15" t="s">
        <v>185</v>
      </c>
      <c r="Q917" s="15" t="s">
        <v>129</v>
      </c>
      <c r="R917" s="15" t="s">
        <v>185</v>
      </c>
      <c r="S917" s="15"/>
      <c r="T917" s="15"/>
      <c r="U917" s="3" t="s">
        <v>6163</v>
      </c>
      <c r="V917" s="3" t="s">
        <v>6164</v>
      </c>
      <c r="W917" s="3"/>
      <c r="X917" s="3"/>
      <c r="Y917" s="15" t="n">
        <v>0</v>
      </c>
      <c r="Z917" s="15" t="n">
        <v>0</v>
      </c>
      <c r="AA917" s="15" t="n">
        <v>0</v>
      </c>
      <c r="AB917" s="15" t="n">
        <v>0</v>
      </c>
      <c r="AC917" s="15" t="n">
        <v>0</v>
      </c>
      <c r="AD917" s="15" t="n">
        <v>0</v>
      </c>
      <c r="AE917" s="15" t="n">
        <v>0</v>
      </c>
      <c r="AF917" s="15" t="n">
        <v>0</v>
      </c>
      <c r="AG917" s="15" t="n">
        <v>0</v>
      </c>
      <c r="AH917" s="15" t="n">
        <v>0</v>
      </c>
    </row>
    <row r="918" customFormat="false" ht="23.85" hidden="false" customHeight="false" outlineLevel="0" collapsed="false">
      <c r="A918" s="15" t="s">
        <v>6165</v>
      </c>
      <c r="B918" s="15" t="s">
        <v>38</v>
      </c>
      <c r="C918" s="15" t="s">
        <v>3161</v>
      </c>
      <c r="D918" s="15" t="n">
        <v>1</v>
      </c>
      <c r="E918" s="15" t="s">
        <v>3162</v>
      </c>
      <c r="F918" s="15" t="n">
        <v>1</v>
      </c>
      <c r="G918" s="15" t="s">
        <v>197</v>
      </c>
      <c r="H918" s="15" t="s">
        <v>142</v>
      </c>
      <c r="I918" s="3" t="s">
        <v>6166</v>
      </c>
      <c r="J918" s="3" t="s">
        <v>6167</v>
      </c>
      <c r="K918" s="15" t="s">
        <v>145</v>
      </c>
      <c r="L918" s="16" t="s">
        <v>7</v>
      </c>
      <c r="M918" s="15" t="s">
        <v>66</v>
      </c>
      <c r="N918" s="15" t="s">
        <v>88</v>
      </c>
      <c r="O918" s="15" t="s">
        <v>88</v>
      </c>
      <c r="P918" s="15" t="s">
        <v>135</v>
      </c>
      <c r="Q918" s="15" t="s">
        <v>129</v>
      </c>
      <c r="R918" s="15" t="s">
        <v>185</v>
      </c>
      <c r="S918" s="15"/>
      <c r="T918" s="15"/>
      <c r="U918" s="3" t="s">
        <v>6168</v>
      </c>
      <c r="V918" s="3" t="s">
        <v>6169</v>
      </c>
      <c r="W918" s="3"/>
      <c r="X918" s="3"/>
      <c r="Y918" s="15" t="n">
        <v>0</v>
      </c>
      <c r="Z918" s="15" t="n">
        <v>0</v>
      </c>
      <c r="AA918" s="15" t="n">
        <v>0</v>
      </c>
      <c r="AB918" s="15" t="n">
        <v>0</v>
      </c>
      <c r="AC918" s="15" t="n">
        <v>0</v>
      </c>
      <c r="AD918" s="15" t="n">
        <v>0</v>
      </c>
      <c r="AE918" s="15" t="n">
        <v>0</v>
      </c>
      <c r="AF918" s="15" t="n">
        <v>1</v>
      </c>
      <c r="AG918" s="15" t="n">
        <v>0</v>
      </c>
      <c r="AH918" s="15" t="n">
        <v>0</v>
      </c>
    </row>
    <row r="919" customFormat="false" ht="23.85" hidden="false" customHeight="false" outlineLevel="0" collapsed="false">
      <c r="A919" s="15" t="s">
        <v>6170</v>
      </c>
      <c r="B919" s="15" t="s">
        <v>38</v>
      </c>
      <c r="C919" s="15" t="s">
        <v>3161</v>
      </c>
      <c r="D919" s="15" t="n">
        <v>1</v>
      </c>
      <c r="E919" s="15" t="s">
        <v>3162</v>
      </c>
      <c r="F919" s="15" t="n">
        <v>2</v>
      </c>
      <c r="G919" s="15" t="s">
        <v>141</v>
      </c>
      <c r="H919" s="15" t="s">
        <v>142</v>
      </c>
      <c r="I919" s="3" t="s">
        <v>6171</v>
      </c>
      <c r="J919" s="3" t="s">
        <v>6172</v>
      </c>
      <c r="K919" s="15" t="s">
        <v>145</v>
      </c>
      <c r="L919" s="16" t="s">
        <v>7</v>
      </c>
      <c r="M919" s="15" t="s">
        <v>66</v>
      </c>
      <c r="N919" s="15" t="s">
        <v>88</v>
      </c>
      <c r="O919" s="15" t="s">
        <v>88</v>
      </c>
      <c r="P919" s="15" t="s">
        <v>135</v>
      </c>
      <c r="Q919" s="15" t="s">
        <v>129</v>
      </c>
      <c r="R919" s="15" t="s">
        <v>185</v>
      </c>
      <c r="S919" s="15"/>
      <c r="T919" s="15"/>
      <c r="U919" s="3" t="s">
        <v>6173</v>
      </c>
      <c r="V919" s="3" t="s">
        <v>6174</v>
      </c>
      <c r="W919" s="3"/>
      <c r="X919" s="3"/>
      <c r="Y919" s="15" t="n">
        <v>0</v>
      </c>
      <c r="Z919" s="15" t="n">
        <v>0</v>
      </c>
      <c r="AA919" s="15" t="n">
        <v>0</v>
      </c>
      <c r="AB919" s="15" t="n">
        <v>0</v>
      </c>
      <c r="AC919" s="15" t="n">
        <v>0</v>
      </c>
      <c r="AD919" s="15" t="n">
        <v>0</v>
      </c>
      <c r="AE919" s="15" t="n">
        <v>0</v>
      </c>
      <c r="AF919" s="15" t="n">
        <v>1</v>
      </c>
      <c r="AG919" s="15" t="n">
        <v>0</v>
      </c>
      <c r="AH919" s="15" t="n">
        <v>0</v>
      </c>
    </row>
    <row r="920" customFormat="false" ht="23.85" hidden="false" customHeight="false" outlineLevel="0" collapsed="false">
      <c r="A920" s="15" t="s">
        <v>6175</v>
      </c>
      <c r="B920" s="15" t="s">
        <v>38</v>
      </c>
      <c r="C920" s="15" t="s">
        <v>3183</v>
      </c>
      <c r="D920" s="15" t="n">
        <v>1</v>
      </c>
      <c r="E920" s="15" t="s">
        <v>3184</v>
      </c>
      <c r="F920" s="15" t="n">
        <v>0</v>
      </c>
      <c r="G920" s="15" t="s">
        <v>129</v>
      </c>
      <c r="H920" s="15" t="s">
        <v>130</v>
      </c>
      <c r="I920" s="3" t="s">
        <v>6176</v>
      </c>
      <c r="J920" s="3" t="s">
        <v>6177</v>
      </c>
      <c r="K920" s="15" t="s">
        <v>133</v>
      </c>
      <c r="L920" s="16" t="s">
        <v>7</v>
      </c>
      <c r="M920" s="15" t="s">
        <v>66</v>
      </c>
      <c r="N920" s="15" t="s">
        <v>86</v>
      </c>
      <c r="O920" s="15" t="s">
        <v>86</v>
      </c>
      <c r="P920" s="15" t="s">
        <v>185</v>
      </c>
      <c r="Q920" s="15" t="s">
        <v>129</v>
      </c>
      <c r="R920" s="15" t="s">
        <v>135</v>
      </c>
      <c r="S920" s="15"/>
      <c r="T920" s="15"/>
      <c r="U920" s="3" t="s">
        <v>6178</v>
      </c>
      <c r="V920" s="3" t="s">
        <v>6179</v>
      </c>
      <c r="W920" s="3" t="s">
        <v>6180</v>
      </c>
      <c r="X920" s="3" t="s">
        <v>6181</v>
      </c>
      <c r="Y920" s="15" t="n">
        <v>0</v>
      </c>
      <c r="Z920" s="15" t="n">
        <v>0</v>
      </c>
      <c r="AA920" s="15" t="n">
        <v>0</v>
      </c>
      <c r="AB920" s="15" t="n">
        <v>0</v>
      </c>
      <c r="AC920" s="15" t="n">
        <v>0</v>
      </c>
      <c r="AD920" s="15" t="n">
        <v>1</v>
      </c>
      <c r="AE920" s="15" t="n">
        <v>0</v>
      </c>
      <c r="AF920" s="15" t="n">
        <v>0</v>
      </c>
      <c r="AG920" s="15" t="n">
        <v>0</v>
      </c>
      <c r="AH920" s="15" t="n">
        <v>0</v>
      </c>
    </row>
    <row r="921" customFormat="false" ht="23.85" hidden="false" customHeight="false" outlineLevel="0" collapsed="false">
      <c r="A921" s="15" t="s">
        <v>6182</v>
      </c>
      <c r="B921" s="15" t="s">
        <v>38</v>
      </c>
      <c r="C921" s="15" t="s">
        <v>3183</v>
      </c>
      <c r="D921" s="15" t="n">
        <v>1</v>
      </c>
      <c r="E921" s="15" t="s">
        <v>3184</v>
      </c>
      <c r="F921" s="15" t="n">
        <v>1</v>
      </c>
      <c r="G921" s="15" t="s">
        <v>197</v>
      </c>
      <c r="H921" s="15" t="s">
        <v>142</v>
      </c>
      <c r="I921" s="3" t="s">
        <v>6183</v>
      </c>
      <c r="J921" s="3" t="s">
        <v>6184</v>
      </c>
      <c r="K921" s="15" t="s">
        <v>145</v>
      </c>
      <c r="L921" s="16" t="s">
        <v>7</v>
      </c>
      <c r="M921" s="15" t="s">
        <v>66</v>
      </c>
      <c r="N921" s="15" t="s">
        <v>88</v>
      </c>
      <c r="O921" s="15" t="s">
        <v>4158</v>
      </c>
      <c r="P921" s="15" t="s">
        <v>135</v>
      </c>
      <c r="Q921" s="15" t="s">
        <v>129</v>
      </c>
      <c r="R921" s="15" t="s">
        <v>135</v>
      </c>
      <c r="S921" s="15"/>
      <c r="T921" s="15"/>
      <c r="U921" s="3" t="s">
        <v>6185</v>
      </c>
      <c r="V921" s="3" t="s">
        <v>6186</v>
      </c>
      <c r="W921" s="3"/>
      <c r="X921" s="3" t="s">
        <v>6187</v>
      </c>
      <c r="Y921" s="15" t="n">
        <v>0</v>
      </c>
      <c r="Z921" s="15" t="n">
        <v>0</v>
      </c>
      <c r="AA921" s="15" t="n">
        <v>0</v>
      </c>
      <c r="AB921" s="15" t="n">
        <v>0</v>
      </c>
      <c r="AC921" s="15" t="n">
        <v>0</v>
      </c>
      <c r="AD921" s="15" t="n">
        <v>1</v>
      </c>
      <c r="AE921" s="15" t="n">
        <v>0</v>
      </c>
      <c r="AF921" s="15" t="n">
        <v>1</v>
      </c>
      <c r="AG921" s="15" t="n">
        <v>0</v>
      </c>
      <c r="AH921" s="15" t="n">
        <v>0</v>
      </c>
    </row>
    <row r="922" customFormat="false" ht="23.85" hidden="false" customHeight="false" outlineLevel="0" collapsed="false">
      <c r="A922" s="15" t="s">
        <v>6188</v>
      </c>
      <c r="B922" s="15" t="s">
        <v>38</v>
      </c>
      <c r="C922" s="15" t="s">
        <v>3183</v>
      </c>
      <c r="D922" s="15" t="n">
        <v>1</v>
      </c>
      <c r="E922" s="15" t="s">
        <v>3184</v>
      </c>
      <c r="F922" s="15" t="n">
        <v>2</v>
      </c>
      <c r="G922" s="15" t="s">
        <v>141</v>
      </c>
      <c r="H922" s="15" t="s">
        <v>142</v>
      </c>
      <c r="I922" s="3" t="s">
        <v>6189</v>
      </c>
      <c r="J922" s="3" t="s">
        <v>6190</v>
      </c>
      <c r="K922" s="15" t="s">
        <v>133</v>
      </c>
      <c r="L922" s="16" t="s">
        <v>7</v>
      </c>
      <c r="M922" s="15" t="s">
        <v>68</v>
      </c>
      <c r="N922" s="15" t="s">
        <v>85</v>
      </c>
      <c r="O922" s="15" t="s">
        <v>6191</v>
      </c>
      <c r="P922" s="15" t="s">
        <v>135</v>
      </c>
      <c r="Q922" s="15" t="s">
        <v>129</v>
      </c>
      <c r="R922" s="15" t="s">
        <v>135</v>
      </c>
      <c r="S922" s="15"/>
      <c r="T922" s="15"/>
      <c r="U922" s="3" t="s">
        <v>6192</v>
      </c>
      <c r="V922" s="3" t="s">
        <v>6193</v>
      </c>
      <c r="W922" s="3" t="s">
        <v>6194</v>
      </c>
      <c r="X922" s="3" t="s">
        <v>6195</v>
      </c>
      <c r="Y922" s="15" t="n">
        <v>0</v>
      </c>
      <c r="Z922" s="15" t="n">
        <v>1</v>
      </c>
      <c r="AA922" s="15" t="n">
        <v>0</v>
      </c>
      <c r="AB922" s="15" t="n">
        <v>0</v>
      </c>
      <c r="AC922" s="15" t="n">
        <v>1</v>
      </c>
      <c r="AD922" s="15" t="n">
        <v>1</v>
      </c>
      <c r="AE922" s="15" t="n">
        <v>0</v>
      </c>
      <c r="AF922" s="15" t="n">
        <v>1</v>
      </c>
      <c r="AG922" s="15" t="n">
        <v>0</v>
      </c>
      <c r="AH922" s="15" t="n">
        <v>0</v>
      </c>
    </row>
    <row r="923" customFormat="false" ht="35.05" hidden="false" customHeight="false" outlineLevel="0" collapsed="false">
      <c r="A923" s="15" t="s">
        <v>6196</v>
      </c>
      <c r="B923" s="15" t="s">
        <v>38</v>
      </c>
      <c r="C923" s="15" t="s">
        <v>3183</v>
      </c>
      <c r="D923" s="15" t="n">
        <v>3</v>
      </c>
      <c r="E923" s="15" t="s">
        <v>3205</v>
      </c>
      <c r="F923" s="15" t="n">
        <v>0</v>
      </c>
      <c r="G923" s="15" t="s">
        <v>307</v>
      </c>
      <c r="H923" s="15" t="s">
        <v>308</v>
      </c>
      <c r="I923" s="3" t="s">
        <v>6197</v>
      </c>
      <c r="J923" s="3" t="s">
        <v>6198</v>
      </c>
      <c r="K923" s="15" t="s">
        <v>145</v>
      </c>
      <c r="L923" s="16" t="s">
        <v>7</v>
      </c>
      <c r="M923" s="15" t="s">
        <v>66</v>
      </c>
      <c r="N923" s="15" t="s">
        <v>90</v>
      </c>
      <c r="O923" s="15" t="s">
        <v>6199</v>
      </c>
      <c r="P923" s="15" t="s">
        <v>135</v>
      </c>
      <c r="Q923" s="15" t="s">
        <v>136</v>
      </c>
      <c r="R923" s="15" t="s">
        <v>135</v>
      </c>
      <c r="S923" s="15"/>
      <c r="T923" s="15"/>
      <c r="U923" s="3" t="s">
        <v>6200</v>
      </c>
      <c r="V923" s="3" t="s">
        <v>6201</v>
      </c>
      <c r="W923" s="3" t="s">
        <v>6202</v>
      </c>
      <c r="X923" s="3" t="s">
        <v>6203</v>
      </c>
      <c r="Y923" s="15" t="n">
        <v>0</v>
      </c>
      <c r="Z923" s="15" t="n">
        <v>0</v>
      </c>
      <c r="AA923" s="15" t="n">
        <v>0</v>
      </c>
      <c r="AB923" s="15" t="n">
        <v>0</v>
      </c>
      <c r="AC923" s="15" t="n">
        <v>0</v>
      </c>
      <c r="AD923" s="15" t="n">
        <v>0</v>
      </c>
      <c r="AE923" s="15" t="n">
        <v>1</v>
      </c>
      <c r="AF923" s="15" t="n">
        <v>1</v>
      </c>
      <c r="AG923" s="15" t="n">
        <v>0</v>
      </c>
      <c r="AH923" s="15" t="n">
        <v>1</v>
      </c>
    </row>
    <row r="924" customFormat="false" ht="23.85" hidden="false" customHeight="false" outlineLevel="0" collapsed="false">
      <c r="A924" s="15" t="s">
        <v>6204</v>
      </c>
      <c r="B924" s="15" t="s">
        <v>38</v>
      </c>
      <c r="C924" s="15" t="s">
        <v>3183</v>
      </c>
      <c r="D924" s="15" t="n">
        <v>3</v>
      </c>
      <c r="E924" s="15" t="s">
        <v>3205</v>
      </c>
      <c r="F924" s="15" t="n">
        <v>1</v>
      </c>
      <c r="G924" s="15" t="s">
        <v>129</v>
      </c>
      <c r="H924" s="15" t="s">
        <v>130</v>
      </c>
      <c r="I924" s="3" t="s">
        <v>6205</v>
      </c>
      <c r="J924" s="3" t="s">
        <v>6206</v>
      </c>
      <c r="K924" s="15" t="s">
        <v>145</v>
      </c>
      <c r="L924" s="16" t="s">
        <v>7</v>
      </c>
      <c r="M924" s="15" t="s">
        <v>66</v>
      </c>
      <c r="N924" s="15" t="s">
        <v>90</v>
      </c>
      <c r="O924" s="15" t="s">
        <v>90</v>
      </c>
      <c r="P924" s="15" t="s">
        <v>185</v>
      </c>
      <c r="Q924" s="15" t="s">
        <v>129</v>
      </c>
      <c r="R924" s="15" t="s">
        <v>185</v>
      </c>
      <c r="S924" s="15"/>
      <c r="T924" s="15"/>
      <c r="U924" s="3" t="s">
        <v>6207</v>
      </c>
      <c r="V924" s="3" t="s">
        <v>6208</v>
      </c>
      <c r="W924" s="3" t="s">
        <v>6209</v>
      </c>
      <c r="X924" s="3" t="s">
        <v>6210</v>
      </c>
      <c r="Y924" s="15" t="n">
        <v>0</v>
      </c>
      <c r="Z924" s="15" t="n">
        <v>0</v>
      </c>
      <c r="AA924" s="15" t="n">
        <v>0</v>
      </c>
      <c r="AB924" s="15" t="n">
        <v>0</v>
      </c>
      <c r="AC924" s="15" t="n">
        <v>0</v>
      </c>
      <c r="AD924" s="15" t="n">
        <v>0</v>
      </c>
      <c r="AE924" s="15" t="n">
        <v>0</v>
      </c>
      <c r="AF924" s="15" t="n">
        <v>0</v>
      </c>
      <c r="AG924" s="15" t="n">
        <v>0</v>
      </c>
      <c r="AH924" s="15" t="n">
        <v>1</v>
      </c>
    </row>
    <row r="925" customFormat="false" ht="35.05" hidden="false" customHeight="false" outlineLevel="0" collapsed="false">
      <c r="A925" s="15" t="s">
        <v>6211</v>
      </c>
      <c r="B925" s="15" t="s">
        <v>38</v>
      </c>
      <c r="C925" s="15" t="s">
        <v>3183</v>
      </c>
      <c r="D925" s="15" t="n">
        <v>3</v>
      </c>
      <c r="E925" s="15" t="s">
        <v>3205</v>
      </c>
      <c r="F925" s="15" t="n">
        <v>2</v>
      </c>
      <c r="G925" s="15" t="s">
        <v>197</v>
      </c>
      <c r="H925" s="15" t="s">
        <v>142</v>
      </c>
      <c r="I925" s="3" t="s">
        <v>6212</v>
      </c>
      <c r="J925" s="3" t="s">
        <v>6213</v>
      </c>
      <c r="K925" s="15" t="s">
        <v>133</v>
      </c>
      <c r="L925" s="16" t="s">
        <v>7</v>
      </c>
      <c r="M925" s="15" t="s">
        <v>66</v>
      </c>
      <c r="N925" s="15" t="s">
        <v>88</v>
      </c>
      <c r="O925" s="15" t="s">
        <v>6214</v>
      </c>
      <c r="P925" s="15" t="s">
        <v>135</v>
      </c>
      <c r="Q925" s="15" t="s">
        <v>129</v>
      </c>
      <c r="R925" s="15" t="s">
        <v>135</v>
      </c>
      <c r="S925" s="15"/>
      <c r="T925" s="15"/>
      <c r="U925" s="3" t="s">
        <v>6215</v>
      </c>
      <c r="V925" s="3" t="s">
        <v>6216</v>
      </c>
      <c r="W925" s="3" t="s">
        <v>6217</v>
      </c>
      <c r="X925" s="3" t="s">
        <v>6218</v>
      </c>
      <c r="Y925" s="15" t="n">
        <v>0</v>
      </c>
      <c r="Z925" s="15" t="n">
        <v>0</v>
      </c>
      <c r="AA925" s="15" t="n">
        <v>0</v>
      </c>
      <c r="AB925" s="15" t="n">
        <v>0</v>
      </c>
      <c r="AC925" s="15" t="n">
        <v>0</v>
      </c>
      <c r="AD925" s="15" t="n">
        <v>1</v>
      </c>
      <c r="AE925" s="15" t="n">
        <v>0</v>
      </c>
      <c r="AF925" s="15" t="n">
        <v>1</v>
      </c>
      <c r="AG925" s="15" t="n">
        <v>0</v>
      </c>
      <c r="AH925" s="15" t="n">
        <v>1</v>
      </c>
    </row>
    <row r="926" customFormat="false" ht="35.05" hidden="false" customHeight="false" outlineLevel="0" collapsed="false">
      <c r="A926" s="15" t="s">
        <v>6219</v>
      </c>
      <c r="B926" s="15" t="s">
        <v>38</v>
      </c>
      <c r="C926" s="15" t="s">
        <v>3222</v>
      </c>
      <c r="D926" s="15" t="n">
        <v>1</v>
      </c>
      <c r="E926" s="15" t="s">
        <v>3223</v>
      </c>
      <c r="F926" s="15" t="n">
        <v>0</v>
      </c>
      <c r="G926" s="15" t="s">
        <v>129</v>
      </c>
      <c r="H926" s="15" t="s">
        <v>130</v>
      </c>
      <c r="I926" s="3" t="s">
        <v>6220</v>
      </c>
      <c r="J926" s="3" t="s">
        <v>6221</v>
      </c>
      <c r="K926" s="15" t="s">
        <v>133</v>
      </c>
      <c r="L926" s="18" t="s">
        <v>5</v>
      </c>
      <c r="M926" s="15" t="s">
        <v>426</v>
      </c>
      <c r="N926" s="15" t="s">
        <v>426</v>
      </c>
      <c r="O926" s="15"/>
      <c r="P926" s="15" t="s">
        <v>185</v>
      </c>
      <c r="Q926" s="15" t="s">
        <v>129</v>
      </c>
      <c r="R926" s="15" t="s">
        <v>185</v>
      </c>
      <c r="S926" s="15"/>
      <c r="T926" s="15"/>
      <c r="U926" s="3" t="s">
        <v>6222</v>
      </c>
      <c r="V926" s="3" t="s">
        <v>6223</v>
      </c>
      <c r="W926" s="3"/>
      <c r="X926" s="3"/>
      <c r="Y926" s="15" t="n">
        <v>0</v>
      </c>
      <c r="Z926" s="15" t="n">
        <v>0</v>
      </c>
      <c r="AA926" s="15" t="n">
        <v>0</v>
      </c>
      <c r="AB926" s="15" t="n">
        <v>0</v>
      </c>
      <c r="AC926" s="15" t="n">
        <v>0</v>
      </c>
      <c r="AD926" s="15" t="n">
        <v>0</v>
      </c>
      <c r="AE926" s="15" t="n">
        <v>0</v>
      </c>
      <c r="AF926" s="15" t="n">
        <v>0</v>
      </c>
      <c r="AG926" s="15" t="n">
        <v>0</v>
      </c>
      <c r="AH926" s="15" t="n">
        <v>0</v>
      </c>
    </row>
    <row r="927" customFormat="false" ht="35.05" hidden="false" customHeight="false" outlineLevel="0" collapsed="false">
      <c r="A927" s="15" t="s">
        <v>6224</v>
      </c>
      <c r="B927" s="15" t="s">
        <v>38</v>
      </c>
      <c r="C927" s="15" t="s">
        <v>3222</v>
      </c>
      <c r="D927" s="15" t="n">
        <v>1</v>
      </c>
      <c r="E927" s="15" t="s">
        <v>3223</v>
      </c>
      <c r="F927" s="15" t="n">
        <v>1</v>
      </c>
      <c r="G927" s="15" t="s">
        <v>197</v>
      </c>
      <c r="H927" s="15" t="s">
        <v>142</v>
      </c>
      <c r="I927" s="3" t="s">
        <v>6225</v>
      </c>
      <c r="J927" s="3" t="s">
        <v>6226</v>
      </c>
      <c r="K927" s="15" t="s">
        <v>145</v>
      </c>
      <c r="L927" s="16" t="s">
        <v>7</v>
      </c>
      <c r="M927" s="15" t="s">
        <v>66</v>
      </c>
      <c r="N927" s="15" t="s">
        <v>88</v>
      </c>
      <c r="O927" s="15" t="s">
        <v>231</v>
      </c>
      <c r="P927" s="15" t="s">
        <v>135</v>
      </c>
      <c r="Q927" s="15" t="s">
        <v>129</v>
      </c>
      <c r="R927" s="15" t="s">
        <v>185</v>
      </c>
      <c r="S927" s="15"/>
      <c r="T927" s="15"/>
      <c r="U927" s="3" t="s">
        <v>6227</v>
      </c>
      <c r="V927" s="3" t="s">
        <v>6228</v>
      </c>
      <c r="W927" s="3" t="s">
        <v>6229</v>
      </c>
      <c r="X927" s="3" t="s">
        <v>6226</v>
      </c>
      <c r="Y927" s="15" t="n">
        <v>0</v>
      </c>
      <c r="Z927" s="15" t="n">
        <v>0</v>
      </c>
      <c r="AA927" s="15" t="n">
        <v>0</v>
      </c>
      <c r="AB927" s="15" t="n">
        <v>0</v>
      </c>
      <c r="AC927" s="15" t="n">
        <v>0</v>
      </c>
      <c r="AD927" s="15" t="n">
        <v>0</v>
      </c>
      <c r="AE927" s="15" t="n">
        <v>0</v>
      </c>
      <c r="AF927" s="15" t="n">
        <v>1</v>
      </c>
      <c r="AG927" s="15" t="n">
        <v>0</v>
      </c>
      <c r="AH927" s="15" t="n">
        <v>1</v>
      </c>
    </row>
    <row r="928" customFormat="false" ht="35.05" hidden="false" customHeight="false" outlineLevel="0" collapsed="false">
      <c r="A928" s="15" t="s">
        <v>6230</v>
      </c>
      <c r="B928" s="15" t="s">
        <v>38</v>
      </c>
      <c r="C928" s="15" t="s">
        <v>3222</v>
      </c>
      <c r="D928" s="15" t="n">
        <v>1</v>
      </c>
      <c r="E928" s="15" t="s">
        <v>3223</v>
      </c>
      <c r="F928" s="15" t="n">
        <v>2</v>
      </c>
      <c r="G928" s="15" t="s">
        <v>141</v>
      </c>
      <c r="H928" s="15" t="s">
        <v>142</v>
      </c>
      <c r="I928" s="3" t="s">
        <v>6231</v>
      </c>
      <c r="J928" s="3" t="s">
        <v>6232</v>
      </c>
      <c r="K928" s="15" t="s">
        <v>133</v>
      </c>
      <c r="L928" s="16" t="s">
        <v>7</v>
      </c>
      <c r="M928" s="15" t="s">
        <v>66</v>
      </c>
      <c r="N928" s="15" t="s">
        <v>88</v>
      </c>
      <c r="O928" s="15" t="s">
        <v>88</v>
      </c>
      <c r="P928" s="15" t="s">
        <v>135</v>
      </c>
      <c r="Q928" s="15" t="s">
        <v>129</v>
      </c>
      <c r="R928" s="15" t="s">
        <v>185</v>
      </c>
      <c r="S928" s="15"/>
      <c r="T928" s="15"/>
      <c r="U928" s="3" t="s">
        <v>6233</v>
      </c>
      <c r="V928" s="3" t="s">
        <v>6234</v>
      </c>
      <c r="W928" s="3"/>
      <c r="X928" s="3" t="s">
        <v>6235</v>
      </c>
      <c r="Y928" s="15" t="n">
        <v>0</v>
      </c>
      <c r="Z928" s="15" t="n">
        <v>0</v>
      </c>
      <c r="AA928" s="15" t="n">
        <v>0</v>
      </c>
      <c r="AB928" s="15" t="n">
        <v>0</v>
      </c>
      <c r="AC928" s="15" t="n">
        <v>0</v>
      </c>
      <c r="AD928" s="15" t="n">
        <v>0</v>
      </c>
      <c r="AE928" s="15" t="n">
        <v>0</v>
      </c>
      <c r="AF928" s="15" t="n">
        <v>1</v>
      </c>
      <c r="AG928" s="15" t="n">
        <v>0</v>
      </c>
      <c r="AH928" s="15" t="n">
        <v>0</v>
      </c>
    </row>
    <row r="929" customFormat="false" ht="35.05" hidden="false" customHeight="false" outlineLevel="0" collapsed="false">
      <c r="A929" s="15" t="s">
        <v>6236</v>
      </c>
      <c r="B929" s="15" t="s">
        <v>38</v>
      </c>
      <c r="C929" s="15" t="s">
        <v>3245</v>
      </c>
      <c r="D929" s="15" t="n">
        <v>1</v>
      </c>
      <c r="E929" s="15" t="s">
        <v>3246</v>
      </c>
      <c r="F929" s="15" t="n">
        <v>0</v>
      </c>
      <c r="G929" s="15" t="s">
        <v>129</v>
      </c>
      <c r="H929" s="15" t="s">
        <v>130</v>
      </c>
      <c r="I929" s="3" t="s">
        <v>6237</v>
      </c>
      <c r="J929" s="3" t="s">
        <v>6238</v>
      </c>
      <c r="K929" s="15" t="s">
        <v>133</v>
      </c>
      <c r="L929" s="18" t="s">
        <v>5</v>
      </c>
      <c r="M929" s="15" t="s">
        <v>426</v>
      </c>
      <c r="N929" s="15" t="s">
        <v>426</v>
      </c>
      <c r="O929" s="15"/>
      <c r="P929" s="15" t="s">
        <v>185</v>
      </c>
      <c r="Q929" s="15" t="s">
        <v>129</v>
      </c>
      <c r="R929" s="15" t="s">
        <v>185</v>
      </c>
      <c r="S929" s="15"/>
      <c r="T929" s="15"/>
      <c r="U929" s="3" t="s">
        <v>6239</v>
      </c>
      <c r="V929" s="3" t="s">
        <v>6240</v>
      </c>
      <c r="W929" s="3"/>
      <c r="X929" s="3"/>
      <c r="Y929" s="15" t="n">
        <v>0</v>
      </c>
      <c r="Z929" s="15" t="n">
        <v>0</v>
      </c>
      <c r="AA929" s="15" t="n">
        <v>0</v>
      </c>
      <c r="AB929" s="15" t="n">
        <v>0</v>
      </c>
      <c r="AC929" s="15" t="n">
        <v>0</v>
      </c>
      <c r="AD929" s="15" t="n">
        <v>0</v>
      </c>
      <c r="AE929" s="15" t="n">
        <v>0</v>
      </c>
      <c r="AF929" s="15" t="n">
        <v>0</v>
      </c>
      <c r="AG929" s="15" t="n">
        <v>0</v>
      </c>
      <c r="AH929" s="15" t="n">
        <v>0</v>
      </c>
    </row>
    <row r="930" customFormat="false" ht="46.25" hidden="false" customHeight="false" outlineLevel="0" collapsed="false">
      <c r="A930" s="15" t="s">
        <v>6241</v>
      </c>
      <c r="B930" s="15" t="s">
        <v>38</v>
      </c>
      <c r="C930" s="15" t="s">
        <v>3245</v>
      </c>
      <c r="D930" s="15" t="n">
        <v>1</v>
      </c>
      <c r="E930" s="15" t="s">
        <v>3246</v>
      </c>
      <c r="F930" s="15" t="n">
        <v>1</v>
      </c>
      <c r="G930" s="15" t="s">
        <v>197</v>
      </c>
      <c r="H930" s="15" t="s">
        <v>142</v>
      </c>
      <c r="I930" s="3" t="s">
        <v>6242</v>
      </c>
      <c r="J930" s="3" t="s">
        <v>6243</v>
      </c>
      <c r="K930" s="15" t="s">
        <v>145</v>
      </c>
      <c r="L930" s="16" t="s">
        <v>7</v>
      </c>
      <c r="M930" s="15" t="s">
        <v>66</v>
      </c>
      <c r="N930" s="15" t="s">
        <v>88</v>
      </c>
      <c r="O930" s="15" t="s">
        <v>88</v>
      </c>
      <c r="P930" s="15" t="s">
        <v>135</v>
      </c>
      <c r="Q930" s="15" t="s">
        <v>129</v>
      </c>
      <c r="R930" s="15" t="s">
        <v>185</v>
      </c>
      <c r="S930" s="15"/>
      <c r="T930" s="15"/>
      <c r="U930" s="3" t="s">
        <v>6244</v>
      </c>
      <c r="V930" s="3" t="s">
        <v>6245</v>
      </c>
      <c r="W930" s="3"/>
      <c r="X930" s="3" t="s">
        <v>6246</v>
      </c>
      <c r="Y930" s="15" t="n">
        <v>0</v>
      </c>
      <c r="Z930" s="15" t="n">
        <v>0</v>
      </c>
      <c r="AA930" s="15" t="n">
        <v>0</v>
      </c>
      <c r="AB930" s="15" t="n">
        <v>0</v>
      </c>
      <c r="AC930" s="15" t="n">
        <v>0</v>
      </c>
      <c r="AD930" s="15" t="n">
        <v>0</v>
      </c>
      <c r="AE930" s="15" t="n">
        <v>0</v>
      </c>
      <c r="AF930" s="15" t="n">
        <v>1</v>
      </c>
      <c r="AG930" s="15" t="n">
        <v>0</v>
      </c>
      <c r="AH930" s="15" t="n">
        <v>0</v>
      </c>
    </row>
    <row r="931" customFormat="false" ht="23.85" hidden="false" customHeight="false" outlineLevel="0" collapsed="false">
      <c r="A931" s="15" t="s">
        <v>6247</v>
      </c>
      <c r="B931" s="15" t="s">
        <v>38</v>
      </c>
      <c r="C931" s="15" t="s">
        <v>3245</v>
      </c>
      <c r="D931" s="15" t="n">
        <v>1</v>
      </c>
      <c r="E931" s="15" t="s">
        <v>3246</v>
      </c>
      <c r="F931" s="15" t="n">
        <v>2</v>
      </c>
      <c r="G931" s="15" t="s">
        <v>141</v>
      </c>
      <c r="H931" s="15" t="s">
        <v>142</v>
      </c>
      <c r="I931" s="3" t="s">
        <v>6248</v>
      </c>
      <c r="J931" s="3" t="s">
        <v>6249</v>
      </c>
      <c r="K931" s="15" t="s">
        <v>133</v>
      </c>
      <c r="L931" s="16" t="s">
        <v>7</v>
      </c>
      <c r="M931" s="15" t="s">
        <v>66</v>
      </c>
      <c r="N931" s="15" t="s">
        <v>88</v>
      </c>
      <c r="O931" s="15" t="s">
        <v>88</v>
      </c>
      <c r="P931" s="15" t="s">
        <v>135</v>
      </c>
      <c r="Q931" s="15" t="s">
        <v>129</v>
      </c>
      <c r="R931" s="15" t="s">
        <v>185</v>
      </c>
      <c r="S931" s="15"/>
      <c r="T931" s="15"/>
      <c r="U931" s="3" t="s">
        <v>6250</v>
      </c>
      <c r="V931" s="3" t="s">
        <v>6251</v>
      </c>
      <c r="W931" s="3"/>
      <c r="X931" s="3" t="s">
        <v>6249</v>
      </c>
      <c r="Y931" s="15" t="n">
        <v>0</v>
      </c>
      <c r="Z931" s="15" t="n">
        <v>0</v>
      </c>
      <c r="AA931" s="15" t="n">
        <v>0</v>
      </c>
      <c r="AB931" s="15" t="n">
        <v>0</v>
      </c>
      <c r="AC931" s="15" t="n">
        <v>0</v>
      </c>
      <c r="AD931" s="15" t="n">
        <v>0</v>
      </c>
      <c r="AE931" s="15" t="n">
        <v>0</v>
      </c>
      <c r="AF931" s="15" t="n">
        <v>1</v>
      </c>
      <c r="AG931" s="15" t="n">
        <v>0</v>
      </c>
      <c r="AH931" s="15" t="n">
        <v>0</v>
      </c>
    </row>
    <row r="932" customFormat="false" ht="46.25" hidden="false" customHeight="false" outlineLevel="0" collapsed="false">
      <c r="A932" s="15" t="s">
        <v>6252</v>
      </c>
      <c r="B932" s="15" t="s">
        <v>38</v>
      </c>
      <c r="C932" s="15" t="s">
        <v>3264</v>
      </c>
      <c r="D932" s="15" t="n">
        <v>1</v>
      </c>
      <c r="E932" s="15" t="s">
        <v>3265</v>
      </c>
      <c r="F932" s="15" t="n">
        <v>0</v>
      </c>
      <c r="G932" s="15" t="s">
        <v>129</v>
      </c>
      <c r="H932" s="15" t="s">
        <v>130</v>
      </c>
      <c r="I932" s="3" t="s">
        <v>6253</v>
      </c>
      <c r="J932" s="3" t="s">
        <v>4502</v>
      </c>
      <c r="K932" s="15" t="s">
        <v>145</v>
      </c>
      <c r="L932" s="16" t="s">
        <v>7</v>
      </c>
      <c r="M932" s="15" t="s">
        <v>66</v>
      </c>
      <c r="N932" s="15" t="s">
        <v>90</v>
      </c>
      <c r="O932" s="15" t="s">
        <v>513</v>
      </c>
      <c r="P932" s="15" t="s">
        <v>135</v>
      </c>
      <c r="Q932" s="15" t="s">
        <v>136</v>
      </c>
      <c r="R932" s="15" t="s">
        <v>185</v>
      </c>
      <c r="S932" s="15"/>
      <c r="T932" s="15"/>
      <c r="U932" s="3" t="s">
        <v>6254</v>
      </c>
      <c r="V932" s="3" t="s">
        <v>6255</v>
      </c>
      <c r="W932" s="3" t="s">
        <v>6256</v>
      </c>
      <c r="X932" s="3" t="s">
        <v>6257</v>
      </c>
      <c r="Y932" s="15" t="n">
        <v>0</v>
      </c>
      <c r="Z932" s="15" t="n">
        <v>0</v>
      </c>
      <c r="AA932" s="15" t="n">
        <v>0</v>
      </c>
      <c r="AB932" s="15" t="n">
        <v>0</v>
      </c>
      <c r="AC932" s="15" t="n">
        <v>0</v>
      </c>
      <c r="AD932" s="15" t="n">
        <v>0</v>
      </c>
      <c r="AE932" s="15" t="n">
        <v>0</v>
      </c>
      <c r="AF932" s="15" t="n">
        <v>1</v>
      </c>
      <c r="AG932" s="15" t="n">
        <v>0</v>
      </c>
      <c r="AH932" s="15" t="n">
        <v>1</v>
      </c>
    </row>
    <row r="933" customFormat="false" ht="35.05" hidden="false" customHeight="false" outlineLevel="0" collapsed="false">
      <c r="A933" s="15" t="s">
        <v>6258</v>
      </c>
      <c r="B933" s="15" t="s">
        <v>38</v>
      </c>
      <c r="C933" s="15" t="s">
        <v>3264</v>
      </c>
      <c r="D933" s="15" t="n">
        <v>1</v>
      </c>
      <c r="E933" s="15" t="s">
        <v>3265</v>
      </c>
      <c r="F933" s="15" t="n">
        <v>1</v>
      </c>
      <c r="G933" s="15" t="s">
        <v>197</v>
      </c>
      <c r="H933" s="15" t="s">
        <v>142</v>
      </c>
      <c r="I933" s="3" t="s">
        <v>6259</v>
      </c>
      <c r="J933" s="3" t="s">
        <v>3838</v>
      </c>
      <c r="K933" s="15" t="s">
        <v>133</v>
      </c>
      <c r="L933" s="16" t="s">
        <v>7</v>
      </c>
      <c r="M933" s="15" t="s">
        <v>66</v>
      </c>
      <c r="N933" s="15" t="s">
        <v>88</v>
      </c>
      <c r="O933" s="15" t="s">
        <v>88</v>
      </c>
      <c r="P933" s="15" t="s">
        <v>135</v>
      </c>
      <c r="Q933" s="15" t="s">
        <v>136</v>
      </c>
      <c r="R933" s="15" t="s">
        <v>185</v>
      </c>
      <c r="S933" s="15"/>
      <c r="T933" s="15"/>
      <c r="U933" s="3" t="s">
        <v>6260</v>
      </c>
      <c r="V933" s="3" t="s">
        <v>6261</v>
      </c>
      <c r="W933" s="3"/>
      <c r="X933" s="3" t="s">
        <v>6262</v>
      </c>
      <c r="Y933" s="15" t="n">
        <v>0</v>
      </c>
      <c r="Z933" s="15" t="n">
        <v>0</v>
      </c>
      <c r="AA933" s="15" t="n">
        <v>0</v>
      </c>
      <c r="AB933" s="15" t="n">
        <v>0</v>
      </c>
      <c r="AC933" s="15" t="n">
        <v>0</v>
      </c>
      <c r="AD933" s="15" t="n">
        <v>0</v>
      </c>
      <c r="AE933" s="15" t="n">
        <v>0</v>
      </c>
      <c r="AF933" s="15" t="n">
        <v>1</v>
      </c>
      <c r="AG933" s="15" t="n">
        <v>0</v>
      </c>
      <c r="AH933" s="15" t="n">
        <v>0</v>
      </c>
    </row>
    <row r="934" customFormat="false" ht="46.25" hidden="false" customHeight="false" outlineLevel="0" collapsed="false">
      <c r="A934" s="15" t="s">
        <v>6263</v>
      </c>
      <c r="B934" s="15" t="s">
        <v>38</v>
      </c>
      <c r="C934" s="15" t="s">
        <v>3264</v>
      </c>
      <c r="D934" s="15" t="n">
        <v>1</v>
      </c>
      <c r="E934" s="15" t="s">
        <v>3265</v>
      </c>
      <c r="F934" s="15" t="n">
        <v>2</v>
      </c>
      <c r="G934" s="15" t="s">
        <v>141</v>
      </c>
      <c r="H934" s="15" t="s">
        <v>142</v>
      </c>
      <c r="I934" s="3" t="s">
        <v>6253</v>
      </c>
      <c r="J934" s="3" t="s">
        <v>4502</v>
      </c>
      <c r="K934" s="15" t="s">
        <v>145</v>
      </c>
      <c r="L934" s="16" t="s">
        <v>7</v>
      </c>
      <c r="M934" s="15" t="s">
        <v>66</v>
      </c>
      <c r="N934" s="15" t="s">
        <v>90</v>
      </c>
      <c r="O934" s="15" t="s">
        <v>513</v>
      </c>
      <c r="P934" s="15" t="s">
        <v>135</v>
      </c>
      <c r="Q934" s="15" t="s">
        <v>136</v>
      </c>
      <c r="R934" s="15" t="s">
        <v>185</v>
      </c>
      <c r="S934" s="15"/>
      <c r="T934" s="15"/>
      <c r="U934" s="3" t="s">
        <v>6254</v>
      </c>
      <c r="V934" s="3" t="s">
        <v>6264</v>
      </c>
      <c r="W934" s="3" t="s">
        <v>6256</v>
      </c>
      <c r="X934" s="3" t="s">
        <v>6265</v>
      </c>
      <c r="Y934" s="15" t="n">
        <v>0</v>
      </c>
      <c r="Z934" s="15" t="n">
        <v>0</v>
      </c>
      <c r="AA934" s="15" t="n">
        <v>0</v>
      </c>
      <c r="AB934" s="15" t="n">
        <v>0</v>
      </c>
      <c r="AC934" s="15" t="n">
        <v>0</v>
      </c>
      <c r="AD934" s="15" t="n">
        <v>0</v>
      </c>
      <c r="AE934" s="15" t="n">
        <v>0</v>
      </c>
      <c r="AF934" s="15" t="n">
        <v>1</v>
      </c>
      <c r="AG934" s="15" t="n">
        <v>0</v>
      </c>
      <c r="AH934" s="15" t="n">
        <v>1</v>
      </c>
    </row>
    <row r="935" customFormat="false" ht="35.05" hidden="false" customHeight="false" outlineLevel="0" collapsed="false">
      <c r="A935" s="15" t="s">
        <v>6266</v>
      </c>
      <c r="B935" s="15" t="s">
        <v>38</v>
      </c>
      <c r="C935" s="15" t="s">
        <v>3264</v>
      </c>
      <c r="D935" s="15" t="n">
        <v>3</v>
      </c>
      <c r="E935" s="15" t="s">
        <v>3285</v>
      </c>
      <c r="F935" s="15" t="n">
        <v>0</v>
      </c>
      <c r="G935" s="15" t="s">
        <v>129</v>
      </c>
      <c r="H935" s="15" t="s">
        <v>130</v>
      </c>
      <c r="I935" s="3" t="s">
        <v>6267</v>
      </c>
      <c r="J935" s="3" t="s">
        <v>6268</v>
      </c>
      <c r="K935" s="15" t="s">
        <v>145</v>
      </c>
      <c r="L935" s="16" t="s">
        <v>7</v>
      </c>
      <c r="M935" s="15" t="s">
        <v>68</v>
      </c>
      <c r="N935" s="15" t="s">
        <v>82</v>
      </c>
      <c r="O935" s="15" t="s">
        <v>215</v>
      </c>
      <c r="P935" s="15" t="s">
        <v>135</v>
      </c>
      <c r="Q935" s="15" t="s">
        <v>136</v>
      </c>
      <c r="R935" s="15" t="s">
        <v>135</v>
      </c>
      <c r="S935" s="15"/>
      <c r="T935" s="15"/>
      <c r="U935" s="3" t="s">
        <v>6269</v>
      </c>
      <c r="V935" s="3" t="s">
        <v>6270</v>
      </c>
      <c r="W935" s="3"/>
      <c r="X935" s="3" t="s">
        <v>6271</v>
      </c>
      <c r="Y935" s="15" t="n">
        <v>0</v>
      </c>
      <c r="Z935" s="15" t="n">
        <v>1</v>
      </c>
      <c r="AA935" s="15" t="n">
        <v>0</v>
      </c>
      <c r="AB935" s="15" t="n">
        <v>0</v>
      </c>
      <c r="AC935" s="15" t="n">
        <v>0</v>
      </c>
      <c r="AD935" s="15" t="n">
        <v>0</v>
      </c>
      <c r="AE935" s="15" t="n">
        <v>0</v>
      </c>
      <c r="AF935" s="15" t="n">
        <v>1</v>
      </c>
      <c r="AG935" s="15" t="n">
        <v>0</v>
      </c>
      <c r="AH935" s="15" t="n">
        <v>0</v>
      </c>
    </row>
    <row r="936" customFormat="false" ht="35.05" hidden="false" customHeight="false" outlineLevel="0" collapsed="false">
      <c r="A936" s="15" t="s">
        <v>6272</v>
      </c>
      <c r="B936" s="15" t="s">
        <v>38</v>
      </c>
      <c r="C936" s="15" t="s">
        <v>3264</v>
      </c>
      <c r="D936" s="15" t="n">
        <v>3</v>
      </c>
      <c r="E936" s="15" t="s">
        <v>3285</v>
      </c>
      <c r="F936" s="15" t="n">
        <v>1</v>
      </c>
      <c r="G936" s="15" t="s">
        <v>197</v>
      </c>
      <c r="H936" s="15" t="s">
        <v>142</v>
      </c>
      <c r="I936" s="3" t="s">
        <v>6273</v>
      </c>
      <c r="J936" s="3" t="s">
        <v>6274</v>
      </c>
      <c r="K936" s="15" t="s">
        <v>145</v>
      </c>
      <c r="L936" s="16" t="s">
        <v>7</v>
      </c>
      <c r="M936" s="15" t="s">
        <v>66</v>
      </c>
      <c r="N936" s="15" t="s">
        <v>88</v>
      </c>
      <c r="O936" s="15" t="s">
        <v>88</v>
      </c>
      <c r="P936" s="15" t="s">
        <v>135</v>
      </c>
      <c r="Q936" s="15" t="s">
        <v>129</v>
      </c>
      <c r="R936" s="15" t="s">
        <v>185</v>
      </c>
      <c r="S936" s="15"/>
      <c r="T936" s="15"/>
      <c r="U936" s="3" t="s">
        <v>6275</v>
      </c>
      <c r="V936" s="3" t="s">
        <v>6276</v>
      </c>
      <c r="W936" s="3" t="s">
        <v>6277</v>
      </c>
      <c r="X936" s="3" t="s">
        <v>6278</v>
      </c>
      <c r="Y936" s="15" t="n">
        <v>0</v>
      </c>
      <c r="Z936" s="15" t="n">
        <v>0</v>
      </c>
      <c r="AA936" s="15" t="n">
        <v>0</v>
      </c>
      <c r="AB936" s="15" t="n">
        <v>0</v>
      </c>
      <c r="AC936" s="15" t="n">
        <v>0</v>
      </c>
      <c r="AD936" s="15" t="n">
        <v>0</v>
      </c>
      <c r="AE936" s="15" t="n">
        <v>0</v>
      </c>
      <c r="AF936" s="15" t="n">
        <v>1</v>
      </c>
      <c r="AG936" s="15" t="n">
        <v>0</v>
      </c>
      <c r="AH936" s="15" t="n">
        <v>0</v>
      </c>
    </row>
    <row r="937" customFormat="false" ht="23.85" hidden="false" customHeight="false" outlineLevel="0" collapsed="false">
      <c r="A937" s="15" t="s">
        <v>6279</v>
      </c>
      <c r="B937" s="15" t="s">
        <v>38</v>
      </c>
      <c r="C937" s="15" t="s">
        <v>3264</v>
      </c>
      <c r="D937" s="15" t="n">
        <v>3</v>
      </c>
      <c r="E937" s="15" t="s">
        <v>3285</v>
      </c>
      <c r="F937" s="15" t="n">
        <v>2</v>
      </c>
      <c r="G937" s="15" t="s">
        <v>141</v>
      </c>
      <c r="H937" s="15" t="s">
        <v>142</v>
      </c>
      <c r="I937" s="3" t="s">
        <v>6280</v>
      </c>
      <c r="J937" s="3" t="s">
        <v>6281</v>
      </c>
      <c r="K937" s="15" t="s">
        <v>145</v>
      </c>
      <c r="L937" s="16" t="s">
        <v>7</v>
      </c>
      <c r="M937" s="15" t="s">
        <v>66</v>
      </c>
      <c r="N937" s="15" t="s">
        <v>88</v>
      </c>
      <c r="O937" s="15" t="s">
        <v>88</v>
      </c>
      <c r="P937" s="15" t="s">
        <v>135</v>
      </c>
      <c r="Q937" s="15" t="s">
        <v>129</v>
      </c>
      <c r="R937" s="15" t="s">
        <v>185</v>
      </c>
      <c r="S937" s="15"/>
      <c r="T937" s="15"/>
      <c r="U937" s="3" t="s">
        <v>6282</v>
      </c>
      <c r="V937" s="3" t="s">
        <v>6283</v>
      </c>
      <c r="W937" s="3"/>
      <c r="X937" s="3" t="s">
        <v>6284</v>
      </c>
      <c r="Y937" s="15" t="n">
        <v>0</v>
      </c>
      <c r="Z937" s="15" t="n">
        <v>0</v>
      </c>
      <c r="AA937" s="15" t="n">
        <v>0</v>
      </c>
      <c r="AB937" s="15" t="n">
        <v>0</v>
      </c>
      <c r="AC937" s="15" t="n">
        <v>0</v>
      </c>
      <c r="AD937" s="15" t="n">
        <v>0</v>
      </c>
      <c r="AE937" s="15" t="n">
        <v>0</v>
      </c>
      <c r="AF937" s="15" t="n">
        <v>1</v>
      </c>
      <c r="AG937" s="15" t="n">
        <v>0</v>
      </c>
      <c r="AH937" s="15" t="n">
        <v>0</v>
      </c>
    </row>
    <row r="938" customFormat="false" ht="46.25" hidden="false" customHeight="false" outlineLevel="0" collapsed="false">
      <c r="A938" s="15" t="s">
        <v>6285</v>
      </c>
      <c r="B938" s="15" t="s">
        <v>38</v>
      </c>
      <c r="C938" s="15" t="s">
        <v>3305</v>
      </c>
      <c r="D938" s="15" t="n">
        <v>9</v>
      </c>
      <c r="E938" s="15" t="s">
        <v>3306</v>
      </c>
      <c r="F938" s="15" t="n">
        <v>0</v>
      </c>
      <c r="G938" s="15" t="s">
        <v>129</v>
      </c>
      <c r="H938" s="15" t="s">
        <v>130</v>
      </c>
      <c r="I938" s="3" t="s">
        <v>6286</v>
      </c>
      <c r="J938" s="3" t="s">
        <v>6287</v>
      </c>
      <c r="K938" s="15" t="s">
        <v>133</v>
      </c>
      <c r="L938" s="17" t="s">
        <v>9</v>
      </c>
      <c r="M938" s="15" t="s">
        <v>70</v>
      </c>
      <c r="N938" s="15" t="s">
        <v>81</v>
      </c>
      <c r="O938" s="15" t="s">
        <v>1146</v>
      </c>
      <c r="P938" s="15" t="s">
        <v>185</v>
      </c>
      <c r="Q938" s="15" t="s">
        <v>129</v>
      </c>
      <c r="R938" s="15" t="s">
        <v>135</v>
      </c>
      <c r="S938" s="15" t="s">
        <v>405</v>
      </c>
      <c r="T938" s="15" t="s">
        <v>390</v>
      </c>
      <c r="U938" s="3" t="s">
        <v>6288</v>
      </c>
      <c r="V938" s="3" t="s">
        <v>6289</v>
      </c>
      <c r="W938" s="3"/>
      <c r="X938" s="3"/>
      <c r="Y938" s="15" t="n">
        <v>1</v>
      </c>
      <c r="Z938" s="15" t="n">
        <v>1</v>
      </c>
      <c r="AA938" s="15" t="n">
        <v>0</v>
      </c>
      <c r="AB938" s="15" t="n">
        <v>0</v>
      </c>
      <c r="AC938" s="15" t="n">
        <v>0</v>
      </c>
      <c r="AD938" s="15" t="n">
        <v>0</v>
      </c>
      <c r="AE938" s="15" t="n">
        <v>0</v>
      </c>
      <c r="AF938" s="15" t="n">
        <v>0</v>
      </c>
      <c r="AG938" s="15" t="n">
        <v>0</v>
      </c>
      <c r="AH938" s="15" t="n">
        <v>0</v>
      </c>
    </row>
    <row r="939" customFormat="false" ht="35.05" hidden="false" customHeight="false" outlineLevel="0" collapsed="false">
      <c r="A939" s="15" t="s">
        <v>6290</v>
      </c>
      <c r="B939" s="15" t="s">
        <v>38</v>
      </c>
      <c r="C939" s="15" t="s">
        <v>3305</v>
      </c>
      <c r="D939" s="15" t="n">
        <v>9</v>
      </c>
      <c r="E939" s="15" t="s">
        <v>3306</v>
      </c>
      <c r="F939" s="15" t="n">
        <v>1</v>
      </c>
      <c r="G939" s="15" t="s">
        <v>197</v>
      </c>
      <c r="H939" s="15" t="s">
        <v>142</v>
      </c>
      <c r="I939" s="3" t="s">
        <v>6291</v>
      </c>
      <c r="J939" s="3" t="s">
        <v>6292</v>
      </c>
      <c r="K939" s="15" t="s">
        <v>145</v>
      </c>
      <c r="L939" s="17" t="s">
        <v>9</v>
      </c>
      <c r="M939" s="15" t="s">
        <v>70</v>
      </c>
      <c r="N939" s="15" t="s">
        <v>81</v>
      </c>
      <c r="O939" s="15" t="s">
        <v>81</v>
      </c>
      <c r="P939" s="15" t="s">
        <v>135</v>
      </c>
      <c r="Q939" s="15" t="s">
        <v>129</v>
      </c>
      <c r="R939" s="15" t="s">
        <v>135</v>
      </c>
      <c r="S939" s="15" t="s">
        <v>405</v>
      </c>
      <c r="T939" s="15" t="s">
        <v>390</v>
      </c>
      <c r="U939" s="3" t="s">
        <v>6293</v>
      </c>
      <c r="V939" s="3" t="s">
        <v>6294</v>
      </c>
      <c r="W939" s="3"/>
      <c r="X939" s="3"/>
      <c r="Y939" s="15" t="n">
        <v>1</v>
      </c>
      <c r="Z939" s="15" t="n">
        <v>0</v>
      </c>
      <c r="AA939" s="15" t="n">
        <v>0</v>
      </c>
      <c r="AB939" s="15" t="n">
        <v>0</v>
      </c>
      <c r="AC939" s="15" t="n">
        <v>0</v>
      </c>
      <c r="AD939" s="15" t="n">
        <v>0</v>
      </c>
      <c r="AE939" s="15" t="n">
        <v>0</v>
      </c>
      <c r="AF939" s="15" t="n">
        <v>0</v>
      </c>
      <c r="AG939" s="15" t="n">
        <v>0</v>
      </c>
      <c r="AH939" s="15" t="n">
        <v>0</v>
      </c>
    </row>
    <row r="940" customFormat="false" ht="35.05" hidden="false" customHeight="false" outlineLevel="0" collapsed="false">
      <c r="A940" s="15" t="s">
        <v>6295</v>
      </c>
      <c r="B940" s="15" t="s">
        <v>38</v>
      </c>
      <c r="C940" s="15" t="s">
        <v>3305</v>
      </c>
      <c r="D940" s="15" t="n">
        <v>9</v>
      </c>
      <c r="E940" s="15" t="s">
        <v>3306</v>
      </c>
      <c r="F940" s="15" t="n">
        <v>2</v>
      </c>
      <c r="G940" s="15" t="s">
        <v>141</v>
      </c>
      <c r="H940" s="15" t="s">
        <v>142</v>
      </c>
      <c r="I940" s="3" t="s">
        <v>6296</v>
      </c>
      <c r="J940" s="3" t="s">
        <v>6297</v>
      </c>
      <c r="K940" s="15" t="s">
        <v>133</v>
      </c>
      <c r="L940" s="16" t="s">
        <v>7</v>
      </c>
      <c r="M940" s="15" t="s">
        <v>68</v>
      </c>
      <c r="N940" s="15" t="s">
        <v>84</v>
      </c>
      <c r="O940" s="15" t="s">
        <v>2307</v>
      </c>
      <c r="P940" s="15" t="s">
        <v>135</v>
      </c>
      <c r="Q940" s="15" t="s">
        <v>129</v>
      </c>
      <c r="R940" s="15" t="s">
        <v>135</v>
      </c>
      <c r="S940" s="15"/>
      <c r="T940" s="15"/>
      <c r="U940" s="3" t="s">
        <v>6298</v>
      </c>
      <c r="V940" s="3" t="s">
        <v>6299</v>
      </c>
      <c r="W940" s="3" t="s">
        <v>6300</v>
      </c>
      <c r="X940" s="3" t="s">
        <v>6301</v>
      </c>
      <c r="Y940" s="15" t="n">
        <v>0</v>
      </c>
      <c r="Z940" s="15" t="n">
        <v>0</v>
      </c>
      <c r="AA940" s="15" t="n">
        <v>0</v>
      </c>
      <c r="AB940" s="15" t="n">
        <v>1</v>
      </c>
      <c r="AC940" s="15" t="n">
        <v>0</v>
      </c>
      <c r="AD940" s="15" t="n">
        <v>0</v>
      </c>
      <c r="AE940" s="15" t="n">
        <v>0</v>
      </c>
      <c r="AF940" s="15" t="n">
        <v>1</v>
      </c>
      <c r="AG940" s="15" t="n">
        <v>0</v>
      </c>
      <c r="AH940" s="15" t="n">
        <v>1</v>
      </c>
    </row>
    <row r="941" customFormat="false" ht="35.05" hidden="false" customHeight="false" outlineLevel="0" collapsed="false">
      <c r="A941" s="15" t="s">
        <v>6302</v>
      </c>
      <c r="B941" s="15" t="s">
        <v>38</v>
      </c>
      <c r="C941" s="15" t="s">
        <v>3305</v>
      </c>
      <c r="D941" s="15" t="n">
        <v>13</v>
      </c>
      <c r="E941" s="15" t="s">
        <v>3324</v>
      </c>
      <c r="F941" s="15" t="n">
        <v>0</v>
      </c>
      <c r="G941" s="15" t="s">
        <v>129</v>
      </c>
      <c r="H941" s="15" t="s">
        <v>130</v>
      </c>
      <c r="I941" s="3" t="s">
        <v>6303</v>
      </c>
      <c r="J941" s="3" t="s">
        <v>6304</v>
      </c>
      <c r="K941" s="15" t="s">
        <v>133</v>
      </c>
      <c r="L941" s="16" t="s">
        <v>7</v>
      </c>
      <c r="M941" s="15" t="s">
        <v>66</v>
      </c>
      <c r="N941" s="15" t="s">
        <v>90</v>
      </c>
      <c r="O941" s="15" t="s">
        <v>90</v>
      </c>
      <c r="P941" s="15" t="s">
        <v>185</v>
      </c>
      <c r="Q941" s="15" t="s">
        <v>129</v>
      </c>
      <c r="R941" s="15" t="s">
        <v>185</v>
      </c>
      <c r="S941" s="15"/>
      <c r="T941" s="15"/>
      <c r="U941" s="3" t="s">
        <v>6305</v>
      </c>
      <c r="V941" s="3" t="s">
        <v>6306</v>
      </c>
      <c r="W941" s="3" t="s">
        <v>6307</v>
      </c>
      <c r="X941" s="3" t="s">
        <v>6308</v>
      </c>
      <c r="Y941" s="15" t="n">
        <v>0</v>
      </c>
      <c r="Z941" s="15" t="n">
        <v>0</v>
      </c>
      <c r="AA941" s="15" t="n">
        <v>0</v>
      </c>
      <c r="AB941" s="15" t="n">
        <v>0</v>
      </c>
      <c r="AC941" s="15" t="n">
        <v>0</v>
      </c>
      <c r="AD941" s="15" t="n">
        <v>0</v>
      </c>
      <c r="AE941" s="15" t="n">
        <v>0</v>
      </c>
      <c r="AF941" s="15" t="n">
        <v>0</v>
      </c>
      <c r="AG941" s="15" t="n">
        <v>0</v>
      </c>
      <c r="AH941" s="15" t="n">
        <v>1</v>
      </c>
    </row>
    <row r="942" customFormat="false" ht="35.05" hidden="false" customHeight="false" outlineLevel="0" collapsed="false">
      <c r="A942" s="15" t="s">
        <v>6309</v>
      </c>
      <c r="B942" s="15" t="s">
        <v>38</v>
      </c>
      <c r="C942" s="15" t="s">
        <v>3305</v>
      </c>
      <c r="D942" s="15" t="n">
        <v>13</v>
      </c>
      <c r="E942" s="15" t="s">
        <v>3324</v>
      </c>
      <c r="F942" s="15" t="n">
        <v>1</v>
      </c>
      <c r="G942" s="15" t="s">
        <v>197</v>
      </c>
      <c r="H942" s="15" t="s">
        <v>142</v>
      </c>
      <c r="I942" s="3" t="s">
        <v>6310</v>
      </c>
      <c r="J942" s="3" t="s">
        <v>6311</v>
      </c>
      <c r="K942" s="15" t="s">
        <v>145</v>
      </c>
      <c r="L942" s="16" t="s">
        <v>7</v>
      </c>
      <c r="M942" s="15" t="s">
        <v>66</v>
      </c>
      <c r="N942" s="15" t="s">
        <v>88</v>
      </c>
      <c r="O942" s="15" t="s">
        <v>231</v>
      </c>
      <c r="P942" s="15" t="s">
        <v>135</v>
      </c>
      <c r="Q942" s="15" t="s">
        <v>129</v>
      </c>
      <c r="R942" s="15" t="s">
        <v>185</v>
      </c>
      <c r="S942" s="15"/>
      <c r="T942" s="15"/>
      <c r="U942" s="3" t="s">
        <v>6312</v>
      </c>
      <c r="V942" s="3" t="s">
        <v>6313</v>
      </c>
      <c r="W942" s="3" t="s">
        <v>6314</v>
      </c>
      <c r="X942" s="3" t="s">
        <v>6315</v>
      </c>
      <c r="Y942" s="15" t="n">
        <v>0</v>
      </c>
      <c r="Z942" s="15" t="n">
        <v>0</v>
      </c>
      <c r="AA942" s="15" t="n">
        <v>0</v>
      </c>
      <c r="AB942" s="15" t="n">
        <v>0</v>
      </c>
      <c r="AC942" s="15" t="n">
        <v>0</v>
      </c>
      <c r="AD942" s="15" t="n">
        <v>0</v>
      </c>
      <c r="AE942" s="15" t="n">
        <v>0</v>
      </c>
      <c r="AF942" s="15" t="n">
        <v>1</v>
      </c>
      <c r="AG942" s="15" t="n">
        <v>0</v>
      </c>
      <c r="AH942" s="15" t="n">
        <v>1</v>
      </c>
    </row>
    <row r="943" customFormat="false" ht="35.05" hidden="false" customHeight="false" outlineLevel="0" collapsed="false">
      <c r="A943" s="15" t="s">
        <v>6316</v>
      </c>
      <c r="B943" s="15" t="s">
        <v>38</v>
      </c>
      <c r="C943" s="15" t="s">
        <v>3305</v>
      </c>
      <c r="D943" s="15" t="n">
        <v>13</v>
      </c>
      <c r="E943" s="15" t="s">
        <v>3324</v>
      </c>
      <c r="F943" s="15" t="n">
        <v>2</v>
      </c>
      <c r="G943" s="15" t="s">
        <v>141</v>
      </c>
      <c r="H943" s="15" t="s">
        <v>142</v>
      </c>
      <c r="I943" s="3" t="s">
        <v>6317</v>
      </c>
      <c r="J943" s="3" t="s">
        <v>6318</v>
      </c>
      <c r="K943" s="15" t="s">
        <v>133</v>
      </c>
      <c r="L943" s="16" t="s">
        <v>7</v>
      </c>
      <c r="M943" s="15" t="s">
        <v>68</v>
      </c>
      <c r="N943" s="15" t="s">
        <v>84</v>
      </c>
      <c r="O943" s="15" t="s">
        <v>247</v>
      </c>
      <c r="P943" s="15" t="s">
        <v>135</v>
      </c>
      <c r="Q943" s="15" t="s">
        <v>129</v>
      </c>
      <c r="R943" s="15" t="s">
        <v>135</v>
      </c>
      <c r="S943" s="15"/>
      <c r="T943" s="15"/>
      <c r="U943" s="3" t="s">
        <v>6319</v>
      </c>
      <c r="V943" s="3" t="s">
        <v>6320</v>
      </c>
      <c r="W943" s="3" t="s">
        <v>6321</v>
      </c>
      <c r="X943" s="3" t="s">
        <v>6322</v>
      </c>
      <c r="Y943" s="15" t="n">
        <v>0</v>
      </c>
      <c r="Z943" s="15" t="n">
        <v>0</v>
      </c>
      <c r="AA943" s="15" t="n">
        <v>0</v>
      </c>
      <c r="AB943" s="15" t="n">
        <v>1</v>
      </c>
      <c r="AC943" s="15" t="n">
        <v>0</v>
      </c>
      <c r="AD943" s="15" t="n">
        <v>0</v>
      </c>
      <c r="AE943" s="15" t="n">
        <v>0</v>
      </c>
      <c r="AF943" s="15" t="n">
        <v>1</v>
      </c>
      <c r="AG943" s="15" t="n">
        <v>0</v>
      </c>
      <c r="AH943" s="15" t="n">
        <v>1</v>
      </c>
    </row>
    <row r="944" customFormat="false" ht="46.25" hidden="false" customHeight="false" outlineLevel="0" collapsed="false">
      <c r="A944" s="15" t="s">
        <v>6323</v>
      </c>
      <c r="B944" s="15" t="s">
        <v>38</v>
      </c>
      <c r="C944" s="15" t="s">
        <v>3305</v>
      </c>
      <c r="D944" s="15" t="n">
        <v>17</v>
      </c>
      <c r="E944" s="15" t="s">
        <v>3348</v>
      </c>
      <c r="F944" s="15" t="n">
        <v>0</v>
      </c>
      <c r="G944" s="15" t="s">
        <v>129</v>
      </c>
      <c r="H944" s="15" t="s">
        <v>130</v>
      </c>
      <c r="I944" s="3" t="s">
        <v>6324</v>
      </c>
      <c r="J944" s="3" t="s">
        <v>5696</v>
      </c>
      <c r="K944" s="15" t="s">
        <v>133</v>
      </c>
      <c r="L944" s="18" t="s">
        <v>5</v>
      </c>
      <c r="M944" s="15" t="s">
        <v>426</v>
      </c>
      <c r="N944" s="15" t="s">
        <v>426</v>
      </c>
      <c r="O944" s="15"/>
      <c r="P944" s="15" t="s">
        <v>185</v>
      </c>
      <c r="Q944" s="15" t="s">
        <v>129</v>
      </c>
      <c r="R944" s="15" t="s">
        <v>185</v>
      </c>
      <c r="S944" s="15"/>
      <c r="T944" s="15"/>
      <c r="U944" s="3" t="s">
        <v>6325</v>
      </c>
      <c r="V944" s="3" t="s">
        <v>6326</v>
      </c>
      <c r="W944" s="3"/>
      <c r="X944" s="3"/>
      <c r="Y944" s="15" t="n">
        <v>0</v>
      </c>
      <c r="Z944" s="15" t="n">
        <v>0</v>
      </c>
      <c r="AA944" s="15" t="n">
        <v>0</v>
      </c>
      <c r="AB944" s="15" t="n">
        <v>0</v>
      </c>
      <c r="AC944" s="15" t="n">
        <v>0</v>
      </c>
      <c r="AD944" s="15" t="n">
        <v>0</v>
      </c>
      <c r="AE944" s="15" t="n">
        <v>0</v>
      </c>
      <c r="AF944" s="15" t="n">
        <v>0</v>
      </c>
      <c r="AG944" s="15" t="n">
        <v>0</v>
      </c>
      <c r="AH944" s="15" t="n">
        <v>0</v>
      </c>
    </row>
    <row r="945" customFormat="false" ht="23.85" hidden="false" customHeight="false" outlineLevel="0" collapsed="false">
      <c r="A945" s="15" t="s">
        <v>6327</v>
      </c>
      <c r="B945" s="15" t="s">
        <v>38</v>
      </c>
      <c r="C945" s="15" t="s">
        <v>3305</v>
      </c>
      <c r="D945" s="15" t="n">
        <v>17</v>
      </c>
      <c r="E945" s="15" t="s">
        <v>3348</v>
      </c>
      <c r="F945" s="15" t="n">
        <v>1</v>
      </c>
      <c r="G945" s="15" t="s">
        <v>197</v>
      </c>
      <c r="H945" s="15" t="s">
        <v>142</v>
      </c>
      <c r="I945" s="3" t="s">
        <v>6328</v>
      </c>
      <c r="J945" s="3" t="s">
        <v>6329</v>
      </c>
      <c r="K945" s="15" t="s">
        <v>145</v>
      </c>
      <c r="L945" s="16" t="s">
        <v>7</v>
      </c>
      <c r="M945" s="15" t="s">
        <v>66</v>
      </c>
      <c r="N945" s="15" t="s">
        <v>88</v>
      </c>
      <c r="O945" s="15" t="s">
        <v>88</v>
      </c>
      <c r="P945" s="15" t="s">
        <v>135</v>
      </c>
      <c r="Q945" s="15" t="s">
        <v>129</v>
      </c>
      <c r="R945" s="15" t="s">
        <v>185</v>
      </c>
      <c r="S945" s="15"/>
      <c r="T945" s="15"/>
      <c r="U945" s="3" t="s">
        <v>6330</v>
      </c>
      <c r="V945" s="3" t="s">
        <v>6331</v>
      </c>
      <c r="W945" s="3"/>
      <c r="X945" s="3" t="s">
        <v>6332</v>
      </c>
      <c r="Y945" s="15" t="n">
        <v>0</v>
      </c>
      <c r="Z945" s="15" t="n">
        <v>0</v>
      </c>
      <c r="AA945" s="15" t="n">
        <v>0</v>
      </c>
      <c r="AB945" s="15" t="n">
        <v>0</v>
      </c>
      <c r="AC945" s="15" t="n">
        <v>0</v>
      </c>
      <c r="AD945" s="15" t="n">
        <v>0</v>
      </c>
      <c r="AE945" s="15" t="n">
        <v>0</v>
      </c>
      <c r="AF945" s="15" t="n">
        <v>1</v>
      </c>
      <c r="AG945" s="15" t="n">
        <v>0</v>
      </c>
      <c r="AH945" s="15" t="n">
        <v>0</v>
      </c>
    </row>
    <row r="946" customFormat="false" ht="35.05" hidden="false" customHeight="false" outlineLevel="0" collapsed="false">
      <c r="A946" s="15" t="s">
        <v>6333</v>
      </c>
      <c r="B946" s="15" t="s">
        <v>38</v>
      </c>
      <c r="C946" s="15" t="s">
        <v>3305</v>
      </c>
      <c r="D946" s="15" t="n">
        <v>17</v>
      </c>
      <c r="E946" s="15" t="s">
        <v>3348</v>
      </c>
      <c r="F946" s="15" t="n">
        <v>2</v>
      </c>
      <c r="G946" s="15" t="s">
        <v>141</v>
      </c>
      <c r="H946" s="15" t="s">
        <v>142</v>
      </c>
      <c r="I946" s="3" t="s">
        <v>6334</v>
      </c>
      <c r="J946" s="3" t="s">
        <v>4502</v>
      </c>
      <c r="K946" s="15" t="s">
        <v>133</v>
      </c>
      <c r="L946" s="16" t="s">
        <v>7</v>
      </c>
      <c r="M946" s="15" t="s">
        <v>66</v>
      </c>
      <c r="N946" s="15" t="s">
        <v>88</v>
      </c>
      <c r="O946" s="15" t="s">
        <v>1790</v>
      </c>
      <c r="P946" s="15" t="s">
        <v>135</v>
      </c>
      <c r="Q946" s="15" t="s">
        <v>129</v>
      </c>
      <c r="R946" s="15" t="s">
        <v>135</v>
      </c>
      <c r="S946" s="15"/>
      <c r="T946" s="15"/>
      <c r="U946" s="3" t="s">
        <v>6335</v>
      </c>
      <c r="V946" s="3" t="s">
        <v>6336</v>
      </c>
      <c r="W946" s="3"/>
      <c r="X946" s="3" t="s">
        <v>6337</v>
      </c>
      <c r="Y946" s="15" t="n">
        <v>0</v>
      </c>
      <c r="Z946" s="15" t="n">
        <v>0</v>
      </c>
      <c r="AA946" s="15" t="n">
        <v>0</v>
      </c>
      <c r="AB946" s="15" t="n">
        <v>0</v>
      </c>
      <c r="AC946" s="15" t="n">
        <v>0</v>
      </c>
      <c r="AD946" s="15" t="n">
        <v>0</v>
      </c>
      <c r="AE946" s="15" t="n">
        <v>1</v>
      </c>
      <c r="AF946" s="15" t="n">
        <v>1</v>
      </c>
      <c r="AG946" s="15" t="n">
        <v>0</v>
      </c>
      <c r="AH946" s="15" t="n">
        <v>0</v>
      </c>
    </row>
    <row r="947" customFormat="false" ht="46.25" hidden="false" customHeight="false" outlineLevel="0" collapsed="false">
      <c r="A947" s="15" t="s">
        <v>6338</v>
      </c>
      <c r="B947" s="15" t="s">
        <v>38</v>
      </c>
      <c r="C947" s="15" t="s">
        <v>3305</v>
      </c>
      <c r="D947" s="15" t="n">
        <v>29</v>
      </c>
      <c r="E947" s="15" t="s">
        <v>3368</v>
      </c>
      <c r="F947" s="15" t="n">
        <v>0</v>
      </c>
      <c r="G947" s="15" t="s">
        <v>129</v>
      </c>
      <c r="H947" s="15" t="s">
        <v>130</v>
      </c>
      <c r="I947" s="3" t="s">
        <v>6339</v>
      </c>
      <c r="J947" s="3" t="s">
        <v>6340</v>
      </c>
      <c r="K947" s="15" t="s">
        <v>133</v>
      </c>
      <c r="L947" s="18" t="s">
        <v>5</v>
      </c>
      <c r="M947" s="15" t="s">
        <v>426</v>
      </c>
      <c r="N947" s="15" t="s">
        <v>426</v>
      </c>
      <c r="O947" s="15"/>
      <c r="P947" s="15" t="s">
        <v>185</v>
      </c>
      <c r="Q947" s="15" t="s">
        <v>129</v>
      </c>
      <c r="R947" s="15" t="s">
        <v>185</v>
      </c>
      <c r="S947" s="15"/>
      <c r="T947" s="15"/>
      <c r="U947" s="3" t="s">
        <v>6341</v>
      </c>
      <c r="V947" s="3" t="s">
        <v>6342</v>
      </c>
      <c r="W947" s="3"/>
      <c r="X947" s="3"/>
      <c r="Y947" s="15" t="n">
        <v>0</v>
      </c>
      <c r="Z947" s="15" t="n">
        <v>0</v>
      </c>
      <c r="AA947" s="15" t="n">
        <v>0</v>
      </c>
      <c r="AB947" s="15" t="n">
        <v>0</v>
      </c>
      <c r="AC947" s="15" t="n">
        <v>0</v>
      </c>
      <c r="AD947" s="15" t="n">
        <v>0</v>
      </c>
      <c r="AE947" s="15" t="n">
        <v>0</v>
      </c>
      <c r="AF947" s="15" t="n">
        <v>0</v>
      </c>
      <c r="AG947" s="15" t="n">
        <v>0</v>
      </c>
      <c r="AH947" s="15" t="n">
        <v>0</v>
      </c>
    </row>
    <row r="948" customFormat="false" ht="57.45" hidden="false" customHeight="false" outlineLevel="0" collapsed="false">
      <c r="A948" s="15" t="s">
        <v>6343</v>
      </c>
      <c r="B948" s="15" t="s">
        <v>38</v>
      </c>
      <c r="C948" s="15" t="s">
        <v>3305</v>
      </c>
      <c r="D948" s="15" t="n">
        <v>29</v>
      </c>
      <c r="E948" s="15" t="s">
        <v>3368</v>
      </c>
      <c r="F948" s="15" t="n">
        <v>1</v>
      </c>
      <c r="G948" s="15" t="s">
        <v>307</v>
      </c>
      <c r="H948" s="15" t="s">
        <v>308</v>
      </c>
      <c r="I948" s="3" t="s">
        <v>6344</v>
      </c>
      <c r="J948" s="3" t="s">
        <v>6345</v>
      </c>
      <c r="K948" s="15" t="s">
        <v>145</v>
      </c>
      <c r="L948" s="16" t="s">
        <v>7</v>
      </c>
      <c r="M948" s="15" t="s">
        <v>68</v>
      </c>
      <c r="N948" s="15" t="s">
        <v>82</v>
      </c>
      <c r="O948" s="15" t="s">
        <v>192</v>
      </c>
      <c r="P948" s="15" t="s">
        <v>135</v>
      </c>
      <c r="Q948" s="15" t="s">
        <v>136</v>
      </c>
      <c r="R948" s="15" t="s">
        <v>135</v>
      </c>
      <c r="S948" s="15"/>
      <c r="T948" s="15"/>
      <c r="U948" s="3" t="s">
        <v>6346</v>
      </c>
      <c r="V948" s="3" t="s">
        <v>6347</v>
      </c>
      <c r="W948" s="3"/>
      <c r="X948" s="3" t="s">
        <v>6348</v>
      </c>
      <c r="Y948" s="15" t="n">
        <v>0</v>
      </c>
      <c r="Z948" s="15" t="n">
        <v>1</v>
      </c>
      <c r="AA948" s="15" t="n">
        <v>0</v>
      </c>
      <c r="AB948" s="15" t="n">
        <v>1</v>
      </c>
      <c r="AC948" s="15" t="n">
        <v>0</v>
      </c>
      <c r="AD948" s="15" t="n">
        <v>0</v>
      </c>
      <c r="AE948" s="15" t="n">
        <v>0</v>
      </c>
      <c r="AF948" s="15" t="n">
        <v>1</v>
      </c>
      <c r="AG948" s="15" t="n">
        <v>0</v>
      </c>
      <c r="AH948" s="15" t="n">
        <v>0</v>
      </c>
    </row>
    <row r="949" customFormat="false" ht="68.65" hidden="false" customHeight="false" outlineLevel="0" collapsed="false">
      <c r="A949" s="15" t="s">
        <v>6349</v>
      </c>
      <c r="B949" s="15" t="s">
        <v>38</v>
      </c>
      <c r="C949" s="15" t="s">
        <v>3305</v>
      </c>
      <c r="D949" s="15" t="n">
        <v>29</v>
      </c>
      <c r="E949" s="15" t="s">
        <v>3368</v>
      </c>
      <c r="F949" s="15" t="n">
        <v>2</v>
      </c>
      <c r="G949" s="15" t="s">
        <v>197</v>
      </c>
      <c r="H949" s="15" t="s">
        <v>142</v>
      </c>
      <c r="I949" s="3" t="s">
        <v>6350</v>
      </c>
      <c r="J949" s="3" t="s">
        <v>6351</v>
      </c>
      <c r="K949" s="15" t="s">
        <v>133</v>
      </c>
      <c r="L949" s="16" t="s">
        <v>7</v>
      </c>
      <c r="M949" s="15" t="s">
        <v>68</v>
      </c>
      <c r="N949" s="15" t="s">
        <v>84</v>
      </c>
      <c r="O949" s="15" t="s">
        <v>4358</v>
      </c>
      <c r="P949" s="15" t="s">
        <v>135</v>
      </c>
      <c r="Q949" s="15" t="s">
        <v>136</v>
      </c>
      <c r="R949" s="15" t="s">
        <v>135</v>
      </c>
      <c r="S949" s="15"/>
      <c r="T949" s="15"/>
      <c r="U949" s="3" t="s">
        <v>6352</v>
      </c>
      <c r="V949" s="3" t="s">
        <v>6353</v>
      </c>
      <c r="W949" s="3" t="s">
        <v>6354</v>
      </c>
      <c r="X949" s="3" t="s">
        <v>6355</v>
      </c>
      <c r="Y949" s="15" t="n">
        <v>0</v>
      </c>
      <c r="Z949" s="15" t="n">
        <v>0</v>
      </c>
      <c r="AA949" s="15" t="n">
        <v>0</v>
      </c>
      <c r="AB949" s="15" t="n">
        <v>1</v>
      </c>
      <c r="AC949" s="15" t="n">
        <v>0</v>
      </c>
      <c r="AD949" s="15" t="n">
        <v>0</v>
      </c>
      <c r="AE949" s="15" t="n">
        <v>1</v>
      </c>
      <c r="AF949" s="15" t="n">
        <v>1</v>
      </c>
      <c r="AG949" s="15" t="n">
        <v>0</v>
      </c>
      <c r="AH949" s="15" t="n">
        <v>0</v>
      </c>
    </row>
    <row r="950" customFormat="false" ht="46.25" hidden="false" customHeight="false" outlineLevel="0" collapsed="false">
      <c r="A950" s="15" t="s">
        <v>6356</v>
      </c>
      <c r="B950" s="15" t="s">
        <v>38</v>
      </c>
      <c r="C950" s="15" t="s">
        <v>3392</v>
      </c>
      <c r="D950" s="15" t="n">
        <v>14</v>
      </c>
      <c r="E950" s="15" t="s">
        <v>3393</v>
      </c>
      <c r="F950" s="15" t="n">
        <v>0</v>
      </c>
      <c r="G950" s="15" t="s">
        <v>152</v>
      </c>
      <c r="H950" s="15" t="s">
        <v>142</v>
      </c>
      <c r="I950" s="3" t="s">
        <v>6357</v>
      </c>
      <c r="J950" s="3" t="s">
        <v>6358</v>
      </c>
      <c r="K950" s="15" t="s">
        <v>133</v>
      </c>
      <c r="L950" s="16" t="s">
        <v>7</v>
      </c>
      <c r="M950" s="15" t="s">
        <v>68</v>
      </c>
      <c r="N950" s="15" t="s">
        <v>82</v>
      </c>
      <c r="O950" s="15" t="s">
        <v>192</v>
      </c>
      <c r="P950" s="15" t="s">
        <v>135</v>
      </c>
      <c r="Q950" s="15" t="s">
        <v>136</v>
      </c>
      <c r="R950" s="15" t="s">
        <v>135</v>
      </c>
      <c r="S950" s="15"/>
      <c r="T950" s="15"/>
      <c r="U950" s="3" t="s">
        <v>6359</v>
      </c>
      <c r="V950" s="3" t="s">
        <v>6360</v>
      </c>
      <c r="W950" s="3" t="s">
        <v>6361</v>
      </c>
      <c r="X950" s="3" t="s">
        <v>6362</v>
      </c>
      <c r="Y950" s="15" t="n">
        <v>0</v>
      </c>
      <c r="Z950" s="15" t="n">
        <v>1</v>
      </c>
      <c r="AA950" s="15" t="n">
        <v>0</v>
      </c>
      <c r="AB950" s="15" t="n">
        <v>1</v>
      </c>
      <c r="AC950" s="15" t="n">
        <v>0</v>
      </c>
      <c r="AD950" s="15" t="n">
        <v>0</v>
      </c>
      <c r="AE950" s="15" t="n">
        <v>0</v>
      </c>
      <c r="AF950" s="15" t="n">
        <v>1</v>
      </c>
      <c r="AG950" s="15" t="n">
        <v>0</v>
      </c>
      <c r="AH950" s="15" t="n">
        <v>0</v>
      </c>
    </row>
    <row r="951" customFormat="false" ht="35.05" hidden="false" customHeight="false" outlineLevel="0" collapsed="false">
      <c r="A951" s="15" t="s">
        <v>6363</v>
      </c>
      <c r="B951" s="15" t="s">
        <v>38</v>
      </c>
      <c r="C951" s="15" t="s">
        <v>3392</v>
      </c>
      <c r="D951" s="15" t="n">
        <v>14</v>
      </c>
      <c r="E951" s="15" t="s">
        <v>3393</v>
      </c>
      <c r="F951" s="15" t="n">
        <v>1</v>
      </c>
      <c r="G951" s="15" t="s">
        <v>129</v>
      </c>
      <c r="H951" s="15" t="s">
        <v>130</v>
      </c>
      <c r="I951" s="3" t="s">
        <v>6364</v>
      </c>
      <c r="J951" s="3" t="s">
        <v>6365</v>
      </c>
      <c r="K951" s="15" t="s">
        <v>145</v>
      </c>
      <c r="L951" s="18" t="s">
        <v>5</v>
      </c>
      <c r="M951" s="15" t="s">
        <v>426</v>
      </c>
      <c r="N951" s="15" t="s">
        <v>426</v>
      </c>
      <c r="O951" s="15"/>
      <c r="P951" s="15" t="s">
        <v>185</v>
      </c>
      <c r="Q951" s="15" t="s">
        <v>129</v>
      </c>
      <c r="R951" s="15" t="s">
        <v>185</v>
      </c>
      <c r="S951" s="15"/>
      <c r="T951" s="15"/>
      <c r="U951" s="3" t="s">
        <v>6366</v>
      </c>
      <c r="V951" s="3" t="s">
        <v>6367</v>
      </c>
      <c r="W951" s="3"/>
      <c r="X951" s="3"/>
      <c r="Y951" s="15" t="n">
        <v>0</v>
      </c>
      <c r="Z951" s="15" t="n">
        <v>0</v>
      </c>
      <c r="AA951" s="15" t="n">
        <v>0</v>
      </c>
      <c r="AB951" s="15" t="n">
        <v>0</v>
      </c>
      <c r="AC951" s="15" t="n">
        <v>0</v>
      </c>
      <c r="AD951" s="15" t="n">
        <v>0</v>
      </c>
      <c r="AE951" s="15" t="n">
        <v>0</v>
      </c>
      <c r="AF951" s="15" t="n">
        <v>0</v>
      </c>
      <c r="AG951" s="15" t="n">
        <v>0</v>
      </c>
      <c r="AH951" s="15" t="n">
        <v>0</v>
      </c>
    </row>
    <row r="952" customFormat="false" ht="35.05" hidden="false" customHeight="false" outlineLevel="0" collapsed="false">
      <c r="A952" s="15" t="s">
        <v>6368</v>
      </c>
      <c r="B952" s="15" t="s">
        <v>38</v>
      </c>
      <c r="C952" s="15" t="s">
        <v>3392</v>
      </c>
      <c r="D952" s="15" t="n">
        <v>14</v>
      </c>
      <c r="E952" s="15" t="s">
        <v>3393</v>
      </c>
      <c r="F952" s="15" t="n">
        <v>2</v>
      </c>
      <c r="G952" s="15" t="s">
        <v>197</v>
      </c>
      <c r="H952" s="15" t="s">
        <v>142</v>
      </c>
      <c r="I952" s="3" t="s">
        <v>6369</v>
      </c>
      <c r="J952" s="3" t="s">
        <v>6370</v>
      </c>
      <c r="K952" s="15" t="s">
        <v>133</v>
      </c>
      <c r="L952" s="16" t="s">
        <v>7</v>
      </c>
      <c r="M952" s="15" t="s">
        <v>68</v>
      </c>
      <c r="N952" s="15" t="s">
        <v>84</v>
      </c>
      <c r="O952" s="15" t="s">
        <v>3165</v>
      </c>
      <c r="P952" s="15" t="s">
        <v>135</v>
      </c>
      <c r="Q952" s="15" t="s">
        <v>129</v>
      </c>
      <c r="R952" s="15" t="s">
        <v>135</v>
      </c>
      <c r="S952" s="15"/>
      <c r="T952" s="15"/>
      <c r="U952" s="3" t="s">
        <v>6371</v>
      </c>
      <c r="V952" s="3" t="s">
        <v>6372</v>
      </c>
      <c r="W952" s="3"/>
      <c r="X952" s="3" t="s">
        <v>6373</v>
      </c>
      <c r="Y952" s="15" t="n">
        <v>0</v>
      </c>
      <c r="Z952" s="15" t="n">
        <v>0</v>
      </c>
      <c r="AA952" s="15" t="n">
        <v>0</v>
      </c>
      <c r="AB952" s="15" t="n">
        <v>1</v>
      </c>
      <c r="AC952" s="15" t="n">
        <v>0</v>
      </c>
      <c r="AD952" s="15" t="n">
        <v>0</v>
      </c>
      <c r="AE952" s="15" t="n">
        <v>0</v>
      </c>
      <c r="AF952" s="15" t="n">
        <v>1</v>
      </c>
      <c r="AG952" s="15" t="n">
        <v>0</v>
      </c>
      <c r="AH952" s="15" t="n">
        <v>0</v>
      </c>
    </row>
    <row r="953" customFormat="false" ht="35.05" hidden="false" customHeight="false" outlineLevel="0" collapsed="false">
      <c r="A953" s="15" t="s">
        <v>6374</v>
      </c>
      <c r="B953" s="15" t="s">
        <v>38</v>
      </c>
      <c r="C953" s="15" t="s">
        <v>3392</v>
      </c>
      <c r="D953" s="15" t="n">
        <v>15</v>
      </c>
      <c r="E953" s="15" t="s">
        <v>3411</v>
      </c>
      <c r="F953" s="15" t="n">
        <v>0</v>
      </c>
      <c r="G953" s="15" t="s">
        <v>129</v>
      </c>
      <c r="H953" s="15" t="s">
        <v>130</v>
      </c>
      <c r="I953" s="3" t="s">
        <v>6375</v>
      </c>
      <c r="J953" s="3" t="s">
        <v>6376</v>
      </c>
      <c r="K953" s="15" t="s">
        <v>133</v>
      </c>
      <c r="L953" s="17" t="s">
        <v>9</v>
      </c>
      <c r="M953" s="15" t="s">
        <v>70</v>
      </c>
      <c r="N953" s="15" t="s">
        <v>81</v>
      </c>
      <c r="O953" s="15" t="s">
        <v>81</v>
      </c>
      <c r="P953" s="15" t="s">
        <v>185</v>
      </c>
      <c r="Q953" s="15" t="s">
        <v>129</v>
      </c>
      <c r="R953" s="15" t="s">
        <v>135</v>
      </c>
      <c r="S953" s="15" t="s">
        <v>1166</v>
      </c>
      <c r="T953" s="15" t="s">
        <v>342</v>
      </c>
      <c r="U953" s="3" t="s">
        <v>6377</v>
      </c>
      <c r="V953" s="3" t="s">
        <v>6378</v>
      </c>
      <c r="W953" s="3"/>
      <c r="X953" s="3"/>
      <c r="Y953" s="15" t="n">
        <v>1</v>
      </c>
      <c r="Z953" s="15" t="n">
        <v>0</v>
      </c>
      <c r="AA953" s="15" t="n">
        <v>0</v>
      </c>
      <c r="AB953" s="15" t="n">
        <v>0</v>
      </c>
      <c r="AC953" s="15" t="n">
        <v>0</v>
      </c>
      <c r="AD953" s="15" t="n">
        <v>0</v>
      </c>
      <c r="AE953" s="15" t="n">
        <v>0</v>
      </c>
      <c r="AF953" s="15" t="n">
        <v>0</v>
      </c>
      <c r="AG953" s="15" t="n">
        <v>0</v>
      </c>
      <c r="AH953" s="15" t="n">
        <v>0</v>
      </c>
    </row>
    <row r="954" customFormat="false" ht="46.25" hidden="false" customHeight="false" outlineLevel="0" collapsed="false">
      <c r="A954" s="15" t="s">
        <v>6379</v>
      </c>
      <c r="B954" s="15" t="s">
        <v>38</v>
      </c>
      <c r="C954" s="15" t="s">
        <v>3392</v>
      </c>
      <c r="D954" s="15" t="n">
        <v>15</v>
      </c>
      <c r="E954" s="15" t="s">
        <v>3411</v>
      </c>
      <c r="F954" s="15" t="n">
        <v>1</v>
      </c>
      <c r="G954" s="15" t="s">
        <v>197</v>
      </c>
      <c r="H954" s="15" t="s">
        <v>142</v>
      </c>
      <c r="I954" s="3" t="s">
        <v>6380</v>
      </c>
      <c r="J954" s="3" t="s">
        <v>6381</v>
      </c>
      <c r="K954" s="15" t="s">
        <v>145</v>
      </c>
      <c r="L954" s="17" t="s">
        <v>9</v>
      </c>
      <c r="M954" s="15" t="s">
        <v>70</v>
      </c>
      <c r="N954" s="15" t="s">
        <v>81</v>
      </c>
      <c r="O954" s="15" t="s">
        <v>1146</v>
      </c>
      <c r="P954" s="15" t="s">
        <v>135</v>
      </c>
      <c r="Q954" s="15" t="s">
        <v>129</v>
      </c>
      <c r="R954" s="15" t="s">
        <v>135</v>
      </c>
      <c r="S954" s="15" t="s">
        <v>405</v>
      </c>
      <c r="T954" s="15" t="s">
        <v>390</v>
      </c>
      <c r="U954" s="3" t="s">
        <v>6382</v>
      </c>
      <c r="V954" s="3" t="s">
        <v>6383</v>
      </c>
      <c r="W954" s="3"/>
      <c r="X954" s="3"/>
      <c r="Y954" s="15" t="n">
        <v>1</v>
      </c>
      <c r="Z954" s="15" t="n">
        <v>1</v>
      </c>
      <c r="AA954" s="15" t="n">
        <v>0</v>
      </c>
      <c r="AB954" s="15" t="n">
        <v>0</v>
      </c>
      <c r="AC954" s="15" t="n">
        <v>0</v>
      </c>
      <c r="AD954" s="15" t="n">
        <v>0</v>
      </c>
      <c r="AE954" s="15" t="n">
        <v>0</v>
      </c>
      <c r="AF954" s="15" t="n">
        <v>0</v>
      </c>
      <c r="AG954" s="15" t="n">
        <v>0</v>
      </c>
      <c r="AH954" s="15" t="n">
        <v>0</v>
      </c>
    </row>
    <row r="955" customFormat="false" ht="46.25" hidden="false" customHeight="false" outlineLevel="0" collapsed="false">
      <c r="A955" s="15" t="s">
        <v>6384</v>
      </c>
      <c r="B955" s="15" t="s">
        <v>38</v>
      </c>
      <c r="C955" s="15" t="s">
        <v>3392</v>
      </c>
      <c r="D955" s="15" t="n">
        <v>15</v>
      </c>
      <c r="E955" s="15" t="s">
        <v>3411</v>
      </c>
      <c r="F955" s="15" t="n">
        <v>2</v>
      </c>
      <c r="G955" s="15" t="s">
        <v>141</v>
      </c>
      <c r="H955" s="15" t="s">
        <v>142</v>
      </c>
      <c r="I955" s="3" t="s">
        <v>6385</v>
      </c>
      <c r="J955" s="3" t="s">
        <v>6386</v>
      </c>
      <c r="K955" s="15" t="s">
        <v>133</v>
      </c>
      <c r="L955" s="16" t="s">
        <v>7</v>
      </c>
      <c r="M955" s="15" t="s">
        <v>68</v>
      </c>
      <c r="N955" s="15" t="s">
        <v>82</v>
      </c>
      <c r="O955" s="15" t="s">
        <v>215</v>
      </c>
      <c r="P955" s="15" t="s">
        <v>135</v>
      </c>
      <c r="Q955" s="15" t="s">
        <v>129</v>
      </c>
      <c r="R955" s="15" t="s">
        <v>135</v>
      </c>
      <c r="S955" s="15"/>
      <c r="T955" s="15"/>
      <c r="U955" s="3" t="s">
        <v>6387</v>
      </c>
      <c r="V955" s="3" t="s">
        <v>6388</v>
      </c>
      <c r="W955" s="3"/>
      <c r="X955" s="3" t="s">
        <v>6389</v>
      </c>
      <c r="Y955" s="15" t="n">
        <v>0</v>
      </c>
      <c r="Z955" s="15" t="n">
        <v>1</v>
      </c>
      <c r="AA955" s="15" t="n">
        <v>0</v>
      </c>
      <c r="AB955" s="15" t="n">
        <v>0</v>
      </c>
      <c r="AC955" s="15" t="n">
        <v>0</v>
      </c>
      <c r="AD955" s="15" t="n">
        <v>0</v>
      </c>
      <c r="AE955" s="15" t="n">
        <v>0</v>
      </c>
      <c r="AF955" s="15" t="n">
        <v>1</v>
      </c>
      <c r="AG955" s="15" t="n">
        <v>0</v>
      </c>
      <c r="AH955" s="15" t="n">
        <v>0</v>
      </c>
    </row>
    <row r="956" customFormat="false" ht="35.05" hidden="false" customHeight="false" outlineLevel="0" collapsed="false">
      <c r="A956" s="15" t="s">
        <v>6390</v>
      </c>
      <c r="B956" s="15" t="s">
        <v>38</v>
      </c>
      <c r="C956" s="15" t="s">
        <v>3392</v>
      </c>
      <c r="D956" s="15" t="n">
        <v>18</v>
      </c>
      <c r="E956" s="15" t="s">
        <v>3436</v>
      </c>
      <c r="F956" s="15" t="n">
        <v>0</v>
      </c>
      <c r="G956" s="15" t="s">
        <v>129</v>
      </c>
      <c r="H956" s="15" t="s">
        <v>130</v>
      </c>
      <c r="I956" s="3" t="s">
        <v>6391</v>
      </c>
      <c r="J956" s="3" t="s">
        <v>6392</v>
      </c>
      <c r="K956" s="15" t="s">
        <v>145</v>
      </c>
      <c r="L956" s="16" t="s">
        <v>7</v>
      </c>
      <c r="M956" s="15" t="s">
        <v>68</v>
      </c>
      <c r="N956" s="15" t="s">
        <v>85</v>
      </c>
      <c r="O956" s="15" t="s">
        <v>6393</v>
      </c>
      <c r="P956" s="15" t="s">
        <v>185</v>
      </c>
      <c r="Q956" s="15" t="s">
        <v>129</v>
      </c>
      <c r="R956" s="15" t="s">
        <v>135</v>
      </c>
      <c r="S956" s="15"/>
      <c r="T956" s="15"/>
      <c r="U956" s="3" t="s">
        <v>6394</v>
      </c>
      <c r="V956" s="3" t="s">
        <v>6395</v>
      </c>
      <c r="W956" s="3" t="s">
        <v>6396</v>
      </c>
      <c r="X956" s="3" t="s">
        <v>6397</v>
      </c>
      <c r="Y956" s="15" t="n">
        <v>0</v>
      </c>
      <c r="Z956" s="15" t="n">
        <v>0</v>
      </c>
      <c r="AA956" s="15" t="n">
        <v>0</v>
      </c>
      <c r="AB956" s="15" t="n">
        <v>0</v>
      </c>
      <c r="AC956" s="15" t="n">
        <v>1</v>
      </c>
      <c r="AD956" s="15" t="n">
        <v>0</v>
      </c>
      <c r="AE956" s="15" t="n">
        <v>0</v>
      </c>
      <c r="AF956" s="15" t="n">
        <v>0</v>
      </c>
      <c r="AG956" s="15" t="n">
        <v>0</v>
      </c>
      <c r="AH956" s="15" t="n">
        <v>1</v>
      </c>
    </row>
    <row r="957" customFormat="false" ht="35.05" hidden="false" customHeight="false" outlineLevel="0" collapsed="false">
      <c r="A957" s="15" t="s">
        <v>6398</v>
      </c>
      <c r="B957" s="15" t="s">
        <v>38</v>
      </c>
      <c r="C957" s="15" t="s">
        <v>3392</v>
      </c>
      <c r="D957" s="15" t="n">
        <v>18</v>
      </c>
      <c r="E957" s="15" t="s">
        <v>3436</v>
      </c>
      <c r="F957" s="15" t="n">
        <v>1</v>
      </c>
      <c r="G957" s="15" t="s">
        <v>307</v>
      </c>
      <c r="H957" s="15" t="s">
        <v>308</v>
      </c>
      <c r="I957" s="3" t="s">
        <v>6399</v>
      </c>
      <c r="J957" s="3" t="s">
        <v>6400</v>
      </c>
      <c r="K957" s="15" t="s">
        <v>145</v>
      </c>
      <c r="L957" s="16" t="s">
        <v>7</v>
      </c>
      <c r="M957" s="15" t="s">
        <v>68</v>
      </c>
      <c r="N957" s="15" t="s">
        <v>85</v>
      </c>
      <c r="O957" s="15" t="s">
        <v>5173</v>
      </c>
      <c r="P957" s="15" t="s">
        <v>135</v>
      </c>
      <c r="Q957" s="15" t="s">
        <v>136</v>
      </c>
      <c r="R957" s="15" t="s">
        <v>135</v>
      </c>
      <c r="S957" s="15"/>
      <c r="T957" s="15"/>
      <c r="U957" s="3" t="s">
        <v>6401</v>
      </c>
      <c r="V957" s="3" t="s">
        <v>6402</v>
      </c>
      <c r="W957" s="3" t="s">
        <v>6403</v>
      </c>
      <c r="X957" s="3" t="s">
        <v>6404</v>
      </c>
      <c r="Y957" s="15" t="n">
        <v>0</v>
      </c>
      <c r="Z957" s="15" t="n">
        <v>0</v>
      </c>
      <c r="AA957" s="15" t="n">
        <v>0</v>
      </c>
      <c r="AB957" s="15" t="n">
        <v>0</v>
      </c>
      <c r="AC957" s="15" t="n">
        <v>1</v>
      </c>
      <c r="AD957" s="15" t="n">
        <v>0</v>
      </c>
      <c r="AE957" s="15" t="n">
        <v>0</v>
      </c>
      <c r="AF957" s="15" t="n">
        <v>1</v>
      </c>
      <c r="AG957" s="15" t="n">
        <v>0</v>
      </c>
      <c r="AH957" s="15" t="n">
        <v>1</v>
      </c>
    </row>
    <row r="958" customFormat="false" ht="46.25" hidden="false" customHeight="false" outlineLevel="0" collapsed="false">
      <c r="A958" s="15" t="s">
        <v>6405</v>
      </c>
      <c r="B958" s="15" t="s">
        <v>38</v>
      </c>
      <c r="C958" s="15" t="s">
        <v>3392</v>
      </c>
      <c r="D958" s="15" t="n">
        <v>18</v>
      </c>
      <c r="E958" s="15" t="s">
        <v>3436</v>
      </c>
      <c r="F958" s="15" t="n">
        <v>2</v>
      </c>
      <c r="G958" s="15" t="s">
        <v>197</v>
      </c>
      <c r="H958" s="15" t="s">
        <v>142</v>
      </c>
      <c r="I958" s="3" t="s">
        <v>6406</v>
      </c>
      <c r="J958" s="3" t="s">
        <v>6407</v>
      </c>
      <c r="K958" s="15" t="s">
        <v>145</v>
      </c>
      <c r="L958" s="16" t="s">
        <v>7</v>
      </c>
      <c r="M958" s="15" t="s">
        <v>68</v>
      </c>
      <c r="N958" s="15" t="s">
        <v>83</v>
      </c>
      <c r="O958" s="15" t="s">
        <v>6408</v>
      </c>
      <c r="P958" s="15" t="s">
        <v>135</v>
      </c>
      <c r="Q958" s="15" t="s">
        <v>307</v>
      </c>
      <c r="R958" s="15" t="s">
        <v>135</v>
      </c>
      <c r="S958" s="15"/>
      <c r="T958" s="15"/>
      <c r="U958" s="3" t="s">
        <v>6409</v>
      </c>
      <c r="V958" s="3" t="s">
        <v>6410</v>
      </c>
      <c r="W958" s="3" t="s">
        <v>6411</v>
      </c>
      <c r="X958" s="3" t="s">
        <v>6412</v>
      </c>
      <c r="Y958" s="15" t="n">
        <v>0</v>
      </c>
      <c r="Z958" s="15" t="n">
        <v>1</v>
      </c>
      <c r="AA958" s="15" t="n">
        <v>1</v>
      </c>
      <c r="AB958" s="15" t="n">
        <v>0</v>
      </c>
      <c r="AC958" s="15" t="n">
        <v>0</v>
      </c>
      <c r="AD958" s="15" t="n">
        <v>1</v>
      </c>
      <c r="AE958" s="15" t="n">
        <v>0</v>
      </c>
      <c r="AF958" s="15" t="n">
        <v>1</v>
      </c>
      <c r="AG958" s="15" t="n">
        <v>0</v>
      </c>
      <c r="AH958" s="15" t="n">
        <v>0</v>
      </c>
    </row>
    <row r="959" customFormat="false" ht="35.05" hidden="false" customHeight="false" outlineLevel="0" collapsed="false">
      <c r="A959" s="15" t="s">
        <v>6413</v>
      </c>
      <c r="B959" s="15" t="s">
        <v>38</v>
      </c>
      <c r="C959" s="15" t="s">
        <v>3456</v>
      </c>
      <c r="D959" s="15" t="n">
        <v>30</v>
      </c>
      <c r="E959" s="15" t="s">
        <v>3457</v>
      </c>
      <c r="F959" s="15" t="n">
        <v>0</v>
      </c>
      <c r="G959" s="15" t="s">
        <v>129</v>
      </c>
      <c r="H959" s="15" t="s">
        <v>130</v>
      </c>
      <c r="I959" s="3" t="s">
        <v>6414</v>
      </c>
      <c r="J959" s="3" t="s">
        <v>6415</v>
      </c>
      <c r="K959" s="15" t="s">
        <v>133</v>
      </c>
      <c r="L959" s="16" t="s">
        <v>7</v>
      </c>
      <c r="M959" s="15" t="s">
        <v>66</v>
      </c>
      <c r="N959" s="15" t="s">
        <v>89</v>
      </c>
      <c r="O959" s="15" t="s">
        <v>89</v>
      </c>
      <c r="P959" s="15" t="s">
        <v>185</v>
      </c>
      <c r="Q959" s="15" t="s">
        <v>129</v>
      </c>
      <c r="R959" s="15" t="s">
        <v>185</v>
      </c>
      <c r="S959" s="15"/>
      <c r="T959" s="15"/>
      <c r="U959" s="3" t="s">
        <v>6416</v>
      </c>
      <c r="V959" s="3" t="s">
        <v>6417</v>
      </c>
      <c r="W959" s="3" t="s">
        <v>6418</v>
      </c>
      <c r="X959" s="3" t="s">
        <v>6419</v>
      </c>
      <c r="Y959" s="15" t="n">
        <v>0</v>
      </c>
      <c r="Z959" s="15" t="n">
        <v>0</v>
      </c>
      <c r="AA959" s="15" t="n">
        <v>0</v>
      </c>
      <c r="AB959" s="15" t="n">
        <v>0</v>
      </c>
      <c r="AC959" s="15" t="n">
        <v>0</v>
      </c>
      <c r="AD959" s="15" t="n">
        <v>0</v>
      </c>
      <c r="AE959" s="15" t="n">
        <v>0</v>
      </c>
      <c r="AF959" s="15" t="n">
        <v>0</v>
      </c>
      <c r="AG959" s="15" t="n">
        <v>1</v>
      </c>
      <c r="AH959" s="15" t="n">
        <v>0</v>
      </c>
    </row>
    <row r="960" customFormat="false" ht="35.05" hidden="false" customHeight="false" outlineLevel="0" collapsed="false">
      <c r="A960" s="15" t="s">
        <v>6420</v>
      </c>
      <c r="B960" s="15" t="s">
        <v>38</v>
      </c>
      <c r="C960" s="15" t="s">
        <v>3456</v>
      </c>
      <c r="D960" s="15" t="n">
        <v>30</v>
      </c>
      <c r="E960" s="15" t="s">
        <v>3457</v>
      </c>
      <c r="F960" s="15" t="n">
        <v>1</v>
      </c>
      <c r="G960" s="15" t="s">
        <v>197</v>
      </c>
      <c r="H960" s="15" t="s">
        <v>142</v>
      </c>
      <c r="I960" s="3" t="s">
        <v>6421</v>
      </c>
      <c r="J960" s="3" t="s">
        <v>6422</v>
      </c>
      <c r="K960" s="15" t="s">
        <v>133</v>
      </c>
      <c r="L960" s="16" t="s">
        <v>7</v>
      </c>
      <c r="M960" s="15" t="s">
        <v>68</v>
      </c>
      <c r="N960" s="15" t="s">
        <v>82</v>
      </c>
      <c r="O960" s="15" t="s">
        <v>1542</v>
      </c>
      <c r="P960" s="15" t="s">
        <v>135</v>
      </c>
      <c r="Q960" s="15" t="s">
        <v>136</v>
      </c>
      <c r="R960" s="15" t="s">
        <v>135</v>
      </c>
      <c r="S960" s="15"/>
      <c r="T960" s="15"/>
      <c r="U960" s="3" t="s">
        <v>6423</v>
      </c>
      <c r="V960" s="3" t="s">
        <v>6424</v>
      </c>
      <c r="W960" s="3"/>
      <c r="X960" s="3" t="s">
        <v>6425</v>
      </c>
      <c r="Y960" s="15" t="n">
        <v>0</v>
      </c>
      <c r="Z960" s="15" t="n">
        <v>1</v>
      </c>
      <c r="AA960" s="15" t="n">
        <v>0</v>
      </c>
      <c r="AB960" s="15" t="n">
        <v>0</v>
      </c>
      <c r="AC960" s="15" t="n">
        <v>0</v>
      </c>
      <c r="AD960" s="15" t="n">
        <v>0</v>
      </c>
      <c r="AE960" s="15" t="n">
        <v>0</v>
      </c>
      <c r="AF960" s="15" t="n">
        <v>1</v>
      </c>
      <c r="AG960" s="15" t="n">
        <v>1</v>
      </c>
      <c r="AH960" s="15" t="n">
        <v>0</v>
      </c>
    </row>
    <row r="961" customFormat="false" ht="35.05" hidden="false" customHeight="false" outlineLevel="0" collapsed="false">
      <c r="A961" s="15" t="s">
        <v>6426</v>
      </c>
      <c r="B961" s="15" t="s">
        <v>38</v>
      </c>
      <c r="C961" s="15" t="s">
        <v>3456</v>
      </c>
      <c r="D961" s="15" t="n">
        <v>30</v>
      </c>
      <c r="E961" s="15" t="s">
        <v>3457</v>
      </c>
      <c r="F961" s="15" t="n">
        <v>2</v>
      </c>
      <c r="G961" s="15" t="s">
        <v>141</v>
      </c>
      <c r="H961" s="15" t="s">
        <v>142</v>
      </c>
      <c r="I961" s="3" t="s">
        <v>6427</v>
      </c>
      <c r="J961" s="3" t="s">
        <v>6428</v>
      </c>
      <c r="K961" s="15" t="s">
        <v>133</v>
      </c>
      <c r="L961" s="16" t="s">
        <v>7</v>
      </c>
      <c r="M961" s="15" t="s">
        <v>68</v>
      </c>
      <c r="N961" s="15" t="s">
        <v>82</v>
      </c>
      <c r="O961" s="15" t="s">
        <v>1542</v>
      </c>
      <c r="P961" s="15" t="s">
        <v>135</v>
      </c>
      <c r="Q961" s="15" t="s">
        <v>129</v>
      </c>
      <c r="R961" s="15" t="s">
        <v>135</v>
      </c>
      <c r="S961" s="15"/>
      <c r="T961" s="15"/>
      <c r="U961" s="3" t="s">
        <v>6429</v>
      </c>
      <c r="V961" s="3" t="s">
        <v>6430</v>
      </c>
      <c r="W961" s="3"/>
      <c r="X961" s="3" t="s">
        <v>6431</v>
      </c>
      <c r="Y961" s="15" t="n">
        <v>0</v>
      </c>
      <c r="Z961" s="15" t="n">
        <v>1</v>
      </c>
      <c r="AA961" s="15" t="n">
        <v>0</v>
      </c>
      <c r="AB961" s="15" t="n">
        <v>0</v>
      </c>
      <c r="AC961" s="15" t="n">
        <v>0</v>
      </c>
      <c r="AD961" s="15" t="n">
        <v>0</v>
      </c>
      <c r="AE961" s="15" t="n">
        <v>0</v>
      </c>
      <c r="AF961" s="15" t="n">
        <v>1</v>
      </c>
      <c r="AG961" s="15" t="n">
        <v>1</v>
      </c>
      <c r="AH961" s="15" t="n">
        <v>0</v>
      </c>
    </row>
    <row r="962" customFormat="false" ht="35.05" hidden="false" customHeight="false" outlineLevel="0" collapsed="false">
      <c r="A962" s="15" t="s">
        <v>6432</v>
      </c>
      <c r="B962" s="15" t="s">
        <v>38</v>
      </c>
      <c r="C962" s="15" t="s">
        <v>3456</v>
      </c>
      <c r="D962" s="15" t="n">
        <v>48</v>
      </c>
      <c r="E962" s="15" t="s">
        <v>3478</v>
      </c>
      <c r="F962" s="15" t="n">
        <v>0</v>
      </c>
      <c r="G962" s="15" t="s">
        <v>129</v>
      </c>
      <c r="H962" s="15" t="s">
        <v>130</v>
      </c>
      <c r="I962" s="3" t="s">
        <v>6433</v>
      </c>
      <c r="J962" s="3" t="s">
        <v>6434</v>
      </c>
      <c r="K962" s="15" t="s">
        <v>133</v>
      </c>
      <c r="L962" s="18" t="s">
        <v>5</v>
      </c>
      <c r="M962" s="15" t="s">
        <v>426</v>
      </c>
      <c r="N962" s="15" t="s">
        <v>426</v>
      </c>
      <c r="O962" s="15"/>
      <c r="P962" s="15" t="s">
        <v>185</v>
      </c>
      <c r="Q962" s="15" t="s">
        <v>129</v>
      </c>
      <c r="R962" s="15" t="s">
        <v>185</v>
      </c>
      <c r="S962" s="15"/>
      <c r="T962" s="15"/>
      <c r="U962" s="3" t="s">
        <v>6435</v>
      </c>
      <c r="V962" s="3" t="s">
        <v>6436</v>
      </c>
      <c r="W962" s="3"/>
      <c r="X962" s="3"/>
      <c r="Y962" s="15" t="n">
        <v>0</v>
      </c>
      <c r="Z962" s="15" t="n">
        <v>0</v>
      </c>
      <c r="AA962" s="15" t="n">
        <v>0</v>
      </c>
      <c r="AB962" s="15" t="n">
        <v>0</v>
      </c>
      <c r="AC962" s="15" t="n">
        <v>0</v>
      </c>
      <c r="AD962" s="15" t="n">
        <v>0</v>
      </c>
      <c r="AE962" s="15" t="n">
        <v>0</v>
      </c>
      <c r="AF962" s="15" t="n">
        <v>0</v>
      </c>
      <c r="AG962" s="15" t="n">
        <v>0</v>
      </c>
      <c r="AH962" s="15" t="n">
        <v>0</v>
      </c>
    </row>
    <row r="963" customFormat="false" ht="23.85" hidden="false" customHeight="false" outlineLevel="0" collapsed="false">
      <c r="A963" s="15" t="s">
        <v>6437</v>
      </c>
      <c r="B963" s="15" t="s">
        <v>38</v>
      </c>
      <c r="C963" s="15" t="s">
        <v>3456</v>
      </c>
      <c r="D963" s="15" t="n">
        <v>48</v>
      </c>
      <c r="E963" s="15" t="s">
        <v>3478</v>
      </c>
      <c r="F963" s="15" t="n">
        <v>1</v>
      </c>
      <c r="G963" s="15" t="s">
        <v>141</v>
      </c>
      <c r="H963" s="15" t="s">
        <v>142</v>
      </c>
      <c r="I963" s="3" t="s">
        <v>6438</v>
      </c>
      <c r="J963" s="3" t="s">
        <v>6439</v>
      </c>
      <c r="K963" s="15" t="s">
        <v>145</v>
      </c>
      <c r="L963" s="16" t="s">
        <v>7</v>
      </c>
      <c r="M963" s="15" t="s">
        <v>66</v>
      </c>
      <c r="N963" s="15" t="s">
        <v>88</v>
      </c>
      <c r="O963" s="15" t="s">
        <v>3940</v>
      </c>
      <c r="P963" s="15" t="s">
        <v>135</v>
      </c>
      <c r="Q963" s="15" t="s">
        <v>129</v>
      </c>
      <c r="R963" s="15" t="s">
        <v>185</v>
      </c>
      <c r="S963" s="15"/>
      <c r="T963" s="15"/>
      <c r="U963" s="3" t="s">
        <v>6440</v>
      </c>
      <c r="V963" s="3" t="s">
        <v>6441</v>
      </c>
      <c r="W963" s="3"/>
      <c r="X963" s="3" t="s">
        <v>6442</v>
      </c>
      <c r="Y963" s="15" t="n">
        <v>0</v>
      </c>
      <c r="Z963" s="15" t="n">
        <v>0</v>
      </c>
      <c r="AA963" s="15" t="n">
        <v>0</v>
      </c>
      <c r="AB963" s="15" t="n">
        <v>0</v>
      </c>
      <c r="AC963" s="15" t="n">
        <v>0</v>
      </c>
      <c r="AD963" s="15" t="n">
        <v>0</v>
      </c>
      <c r="AE963" s="15" t="n">
        <v>0</v>
      </c>
      <c r="AF963" s="15" t="n">
        <v>1</v>
      </c>
      <c r="AG963" s="15" t="n">
        <v>1</v>
      </c>
      <c r="AH963" s="15" t="n">
        <v>0</v>
      </c>
    </row>
    <row r="964" customFormat="false" ht="35.05" hidden="false" customHeight="false" outlineLevel="0" collapsed="false">
      <c r="A964" s="15" t="s">
        <v>6443</v>
      </c>
      <c r="B964" s="15" t="s">
        <v>38</v>
      </c>
      <c r="C964" s="15" t="s">
        <v>3456</v>
      </c>
      <c r="D964" s="15" t="n">
        <v>48</v>
      </c>
      <c r="E964" s="15" t="s">
        <v>3478</v>
      </c>
      <c r="F964" s="15" t="n">
        <v>2</v>
      </c>
      <c r="G964" s="15" t="s">
        <v>197</v>
      </c>
      <c r="H964" s="15" t="s">
        <v>142</v>
      </c>
      <c r="I964" s="3" t="s">
        <v>6444</v>
      </c>
      <c r="J964" s="3" t="s">
        <v>6445</v>
      </c>
      <c r="K964" s="15" t="s">
        <v>133</v>
      </c>
      <c r="L964" s="16" t="s">
        <v>7</v>
      </c>
      <c r="M964" s="15" t="s">
        <v>68</v>
      </c>
      <c r="N964" s="15" t="s">
        <v>83</v>
      </c>
      <c r="O964" s="15" t="s">
        <v>1701</v>
      </c>
      <c r="P964" s="15" t="s">
        <v>135</v>
      </c>
      <c r="Q964" s="15" t="s">
        <v>307</v>
      </c>
      <c r="R964" s="15" t="s">
        <v>135</v>
      </c>
      <c r="S964" s="15"/>
      <c r="T964" s="15"/>
      <c r="U964" s="3" t="s">
        <v>6446</v>
      </c>
      <c r="V964" s="3" t="s">
        <v>6447</v>
      </c>
      <c r="W964" s="3"/>
      <c r="X964" s="3" t="s">
        <v>6448</v>
      </c>
      <c r="Y964" s="15" t="n">
        <v>0</v>
      </c>
      <c r="Z964" s="15" t="n">
        <v>0</v>
      </c>
      <c r="AA964" s="15" t="n">
        <v>1</v>
      </c>
      <c r="AB964" s="15" t="n">
        <v>0</v>
      </c>
      <c r="AC964" s="15" t="n">
        <v>0</v>
      </c>
      <c r="AD964" s="15" t="n">
        <v>0</v>
      </c>
      <c r="AE964" s="15" t="n">
        <v>0</v>
      </c>
      <c r="AF964" s="15" t="n">
        <v>1</v>
      </c>
      <c r="AG964" s="15" t="n">
        <v>0</v>
      </c>
      <c r="AH964" s="15" t="n">
        <v>0</v>
      </c>
    </row>
    <row r="965" customFormat="false" ht="23.85" hidden="false" customHeight="false" outlineLevel="0" collapsed="false">
      <c r="A965" s="15" t="s">
        <v>6449</v>
      </c>
      <c r="B965" s="15" t="s">
        <v>38</v>
      </c>
      <c r="C965" s="15" t="s">
        <v>3497</v>
      </c>
      <c r="D965" s="15" t="n">
        <v>1</v>
      </c>
      <c r="E965" s="15" t="s">
        <v>3498</v>
      </c>
      <c r="F965" s="15" t="n">
        <v>0</v>
      </c>
      <c r="G965" s="15" t="s">
        <v>129</v>
      </c>
      <c r="H965" s="15" t="s">
        <v>130</v>
      </c>
      <c r="I965" s="3" t="s">
        <v>6450</v>
      </c>
      <c r="J965" s="3" t="s">
        <v>6451</v>
      </c>
      <c r="K965" s="15" t="s">
        <v>133</v>
      </c>
      <c r="L965" s="18" t="s">
        <v>5</v>
      </c>
      <c r="M965" s="15" t="s">
        <v>426</v>
      </c>
      <c r="N965" s="15" t="s">
        <v>426</v>
      </c>
      <c r="O965" s="15"/>
      <c r="P965" s="15" t="s">
        <v>185</v>
      </c>
      <c r="Q965" s="15" t="s">
        <v>129</v>
      </c>
      <c r="R965" s="15" t="s">
        <v>185</v>
      </c>
      <c r="S965" s="15"/>
      <c r="T965" s="15"/>
      <c r="U965" s="3" t="s">
        <v>6452</v>
      </c>
      <c r="V965" s="3" t="s">
        <v>4524</v>
      </c>
      <c r="W965" s="3"/>
      <c r="X965" s="3"/>
      <c r="Y965" s="15" t="n">
        <v>0</v>
      </c>
      <c r="Z965" s="15" t="n">
        <v>0</v>
      </c>
      <c r="AA965" s="15" t="n">
        <v>0</v>
      </c>
      <c r="AB965" s="15" t="n">
        <v>0</v>
      </c>
      <c r="AC965" s="15" t="n">
        <v>0</v>
      </c>
      <c r="AD965" s="15" t="n">
        <v>0</v>
      </c>
      <c r="AE965" s="15" t="n">
        <v>0</v>
      </c>
      <c r="AF965" s="15" t="n">
        <v>0</v>
      </c>
      <c r="AG965" s="15" t="n">
        <v>0</v>
      </c>
      <c r="AH965" s="15" t="n">
        <v>0</v>
      </c>
    </row>
    <row r="966" customFormat="false" ht="23.85" hidden="false" customHeight="false" outlineLevel="0" collapsed="false">
      <c r="A966" s="15" t="s">
        <v>6453</v>
      </c>
      <c r="B966" s="15" t="s">
        <v>38</v>
      </c>
      <c r="C966" s="15" t="s">
        <v>3497</v>
      </c>
      <c r="D966" s="15" t="n">
        <v>1</v>
      </c>
      <c r="E966" s="15" t="s">
        <v>3498</v>
      </c>
      <c r="F966" s="15" t="n">
        <v>1</v>
      </c>
      <c r="G966" s="15" t="s">
        <v>197</v>
      </c>
      <c r="H966" s="15" t="s">
        <v>142</v>
      </c>
      <c r="I966" s="3" t="s">
        <v>6454</v>
      </c>
      <c r="J966" s="3" t="s">
        <v>3504</v>
      </c>
      <c r="K966" s="15" t="s">
        <v>145</v>
      </c>
      <c r="L966" s="18" t="s">
        <v>5</v>
      </c>
      <c r="M966" s="15" t="s">
        <v>426</v>
      </c>
      <c r="N966" s="15" t="s">
        <v>426</v>
      </c>
      <c r="O966" s="15"/>
      <c r="P966" s="15" t="s">
        <v>185</v>
      </c>
      <c r="Q966" s="15" t="s">
        <v>197</v>
      </c>
      <c r="R966" s="15" t="s">
        <v>185</v>
      </c>
      <c r="S966" s="15"/>
      <c r="T966" s="15"/>
      <c r="U966" s="3" t="s">
        <v>6455</v>
      </c>
      <c r="V966" s="3" t="s">
        <v>6456</v>
      </c>
      <c r="W966" s="3"/>
      <c r="X966" s="3"/>
      <c r="Y966" s="15" t="n">
        <v>0</v>
      </c>
      <c r="Z966" s="15" t="n">
        <v>0</v>
      </c>
      <c r="AA966" s="15" t="n">
        <v>0</v>
      </c>
      <c r="AB966" s="15" t="n">
        <v>0</v>
      </c>
      <c r="AC966" s="15" t="n">
        <v>0</v>
      </c>
      <c r="AD966" s="15" t="n">
        <v>0</v>
      </c>
      <c r="AE966" s="15" t="n">
        <v>0</v>
      </c>
      <c r="AF966" s="15" t="n">
        <v>0</v>
      </c>
      <c r="AG966" s="15" t="n">
        <v>0</v>
      </c>
      <c r="AH966" s="15" t="n">
        <v>0</v>
      </c>
    </row>
    <row r="967" customFormat="false" ht="23.85" hidden="false" customHeight="false" outlineLevel="0" collapsed="false">
      <c r="A967" s="15" t="s">
        <v>6457</v>
      </c>
      <c r="B967" s="15" t="s">
        <v>38</v>
      </c>
      <c r="C967" s="15" t="s">
        <v>3497</v>
      </c>
      <c r="D967" s="15" t="n">
        <v>1</v>
      </c>
      <c r="E967" s="15" t="s">
        <v>3498</v>
      </c>
      <c r="F967" s="15" t="n">
        <v>2</v>
      </c>
      <c r="G967" s="15" t="s">
        <v>141</v>
      </c>
      <c r="H967" s="15" t="s">
        <v>142</v>
      </c>
      <c r="I967" s="3" t="s">
        <v>6458</v>
      </c>
      <c r="J967" s="3" t="s">
        <v>6459</v>
      </c>
      <c r="K967" s="15" t="s">
        <v>133</v>
      </c>
      <c r="L967" s="16" t="s">
        <v>7</v>
      </c>
      <c r="M967" s="15" t="s">
        <v>66</v>
      </c>
      <c r="N967" s="15" t="s">
        <v>88</v>
      </c>
      <c r="O967" s="15" t="s">
        <v>1790</v>
      </c>
      <c r="P967" s="15" t="s">
        <v>135</v>
      </c>
      <c r="Q967" s="15" t="s">
        <v>129</v>
      </c>
      <c r="R967" s="15" t="s">
        <v>135</v>
      </c>
      <c r="S967" s="15"/>
      <c r="T967" s="15"/>
      <c r="U967" s="3" t="s">
        <v>6460</v>
      </c>
      <c r="V967" s="3" t="s">
        <v>6461</v>
      </c>
      <c r="W967" s="3"/>
      <c r="X967" s="3" t="s">
        <v>6462</v>
      </c>
      <c r="Y967" s="15" t="n">
        <v>0</v>
      </c>
      <c r="Z967" s="15" t="n">
        <v>0</v>
      </c>
      <c r="AA967" s="15" t="n">
        <v>0</v>
      </c>
      <c r="AB967" s="15" t="n">
        <v>0</v>
      </c>
      <c r="AC967" s="15" t="n">
        <v>0</v>
      </c>
      <c r="AD967" s="15" t="n">
        <v>0</v>
      </c>
      <c r="AE967" s="15" t="n">
        <v>1</v>
      </c>
      <c r="AF967" s="15" t="n">
        <v>1</v>
      </c>
      <c r="AG967" s="15" t="n">
        <v>0</v>
      </c>
      <c r="AH967" s="15" t="n">
        <v>0</v>
      </c>
    </row>
    <row r="968" customFormat="false" ht="46.25" hidden="false" customHeight="false" outlineLevel="0" collapsed="false">
      <c r="A968" s="15" t="s">
        <v>6463</v>
      </c>
      <c r="B968" s="15" t="s">
        <v>38</v>
      </c>
      <c r="C968" s="15" t="s">
        <v>3516</v>
      </c>
      <c r="D968" s="15" t="n">
        <v>4</v>
      </c>
      <c r="E968" s="15" t="s">
        <v>3517</v>
      </c>
      <c r="F968" s="15" t="n">
        <v>0</v>
      </c>
      <c r="G968" s="15" t="s">
        <v>141</v>
      </c>
      <c r="H968" s="15" t="s">
        <v>142</v>
      </c>
      <c r="I968" s="3" t="s">
        <v>6464</v>
      </c>
      <c r="J968" s="3" t="s">
        <v>6465</v>
      </c>
      <c r="K968" s="15" t="s">
        <v>133</v>
      </c>
      <c r="L968" s="16" t="s">
        <v>7</v>
      </c>
      <c r="M968" s="15" t="s">
        <v>68</v>
      </c>
      <c r="N968" s="15" t="s">
        <v>82</v>
      </c>
      <c r="O968" s="15" t="s">
        <v>215</v>
      </c>
      <c r="P968" s="15" t="s">
        <v>135</v>
      </c>
      <c r="Q968" s="15" t="s">
        <v>197</v>
      </c>
      <c r="R968" s="15" t="s">
        <v>135</v>
      </c>
      <c r="S968" s="15"/>
      <c r="T968" s="15"/>
      <c r="U968" s="3" t="s">
        <v>6466</v>
      </c>
      <c r="V968" s="3" t="s">
        <v>6467</v>
      </c>
      <c r="W968" s="3" t="s">
        <v>6468</v>
      </c>
      <c r="X968" s="3" t="s">
        <v>6469</v>
      </c>
      <c r="Y968" s="15" t="n">
        <v>0</v>
      </c>
      <c r="Z968" s="15" t="n">
        <v>1</v>
      </c>
      <c r="AA968" s="15" t="n">
        <v>0</v>
      </c>
      <c r="AB968" s="15" t="n">
        <v>0</v>
      </c>
      <c r="AC968" s="15" t="n">
        <v>0</v>
      </c>
      <c r="AD968" s="15" t="n">
        <v>0</v>
      </c>
      <c r="AE968" s="15" t="n">
        <v>0</v>
      </c>
      <c r="AF968" s="15" t="n">
        <v>1</v>
      </c>
      <c r="AG968" s="15" t="n">
        <v>0</v>
      </c>
      <c r="AH968" s="15" t="n">
        <v>0</v>
      </c>
    </row>
    <row r="969" customFormat="false" ht="35.05" hidden="false" customHeight="false" outlineLevel="0" collapsed="false">
      <c r="A969" s="15" t="s">
        <v>6470</v>
      </c>
      <c r="B969" s="15" t="s">
        <v>38</v>
      </c>
      <c r="C969" s="15" t="s">
        <v>3516</v>
      </c>
      <c r="D969" s="15" t="n">
        <v>4</v>
      </c>
      <c r="E969" s="15" t="s">
        <v>3517</v>
      </c>
      <c r="F969" s="15" t="n">
        <v>1</v>
      </c>
      <c r="G969" s="15" t="s">
        <v>152</v>
      </c>
      <c r="H969" s="15" t="s">
        <v>142</v>
      </c>
      <c r="I969" s="3" t="s">
        <v>6471</v>
      </c>
      <c r="J969" s="3" t="s">
        <v>6472</v>
      </c>
      <c r="K969" s="15" t="s">
        <v>145</v>
      </c>
      <c r="L969" s="17" t="s">
        <v>9</v>
      </c>
      <c r="M969" s="15" t="s">
        <v>70</v>
      </c>
      <c r="N969" s="15" t="s">
        <v>81</v>
      </c>
      <c r="O969" s="15" t="s">
        <v>5513</v>
      </c>
      <c r="P969" s="15" t="s">
        <v>135</v>
      </c>
      <c r="Q969" s="15" t="s">
        <v>197</v>
      </c>
      <c r="R969" s="15" t="s">
        <v>135</v>
      </c>
      <c r="S969" s="15" t="s">
        <v>405</v>
      </c>
      <c r="T969" s="15" t="s">
        <v>342</v>
      </c>
      <c r="U969" s="3" t="s">
        <v>6473</v>
      </c>
      <c r="V969" s="3" t="s">
        <v>6474</v>
      </c>
      <c r="W969" s="3"/>
      <c r="X969" s="3"/>
      <c r="Y969" s="15" t="n">
        <v>1</v>
      </c>
      <c r="Z969" s="15" t="n">
        <v>0</v>
      </c>
      <c r="AA969" s="15" t="n">
        <v>0</v>
      </c>
      <c r="AB969" s="15" t="n">
        <v>0</v>
      </c>
      <c r="AC969" s="15" t="n">
        <v>0</v>
      </c>
      <c r="AD969" s="15" t="n">
        <v>0</v>
      </c>
      <c r="AE969" s="15" t="n">
        <v>1</v>
      </c>
      <c r="AF969" s="15" t="n">
        <v>0</v>
      </c>
      <c r="AG969" s="15" t="n">
        <v>0</v>
      </c>
      <c r="AH969" s="15" t="n">
        <v>0</v>
      </c>
    </row>
    <row r="970" customFormat="false" ht="46.25" hidden="false" customHeight="false" outlineLevel="0" collapsed="false">
      <c r="A970" s="15" t="s">
        <v>6475</v>
      </c>
      <c r="B970" s="15" t="s">
        <v>38</v>
      </c>
      <c r="C970" s="15" t="s">
        <v>3516</v>
      </c>
      <c r="D970" s="15" t="n">
        <v>4</v>
      </c>
      <c r="E970" s="15" t="s">
        <v>3517</v>
      </c>
      <c r="F970" s="15" t="n">
        <v>2</v>
      </c>
      <c r="G970" s="15" t="s">
        <v>129</v>
      </c>
      <c r="H970" s="15" t="s">
        <v>130</v>
      </c>
      <c r="I970" s="3" t="s">
        <v>6476</v>
      </c>
      <c r="J970" s="3" t="s">
        <v>6477</v>
      </c>
      <c r="K970" s="15" t="s">
        <v>133</v>
      </c>
      <c r="L970" s="16" t="s">
        <v>7</v>
      </c>
      <c r="M970" s="15" t="s">
        <v>68</v>
      </c>
      <c r="N970" s="15" t="s">
        <v>87</v>
      </c>
      <c r="O970" s="15" t="s">
        <v>5524</v>
      </c>
      <c r="P970" s="15" t="s">
        <v>185</v>
      </c>
      <c r="Q970" s="15" t="s">
        <v>129</v>
      </c>
      <c r="R970" s="15" t="s">
        <v>135</v>
      </c>
      <c r="S970" s="15"/>
      <c r="T970" s="15"/>
      <c r="U970" s="3" t="s">
        <v>6478</v>
      </c>
      <c r="V970" s="3" t="s">
        <v>6479</v>
      </c>
      <c r="W970" s="3"/>
      <c r="X970" s="3" t="s">
        <v>6480</v>
      </c>
      <c r="Y970" s="15" t="n">
        <v>0</v>
      </c>
      <c r="Z970" s="15" t="n">
        <v>1</v>
      </c>
      <c r="AA970" s="15" t="n">
        <v>0</v>
      </c>
      <c r="AB970" s="15" t="n">
        <v>0</v>
      </c>
      <c r="AC970" s="15" t="n">
        <v>0</v>
      </c>
      <c r="AD970" s="15" t="n">
        <v>0</v>
      </c>
      <c r="AE970" s="15" t="n">
        <v>1</v>
      </c>
      <c r="AF970" s="15" t="n">
        <v>0</v>
      </c>
      <c r="AG970" s="15" t="n">
        <v>0</v>
      </c>
      <c r="AH970" s="15" t="n">
        <v>0</v>
      </c>
    </row>
    <row r="971" customFormat="false" ht="35.05" hidden="false" customHeight="false" outlineLevel="0" collapsed="false">
      <c r="A971" s="15" t="s">
        <v>6481</v>
      </c>
      <c r="B971" s="15" t="s">
        <v>38</v>
      </c>
      <c r="C971" s="15" t="s">
        <v>3537</v>
      </c>
      <c r="D971" s="15" t="n">
        <v>3</v>
      </c>
      <c r="E971" s="15" t="s">
        <v>3538</v>
      </c>
      <c r="F971" s="15" t="n">
        <v>0</v>
      </c>
      <c r="G971" s="15" t="s">
        <v>197</v>
      </c>
      <c r="H971" s="15" t="s">
        <v>142</v>
      </c>
      <c r="I971" s="3" t="s">
        <v>6482</v>
      </c>
      <c r="J971" s="3" t="s">
        <v>6483</v>
      </c>
      <c r="K971" s="15" t="s">
        <v>133</v>
      </c>
      <c r="L971" s="18" t="s">
        <v>5</v>
      </c>
      <c r="M971" s="15" t="s">
        <v>426</v>
      </c>
      <c r="N971" s="15" t="s">
        <v>426</v>
      </c>
      <c r="O971" s="15"/>
      <c r="P971" s="15" t="s">
        <v>185</v>
      </c>
      <c r="Q971" s="15" t="s">
        <v>197</v>
      </c>
      <c r="R971" s="15" t="s">
        <v>185</v>
      </c>
      <c r="S971" s="15"/>
      <c r="T971" s="15"/>
      <c r="U971" s="3" t="s">
        <v>6484</v>
      </c>
      <c r="V971" s="3" t="s">
        <v>6485</v>
      </c>
      <c r="W971" s="3"/>
      <c r="X971" s="3"/>
      <c r="Y971" s="15" t="n">
        <v>0</v>
      </c>
      <c r="Z971" s="15" t="n">
        <v>0</v>
      </c>
      <c r="AA971" s="15" t="n">
        <v>0</v>
      </c>
      <c r="AB971" s="15" t="n">
        <v>0</v>
      </c>
      <c r="AC971" s="15" t="n">
        <v>0</v>
      </c>
      <c r="AD971" s="15" t="n">
        <v>0</v>
      </c>
      <c r="AE971" s="15" t="n">
        <v>0</v>
      </c>
      <c r="AF971" s="15" t="n">
        <v>0</v>
      </c>
      <c r="AG971" s="15" t="n">
        <v>0</v>
      </c>
      <c r="AH971" s="15" t="n">
        <v>0</v>
      </c>
    </row>
    <row r="972" customFormat="false" ht="35.05" hidden="false" customHeight="false" outlineLevel="0" collapsed="false">
      <c r="A972" s="15" t="s">
        <v>6486</v>
      </c>
      <c r="B972" s="15" t="s">
        <v>38</v>
      </c>
      <c r="C972" s="15" t="s">
        <v>3537</v>
      </c>
      <c r="D972" s="15" t="n">
        <v>3</v>
      </c>
      <c r="E972" s="15" t="s">
        <v>3538</v>
      </c>
      <c r="F972" s="15" t="n">
        <v>1</v>
      </c>
      <c r="G972" s="15" t="s">
        <v>129</v>
      </c>
      <c r="H972" s="15" t="s">
        <v>130</v>
      </c>
      <c r="I972" s="3" t="s">
        <v>6487</v>
      </c>
      <c r="J972" s="3" t="s">
        <v>6488</v>
      </c>
      <c r="K972" s="15" t="s">
        <v>145</v>
      </c>
      <c r="L972" s="18" t="s">
        <v>5</v>
      </c>
      <c r="M972" s="15" t="s">
        <v>426</v>
      </c>
      <c r="N972" s="15" t="s">
        <v>426</v>
      </c>
      <c r="O972" s="15"/>
      <c r="P972" s="15" t="s">
        <v>185</v>
      </c>
      <c r="Q972" s="15" t="s">
        <v>129</v>
      </c>
      <c r="R972" s="15" t="s">
        <v>185</v>
      </c>
      <c r="S972" s="15"/>
      <c r="T972" s="15"/>
      <c r="U972" s="3" t="s">
        <v>6489</v>
      </c>
      <c r="V972" s="3" t="s">
        <v>6490</v>
      </c>
      <c r="W972" s="3"/>
      <c r="X972" s="3"/>
      <c r="Y972" s="15" t="n">
        <v>0</v>
      </c>
      <c r="Z972" s="15" t="n">
        <v>0</v>
      </c>
      <c r="AA972" s="15" t="n">
        <v>0</v>
      </c>
      <c r="AB972" s="15" t="n">
        <v>0</v>
      </c>
      <c r="AC972" s="15" t="n">
        <v>0</v>
      </c>
      <c r="AD972" s="15" t="n">
        <v>0</v>
      </c>
      <c r="AE972" s="15" t="n">
        <v>0</v>
      </c>
      <c r="AF972" s="15" t="n">
        <v>0</v>
      </c>
      <c r="AG972" s="15" t="n">
        <v>0</v>
      </c>
      <c r="AH972" s="15" t="n">
        <v>0</v>
      </c>
    </row>
    <row r="973" customFormat="false" ht="46.25" hidden="false" customHeight="false" outlineLevel="0" collapsed="false">
      <c r="A973" s="15" t="s">
        <v>6491</v>
      </c>
      <c r="B973" s="15" t="s">
        <v>38</v>
      </c>
      <c r="C973" s="15" t="s">
        <v>3537</v>
      </c>
      <c r="D973" s="15" t="n">
        <v>3</v>
      </c>
      <c r="E973" s="15" t="s">
        <v>3538</v>
      </c>
      <c r="F973" s="15" t="n">
        <v>2</v>
      </c>
      <c r="G973" s="15" t="s">
        <v>141</v>
      </c>
      <c r="H973" s="15" t="s">
        <v>142</v>
      </c>
      <c r="I973" s="3" t="s">
        <v>6492</v>
      </c>
      <c r="J973" s="3" t="s">
        <v>6493</v>
      </c>
      <c r="K973" s="15" t="s">
        <v>133</v>
      </c>
      <c r="L973" s="16" t="s">
        <v>7</v>
      </c>
      <c r="M973" s="15" t="s">
        <v>66</v>
      </c>
      <c r="N973" s="15" t="s">
        <v>88</v>
      </c>
      <c r="O973" s="15" t="s">
        <v>231</v>
      </c>
      <c r="P973" s="15" t="s">
        <v>135</v>
      </c>
      <c r="Q973" s="15" t="s">
        <v>129</v>
      </c>
      <c r="R973" s="15" t="s">
        <v>185</v>
      </c>
      <c r="S973" s="15"/>
      <c r="T973" s="15"/>
      <c r="U973" s="3" t="s">
        <v>6494</v>
      </c>
      <c r="V973" s="3" t="s">
        <v>6495</v>
      </c>
      <c r="W973" s="3" t="s">
        <v>6496</v>
      </c>
      <c r="X973" s="3" t="s">
        <v>6497</v>
      </c>
      <c r="Y973" s="15" t="n">
        <v>0</v>
      </c>
      <c r="Z973" s="15" t="n">
        <v>0</v>
      </c>
      <c r="AA973" s="15" t="n">
        <v>0</v>
      </c>
      <c r="AB973" s="15" t="n">
        <v>0</v>
      </c>
      <c r="AC973" s="15" t="n">
        <v>0</v>
      </c>
      <c r="AD973" s="15" t="n">
        <v>0</v>
      </c>
      <c r="AE973" s="15" t="n">
        <v>0</v>
      </c>
      <c r="AF973" s="15" t="n">
        <v>1</v>
      </c>
      <c r="AG973" s="15" t="n">
        <v>0</v>
      </c>
      <c r="AH973" s="15" t="n">
        <v>1</v>
      </c>
    </row>
    <row r="974" customFormat="false" ht="23.85" hidden="false" customHeight="false" outlineLevel="0" collapsed="false">
      <c r="A974" s="15" t="s">
        <v>6498</v>
      </c>
      <c r="B974" s="15" t="s">
        <v>38</v>
      </c>
      <c r="C974" s="15" t="s">
        <v>3537</v>
      </c>
      <c r="D974" s="15" t="n">
        <v>5</v>
      </c>
      <c r="E974" s="15" t="s">
        <v>3559</v>
      </c>
      <c r="F974" s="15" t="n">
        <v>0</v>
      </c>
      <c r="G974" s="15" t="s">
        <v>129</v>
      </c>
      <c r="H974" s="15" t="s">
        <v>130</v>
      </c>
      <c r="I974" s="3" t="s">
        <v>6499</v>
      </c>
      <c r="J974" s="3" t="s">
        <v>6500</v>
      </c>
      <c r="K974" s="15" t="s">
        <v>133</v>
      </c>
      <c r="L974" s="18" t="s">
        <v>5</v>
      </c>
      <c r="M974" s="15" t="s">
        <v>426</v>
      </c>
      <c r="N974" s="15" t="s">
        <v>426</v>
      </c>
      <c r="O974" s="15"/>
      <c r="P974" s="15" t="s">
        <v>185</v>
      </c>
      <c r="Q974" s="15" t="s">
        <v>129</v>
      </c>
      <c r="R974" s="15" t="s">
        <v>185</v>
      </c>
      <c r="S974" s="15"/>
      <c r="T974" s="15"/>
      <c r="U974" s="3" t="s">
        <v>6501</v>
      </c>
      <c r="V974" s="3" t="s">
        <v>5147</v>
      </c>
      <c r="W974" s="3"/>
      <c r="X974" s="3"/>
      <c r="Y974" s="15" t="n">
        <v>0</v>
      </c>
      <c r="Z974" s="15" t="n">
        <v>0</v>
      </c>
      <c r="AA974" s="15" t="n">
        <v>0</v>
      </c>
      <c r="AB974" s="15" t="n">
        <v>0</v>
      </c>
      <c r="AC974" s="15" t="n">
        <v>0</v>
      </c>
      <c r="AD974" s="15" t="n">
        <v>0</v>
      </c>
      <c r="AE974" s="15" t="n">
        <v>0</v>
      </c>
      <c r="AF974" s="15" t="n">
        <v>0</v>
      </c>
      <c r="AG974" s="15" t="n">
        <v>0</v>
      </c>
      <c r="AH974" s="15" t="n">
        <v>0</v>
      </c>
    </row>
    <row r="975" customFormat="false" ht="46.25" hidden="false" customHeight="false" outlineLevel="0" collapsed="false">
      <c r="A975" s="15" t="s">
        <v>6502</v>
      </c>
      <c r="B975" s="15" t="s">
        <v>38</v>
      </c>
      <c r="C975" s="15" t="s">
        <v>3537</v>
      </c>
      <c r="D975" s="15" t="n">
        <v>5</v>
      </c>
      <c r="E975" s="15" t="s">
        <v>3559</v>
      </c>
      <c r="F975" s="15" t="n">
        <v>1</v>
      </c>
      <c r="G975" s="15" t="s">
        <v>197</v>
      </c>
      <c r="H975" s="15" t="s">
        <v>142</v>
      </c>
      <c r="I975" s="3" t="s">
        <v>6503</v>
      </c>
      <c r="J975" s="3" t="s">
        <v>6504</v>
      </c>
      <c r="K975" s="15" t="s">
        <v>145</v>
      </c>
      <c r="L975" s="16" t="s">
        <v>7</v>
      </c>
      <c r="M975" s="15" t="s">
        <v>66</v>
      </c>
      <c r="N975" s="15" t="s">
        <v>88</v>
      </c>
      <c r="O975" s="15" t="s">
        <v>1790</v>
      </c>
      <c r="P975" s="15" t="s">
        <v>135</v>
      </c>
      <c r="Q975" s="15" t="s">
        <v>129</v>
      </c>
      <c r="R975" s="15" t="s">
        <v>135</v>
      </c>
      <c r="S975" s="15"/>
      <c r="T975" s="15"/>
      <c r="U975" s="3" t="s">
        <v>6505</v>
      </c>
      <c r="V975" s="3" t="s">
        <v>6506</v>
      </c>
      <c r="W975" s="3"/>
      <c r="X975" s="3" t="s">
        <v>6507</v>
      </c>
      <c r="Y975" s="15" t="n">
        <v>0</v>
      </c>
      <c r="Z975" s="15" t="n">
        <v>0</v>
      </c>
      <c r="AA975" s="15" t="n">
        <v>0</v>
      </c>
      <c r="AB975" s="15" t="n">
        <v>0</v>
      </c>
      <c r="AC975" s="15" t="n">
        <v>0</v>
      </c>
      <c r="AD975" s="15" t="n">
        <v>0</v>
      </c>
      <c r="AE975" s="15" t="n">
        <v>1</v>
      </c>
      <c r="AF975" s="15" t="n">
        <v>1</v>
      </c>
      <c r="AG975" s="15" t="n">
        <v>0</v>
      </c>
      <c r="AH975" s="15" t="n">
        <v>0</v>
      </c>
    </row>
    <row r="976" customFormat="false" ht="35.05" hidden="false" customHeight="false" outlineLevel="0" collapsed="false">
      <c r="A976" s="15" t="s">
        <v>6508</v>
      </c>
      <c r="B976" s="15" t="s">
        <v>38</v>
      </c>
      <c r="C976" s="15" t="s">
        <v>3537</v>
      </c>
      <c r="D976" s="15" t="n">
        <v>5</v>
      </c>
      <c r="E976" s="15" t="s">
        <v>3559</v>
      </c>
      <c r="F976" s="15" t="n">
        <v>2</v>
      </c>
      <c r="G976" s="15" t="s">
        <v>141</v>
      </c>
      <c r="H976" s="15" t="s">
        <v>142</v>
      </c>
      <c r="I976" s="3" t="s">
        <v>6509</v>
      </c>
      <c r="J976" s="3" t="s">
        <v>6510</v>
      </c>
      <c r="K976" s="15" t="s">
        <v>133</v>
      </c>
      <c r="L976" s="16" t="s">
        <v>7</v>
      </c>
      <c r="M976" s="15" t="s">
        <v>66</v>
      </c>
      <c r="N976" s="15" t="s">
        <v>88</v>
      </c>
      <c r="O976" s="15" t="s">
        <v>231</v>
      </c>
      <c r="P976" s="15" t="s">
        <v>135</v>
      </c>
      <c r="Q976" s="15" t="s">
        <v>129</v>
      </c>
      <c r="R976" s="15" t="s">
        <v>185</v>
      </c>
      <c r="S976" s="15"/>
      <c r="T976" s="15"/>
      <c r="U976" s="3" t="s">
        <v>6511</v>
      </c>
      <c r="V976" s="3" t="s">
        <v>6512</v>
      </c>
      <c r="W976" s="3" t="s">
        <v>6513</v>
      </c>
      <c r="X976" s="3" t="s">
        <v>6514</v>
      </c>
      <c r="Y976" s="15" t="n">
        <v>0</v>
      </c>
      <c r="Z976" s="15" t="n">
        <v>0</v>
      </c>
      <c r="AA976" s="15" t="n">
        <v>0</v>
      </c>
      <c r="AB976" s="15" t="n">
        <v>0</v>
      </c>
      <c r="AC976" s="15" t="n">
        <v>0</v>
      </c>
      <c r="AD976" s="15" t="n">
        <v>0</v>
      </c>
      <c r="AE976" s="15" t="n">
        <v>0</v>
      </c>
      <c r="AF976" s="15" t="n">
        <v>1</v>
      </c>
      <c r="AG976" s="15" t="n">
        <v>0</v>
      </c>
      <c r="AH976" s="15" t="n">
        <v>1</v>
      </c>
    </row>
    <row r="977" customFormat="false" ht="46.25" hidden="false" customHeight="false" outlineLevel="0" collapsed="false">
      <c r="A977" s="15" t="s">
        <v>6515</v>
      </c>
      <c r="B977" s="15" t="s">
        <v>38</v>
      </c>
      <c r="C977" s="15" t="s">
        <v>3581</v>
      </c>
      <c r="D977" s="15" t="n">
        <v>3</v>
      </c>
      <c r="E977" s="15" t="s">
        <v>3582</v>
      </c>
      <c r="F977" s="15" t="n">
        <v>0</v>
      </c>
      <c r="G977" s="15" t="s">
        <v>129</v>
      </c>
      <c r="H977" s="15" t="s">
        <v>130</v>
      </c>
      <c r="I977" s="3" t="s">
        <v>6516</v>
      </c>
      <c r="J977" s="3" t="s">
        <v>6517</v>
      </c>
      <c r="K977" s="15" t="s">
        <v>133</v>
      </c>
      <c r="L977" s="18" t="s">
        <v>5</v>
      </c>
      <c r="M977" s="15" t="s">
        <v>426</v>
      </c>
      <c r="N977" s="15" t="s">
        <v>426</v>
      </c>
      <c r="O977" s="15"/>
      <c r="P977" s="15" t="s">
        <v>185</v>
      </c>
      <c r="Q977" s="15" t="s">
        <v>129</v>
      </c>
      <c r="R977" s="15" t="s">
        <v>185</v>
      </c>
      <c r="S977" s="15"/>
      <c r="T977" s="15"/>
      <c r="U977" s="3" t="s">
        <v>6518</v>
      </c>
      <c r="V977" s="3" t="s">
        <v>6519</v>
      </c>
      <c r="W977" s="3"/>
      <c r="X977" s="3"/>
      <c r="Y977" s="15" t="n">
        <v>0</v>
      </c>
      <c r="Z977" s="15" t="n">
        <v>0</v>
      </c>
      <c r="AA977" s="15" t="n">
        <v>0</v>
      </c>
      <c r="AB977" s="15" t="n">
        <v>0</v>
      </c>
      <c r="AC977" s="15" t="n">
        <v>0</v>
      </c>
      <c r="AD977" s="15" t="n">
        <v>0</v>
      </c>
      <c r="AE977" s="15" t="n">
        <v>0</v>
      </c>
      <c r="AF977" s="15" t="n">
        <v>0</v>
      </c>
      <c r="AG977" s="15" t="n">
        <v>0</v>
      </c>
      <c r="AH977" s="15" t="n">
        <v>0</v>
      </c>
    </row>
    <row r="978" customFormat="false" ht="35.05" hidden="false" customHeight="false" outlineLevel="0" collapsed="false">
      <c r="A978" s="15" t="s">
        <v>6520</v>
      </c>
      <c r="B978" s="15" t="s">
        <v>38</v>
      </c>
      <c r="C978" s="15" t="s">
        <v>3581</v>
      </c>
      <c r="D978" s="15" t="n">
        <v>3</v>
      </c>
      <c r="E978" s="15" t="s">
        <v>3582</v>
      </c>
      <c r="F978" s="15" t="n">
        <v>1</v>
      </c>
      <c r="G978" s="15" t="s">
        <v>197</v>
      </c>
      <c r="H978" s="15" t="s">
        <v>142</v>
      </c>
      <c r="I978" s="3" t="s">
        <v>6521</v>
      </c>
      <c r="J978" s="3" t="s">
        <v>6522</v>
      </c>
      <c r="K978" s="15" t="s">
        <v>145</v>
      </c>
      <c r="L978" s="16" t="s">
        <v>7</v>
      </c>
      <c r="M978" s="15" t="s">
        <v>66</v>
      </c>
      <c r="N978" s="15" t="s">
        <v>88</v>
      </c>
      <c r="O978" s="15" t="s">
        <v>88</v>
      </c>
      <c r="P978" s="15" t="s">
        <v>135</v>
      </c>
      <c r="Q978" s="15" t="s">
        <v>129</v>
      </c>
      <c r="R978" s="15" t="s">
        <v>185</v>
      </c>
      <c r="S978" s="15"/>
      <c r="T978" s="15"/>
      <c r="U978" s="3" t="s">
        <v>6523</v>
      </c>
      <c r="V978" s="3" t="s">
        <v>6524</v>
      </c>
      <c r="W978" s="3"/>
      <c r="X978" s="3" t="s">
        <v>6525</v>
      </c>
      <c r="Y978" s="15" t="n">
        <v>0</v>
      </c>
      <c r="Z978" s="15" t="n">
        <v>0</v>
      </c>
      <c r="AA978" s="15" t="n">
        <v>0</v>
      </c>
      <c r="AB978" s="15" t="n">
        <v>0</v>
      </c>
      <c r="AC978" s="15" t="n">
        <v>0</v>
      </c>
      <c r="AD978" s="15" t="n">
        <v>0</v>
      </c>
      <c r="AE978" s="15" t="n">
        <v>0</v>
      </c>
      <c r="AF978" s="15" t="n">
        <v>1</v>
      </c>
      <c r="AG978" s="15" t="n">
        <v>0</v>
      </c>
      <c r="AH978" s="15" t="n">
        <v>0</v>
      </c>
    </row>
    <row r="979" customFormat="false" ht="35.05" hidden="false" customHeight="false" outlineLevel="0" collapsed="false">
      <c r="A979" s="15" t="s">
        <v>6526</v>
      </c>
      <c r="B979" s="15" t="s">
        <v>38</v>
      </c>
      <c r="C979" s="15" t="s">
        <v>3581</v>
      </c>
      <c r="D979" s="15" t="n">
        <v>3</v>
      </c>
      <c r="E979" s="15" t="s">
        <v>3582</v>
      </c>
      <c r="F979" s="15" t="n">
        <v>2</v>
      </c>
      <c r="G979" s="15" t="s">
        <v>141</v>
      </c>
      <c r="H979" s="15" t="s">
        <v>142</v>
      </c>
      <c r="I979" s="3" t="s">
        <v>6527</v>
      </c>
      <c r="J979" s="3" t="s">
        <v>6528</v>
      </c>
      <c r="K979" s="15" t="s">
        <v>145</v>
      </c>
      <c r="L979" s="16" t="s">
        <v>7</v>
      </c>
      <c r="M979" s="15" t="s">
        <v>66</v>
      </c>
      <c r="N979" s="15" t="s">
        <v>88</v>
      </c>
      <c r="O979" s="15" t="s">
        <v>88</v>
      </c>
      <c r="P979" s="15" t="s">
        <v>135</v>
      </c>
      <c r="Q979" s="15" t="s">
        <v>129</v>
      </c>
      <c r="R979" s="15" t="s">
        <v>185</v>
      </c>
      <c r="S979" s="15"/>
      <c r="T979" s="15"/>
      <c r="U979" s="3" t="s">
        <v>6529</v>
      </c>
      <c r="V979" s="3" t="s">
        <v>6530</v>
      </c>
      <c r="W979" s="3"/>
      <c r="X979" s="3" t="s">
        <v>6531</v>
      </c>
      <c r="Y979" s="15" t="n">
        <v>0</v>
      </c>
      <c r="Z979" s="15" t="n">
        <v>0</v>
      </c>
      <c r="AA979" s="15" t="n">
        <v>0</v>
      </c>
      <c r="AB979" s="15" t="n">
        <v>0</v>
      </c>
      <c r="AC979" s="15" t="n">
        <v>0</v>
      </c>
      <c r="AD979" s="15" t="n">
        <v>0</v>
      </c>
      <c r="AE979" s="15" t="n">
        <v>0</v>
      </c>
      <c r="AF979" s="15" t="n">
        <v>1</v>
      </c>
      <c r="AG979" s="15" t="n">
        <v>0</v>
      </c>
      <c r="AH979" s="15" t="n">
        <v>0</v>
      </c>
    </row>
    <row r="980" customFormat="false" ht="35.05" hidden="false" customHeight="false" outlineLevel="0" collapsed="false">
      <c r="A980" s="15" t="s">
        <v>6532</v>
      </c>
      <c r="B980" s="15" t="s">
        <v>38</v>
      </c>
      <c r="C980" s="15" t="s">
        <v>3602</v>
      </c>
      <c r="D980" s="15" t="n">
        <v>1</v>
      </c>
      <c r="E980" s="15" t="s">
        <v>3603</v>
      </c>
      <c r="F980" s="15" t="n">
        <v>0</v>
      </c>
      <c r="G980" s="15" t="s">
        <v>129</v>
      </c>
      <c r="H980" s="15" t="s">
        <v>130</v>
      </c>
      <c r="I980" s="3" t="s">
        <v>6533</v>
      </c>
      <c r="J980" s="3" t="s">
        <v>6534</v>
      </c>
      <c r="K980" s="15" t="s">
        <v>133</v>
      </c>
      <c r="L980" s="18" t="s">
        <v>5</v>
      </c>
      <c r="M980" s="15" t="s">
        <v>426</v>
      </c>
      <c r="N980" s="15" t="s">
        <v>426</v>
      </c>
      <c r="O980" s="15"/>
      <c r="P980" s="15" t="s">
        <v>185</v>
      </c>
      <c r="Q980" s="15" t="s">
        <v>129</v>
      </c>
      <c r="R980" s="15" t="s">
        <v>185</v>
      </c>
      <c r="S980" s="15"/>
      <c r="T980" s="15"/>
      <c r="U980" s="3" t="s">
        <v>6535</v>
      </c>
      <c r="V980" s="3" t="s">
        <v>5571</v>
      </c>
      <c r="W980" s="3"/>
      <c r="X980" s="3"/>
      <c r="Y980" s="15" t="n">
        <v>0</v>
      </c>
      <c r="Z980" s="15" t="n">
        <v>0</v>
      </c>
      <c r="AA980" s="15" t="n">
        <v>0</v>
      </c>
      <c r="AB980" s="15" t="n">
        <v>0</v>
      </c>
      <c r="AC980" s="15" t="n">
        <v>0</v>
      </c>
      <c r="AD980" s="15" t="n">
        <v>0</v>
      </c>
      <c r="AE980" s="15" t="n">
        <v>0</v>
      </c>
      <c r="AF980" s="15" t="n">
        <v>0</v>
      </c>
      <c r="AG980" s="15" t="n">
        <v>0</v>
      </c>
      <c r="AH980" s="15" t="n">
        <v>0</v>
      </c>
    </row>
    <row r="981" customFormat="false" ht="35.05" hidden="false" customHeight="false" outlineLevel="0" collapsed="false">
      <c r="A981" s="15" t="s">
        <v>6536</v>
      </c>
      <c r="B981" s="15" t="s">
        <v>38</v>
      </c>
      <c r="C981" s="15" t="s">
        <v>3602</v>
      </c>
      <c r="D981" s="15" t="n">
        <v>1</v>
      </c>
      <c r="E981" s="15" t="s">
        <v>3603</v>
      </c>
      <c r="F981" s="15" t="n">
        <v>1</v>
      </c>
      <c r="G981" s="15" t="s">
        <v>197</v>
      </c>
      <c r="H981" s="15" t="s">
        <v>142</v>
      </c>
      <c r="I981" s="3" t="s">
        <v>6537</v>
      </c>
      <c r="J981" s="3" t="s">
        <v>6538</v>
      </c>
      <c r="K981" s="15" t="s">
        <v>145</v>
      </c>
      <c r="L981" s="16" t="s">
        <v>7</v>
      </c>
      <c r="M981" s="15" t="s">
        <v>68</v>
      </c>
      <c r="N981" s="15" t="s">
        <v>87</v>
      </c>
      <c r="O981" s="15" t="s">
        <v>87</v>
      </c>
      <c r="P981" s="15" t="s">
        <v>185</v>
      </c>
      <c r="Q981" s="15" t="s">
        <v>197</v>
      </c>
      <c r="R981" s="15" t="s">
        <v>135</v>
      </c>
      <c r="S981" s="15"/>
      <c r="T981" s="15"/>
      <c r="U981" s="3" t="s">
        <v>6539</v>
      </c>
      <c r="V981" s="3" t="s">
        <v>6540</v>
      </c>
      <c r="W981" s="3"/>
      <c r="X981" s="3" t="s">
        <v>6541</v>
      </c>
      <c r="Y981" s="15" t="n">
        <v>0</v>
      </c>
      <c r="Z981" s="15" t="n">
        <v>0</v>
      </c>
      <c r="AA981" s="15" t="n">
        <v>0</v>
      </c>
      <c r="AB981" s="15" t="n">
        <v>0</v>
      </c>
      <c r="AC981" s="15" t="n">
        <v>0</v>
      </c>
      <c r="AD981" s="15" t="n">
        <v>0</v>
      </c>
      <c r="AE981" s="15" t="n">
        <v>1</v>
      </c>
      <c r="AF981" s="15" t="n">
        <v>0</v>
      </c>
      <c r="AG981" s="15" t="n">
        <v>0</v>
      </c>
      <c r="AH981" s="15" t="n">
        <v>0</v>
      </c>
    </row>
    <row r="982" customFormat="false" ht="35.05" hidden="false" customHeight="false" outlineLevel="0" collapsed="false">
      <c r="A982" s="15" t="s">
        <v>6542</v>
      </c>
      <c r="B982" s="15" t="s">
        <v>38</v>
      </c>
      <c r="C982" s="15" t="s">
        <v>3602</v>
      </c>
      <c r="D982" s="15" t="n">
        <v>1</v>
      </c>
      <c r="E982" s="15" t="s">
        <v>3603</v>
      </c>
      <c r="F982" s="15" t="n">
        <v>2</v>
      </c>
      <c r="G982" s="15" t="s">
        <v>141</v>
      </c>
      <c r="H982" s="15" t="s">
        <v>142</v>
      </c>
      <c r="I982" s="3" t="s">
        <v>6543</v>
      </c>
      <c r="J982" s="3" t="s">
        <v>6544</v>
      </c>
      <c r="K982" s="15" t="s">
        <v>133</v>
      </c>
      <c r="L982" s="16" t="s">
        <v>7</v>
      </c>
      <c r="M982" s="15" t="s">
        <v>66</v>
      </c>
      <c r="N982" s="15" t="s">
        <v>88</v>
      </c>
      <c r="O982" s="15" t="s">
        <v>1790</v>
      </c>
      <c r="P982" s="15" t="s">
        <v>135</v>
      </c>
      <c r="Q982" s="15" t="s">
        <v>129</v>
      </c>
      <c r="R982" s="15" t="s">
        <v>135</v>
      </c>
      <c r="S982" s="15"/>
      <c r="T982" s="15"/>
      <c r="U982" s="3" t="s">
        <v>6545</v>
      </c>
      <c r="V982" s="3" t="s">
        <v>6546</v>
      </c>
      <c r="W982" s="3"/>
      <c r="X982" s="3" t="s">
        <v>6547</v>
      </c>
      <c r="Y982" s="15" t="n">
        <v>0</v>
      </c>
      <c r="Z982" s="15" t="n">
        <v>0</v>
      </c>
      <c r="AA982" s="15" t="n">
        <v>0</v>
      </c>
      <c r="AB982" s="15" t="n">
        <v>0</v>
      </c>
      <c r="AC982" s="15" t="n">
        <v>0</v>
      </c>
      <c r="AD982" s="15" t="n">
        <v>0</v>
      </c>
      <c r="AE982" s="15" t="n">
        <v>1</v>
      </c>
      <c r="AF982" s="15" t="n">
        <v>1</v>
      </c>
      <c r="AG982" s="15" t="n">
        <v>0</v>
      </c>
      <c r="AH982" s="15" t="n">
        <v>0</v>
      </c>
    </row>
    <row r="983" customFormat="false" ht="35.05" hidden="false" customHeight="false" outlineLevel="0" collapsed="false">
      <c r="A983" s="15" t="s">
        <v>6548</v>
      </c>
      <c r="B983" s="15" t="s">
        <v>38</v>
      </c>
      <c r="C983" s="15" t="s">
        <v>3602</v>
      </c>
      <c r="D983" s="15" t="n">
        <v>3</v>
      </c>
      <c r="E983" s="15" t="s">
        <v>3626</v>
      </c>
      <c r="F983" s="15" t="n">
        <v>0</v>
      </c>
      <c r="G983" s="15" t="s">
        <v>129</v>
      </c>
      <c r="H983" s="15" t="s">
        <v>130</v>
      </c>
      <c r="I983" s="3" t="s">
        <v>6549</v>
      </c>
      <c r="J983" s="3" t="s">
        <v>6550</v>
      </c>
      <c r="K983" s="15" t="s">
        <v>133</v>
      </c>
      <c r="L983" s="18" t="s">
        <v>5</v>
      </c>
      <c r="M983" s="15" t="s">
        <v>426</v>
      </c>
      <c r="N983" s="15" t="s">
        <v>426</v>
      </c>
      <c r="O983" s="15"/>
      <c r="P983" s="15" t="s">
        <v>185</v>
      </c>
      <c r="Q983" s="15" t="s">
        <v>129</v>
      </c>
      <c r="R983" s="15" t="s">
        <v>185</v>
      </c>
      <c r="S983" s="15"/>
      <c r="T983" s="15"/>
      <c r="U983" s="3" t="s">
        <v>6551</v>
      </c>
      <c r="V983" s="3" t="s">
        <v>6552</v>
      </c>
      <c r="W983" s="3"/>
      <c r="X983" s="3"/>
      <c r="Y983" s="15" t="n">
        <v>0</v>
      </c>
      <c r="Z983" s="15" t="n">
        <v>0</v>
      </c>
      <c r="AA983" s="15" t="n">
        <v>0</v>
      </c>
      <c r="AB983" s="15" t="n">
        <v>0</v>
      </c>
      <c r="AC983" s="15" t="n">
        <v>0</v>
      </c>
      <c r="AD983" s="15" t="n">
        <v>0</v>
      </c>
      <c r="AE983" s="15" t="n">
        <v>0</v>
      </c>
      <c r="AF983" s="15" t="n">
        <v>0</v>
      </c>
      <c r="AG983" s="15" t="n">
        <v>0</v>
      </c>
      <c r="AH983" s="15" t="n">
        <v>0</v>
      </c>
    </row>
    <row r="984" customFormat="false" ht="35.05" hidden="false" customHeight="false" outlineLevel="0" collapsed="false">
      <c r="A984" s="15" t="s">
        <v>6553</v>
      </c>
      <c r="B984" s="15" t="s">
        <v>38</v>
      </c>
      <c r="C984" s="15" t="s">
        <v>3602</v>
      </c>
      <c r="D984" s="15" t="n">
        <v>3</v>
      </c>
      <c r="E984" s="15" t="s">
        <v>3626</v>
      </c>
      <c r="F984" s="15" t="n">
        <v>1</v>
      </c>
      <c r="G984" s="15" t="s">
        <v>197</v>
      </c>
      <c r="H984" s="15" t="s">
        <v>142</v>
      </c>
      <c r="I984" s="3" t="s">
        <v>6554</v>
      </c>
      <c r="J984" s="3" t="s">
        <v>6555</v>
      </c>
      <c r="K984" s="15" t="s">
        <v>145</v>
      </c>
      <c r="L984" s="16" t="s">
        <v>7</v>
      </c>
      <c r="M984" s="15" t="s">
        <v>66</v>
      </c>
      <c r="N984" s="15" t="s">
        <v>88</v>
      </c>
      <c r="O984" s="15" t="s">
        <v>4158</v>
      </c>
      <c r="P984" s="15" t="s">
        <v>135</v>
      </c>
      <c r="Q984" s="15" t="s">
        <v>129</v>
      </c>
      <c r="R984" s="15" t="s">
        <v>135</v>
      </c>
      <c r="S984" s="15"/>
      <c r="T984" s="15"/>
      <c r="U984" s="3" t="s">
        <v>6556</v>
      </c>
      <c r="V984" s="3" t="s">
        <v>6557</v>
      </c>
      <c r="W984" s="3"/>
      <c r="X984" s="3" t="s">
        <v>6558</v>
      </c>
      <c r="Y984" s="15" t="n">
        <v>0</v>
      </c>
      <c r="Z984" s="15" t="n">
        <v>0</v>
      </c>
      <c r="AA984" s="15" t="n">
        <v>0</v>
      </c>
      <c r="AB984" s="15" t="n">
        <v>0</v>
      </c>
      <c r="AC984" s="15" t="n">
        <v>0</v>
      </c>
      <c r="AD984" s="15" t="n">
        <v>1</v>
      </c>
      <c r="AE984" s="15" t="n">
        <v>0</v>
      </c>
      <c r="AF984" s="15" t="n">
        <v>1</v>
      </c>
      <c r="AG984" s="15" t="n">
        <v>0</v>
      </c>
      <c r="AH984" s="15" t="n">
        <v>0</v>
      </c>
    </row>
    <row r="985" customFormat="false" ht="46.25" hidden="false" customHeight="false" outlineLevel="0" collapsed="false">
      <c r="A985" s="15" t="s">
        <v>6559</v>
      </c>
      <c r="B985" s="15" t="s">
        <v>38</v>
      </c>
      <c r="C985" s="15" t="s">
        <v>3602</v>
      </c>
      <c r="D985" s="15" t="n">
        <v>3</v>
      </c>
      <c r="E985" s="15" t="s">
        <v>3626</v>
      </c>
      <c r="F985" s="15" t="n">
        <v>2</v>
      </c>
      <c r="G985" s="15" t="s">
        <v>141</v>
      </c>
      <c r="H985" s="15" t="s">
        <v>142</v>
      </c>
      <c r="I985" s="3" t="s">
        <v>6560</v>
      </c>
      <c r="J985" s="3" t="s">
        <v>6561</v>
      </c>
      <c r="K985" s="15" t="s">
        <v>133</v>
      </c>
      <c r="L985" s="16" t="s">
        <v>7</v>
      </c>
      <c r="M985" s="15" t="s">
        <v>68</v>
      </c>
      <c r="N985" s="15" t="s">
        <v>82</v>
      </c>
      <c r="O985" s="15" t="s">
        <v>215</v>
      </c>
      <c r="P985" s="15" t="s">
        <v>135</v>
      </c>
      <c r="Q985" s="15" t="s">
        <v>197</v>
      </c>
      <c r="R985" s="15" t="s">
        <v>135</v>
      </c>
      <c r="S985" s="15"/>
      <c r="T985" s="15"/>
      <c r="U985" s="3" t="s">
        <v>6562</v>
      </c>
      <c r="V985" s="3" t="s">
        <v>6563</v>
      </c>
      <c r="W985" s="3"/>
      <c r="X985" s="3" t="s">
        <v>6564</v>
      </c>
      <c r="Y985" s="15" t="n">
        <v>0</v>
      </c>
      <c r="Z985" s="15" t="n">
        <v>1</v>
      </c>
      <c r="AA985" s="15" t="n">
        <v>0</v>
      </c>
      <c r="AB985" s="15" t="n">
        <v>0</v>
      </c>
      <c r="AC985" s="15" t="n">
        <v>0</v>
      </c>
      <c r="AD985" s="15" t="n">
        <v>0</v>
      </c>
      <c r="AE985" s="15" t="n">
        <v>0</v>
      </c>
      <c r="AF985" s="15" t="n">
        <v>1</v>
      </c>
      <c r="AG985" s="15" t="n">
        <v>0</v>
      </c>
      <c r="AH985" s="15" t="n">
        <v>0</v>
      </c>
    </row>
    <row r="986" customFormat="false" ht="46.25" hidden="false" customHeight="false" outlineLevel="0" collapsed="false">
      <c r="A986" s="15" t="s">
        <v>6565</v>
      </c>
      <c r="B986" s="15" t="s">
        <v>38</v>
      </c>
      <c r="C986" s="15" t="s">
        <v>3647</v>
      </c>
      <c r="D986" s="15" t="n">
        <v>14</v>
      </c>
      <c r="E986" s="15" t="s">
        <v>3648</v>
      </c>
      <c r="F986" s="15" t="n">
        <v>0</v>
      </c>
      <c r="G986" s="15" t="s">
        <v>129</v>
      </c>
      <c r="H986" s="15" t="s">
        <v>130</v>
      </c>
      <c r="I986" s="3" t="s">
        <v>6566</v>
      </c>
      <c r="J986" s="3" t="s">
        <v>6567</v>
      </c>
      <c r="K986" s="15" t="s">
        <v>133</v>
      </c>
      <c r="L986" s="18" t="s">
        <v>5</v>
      </c>
      <c r="M986" s="15" t="s">
        <v>426</v>
      </c>
      <c r="N986" s="15" t="s">
        <v>426</v>
      </c>
      <c r="O986" s="15"/>
      <c r="P986" s="15" t="s">
        <v>185</v>
      </c>
      <c r="Q986" s="15" t="s">
        <v>129</v>
      </c>
      <c r="R986" s="15" t="s">
        <v>185</v>
      </c>
      <c r="S986" s="15"/>
      <c r="T986" s="15"/>
      <c r="U986" s="3" t="s">
        <v>6568</v>
      </c>
      <c r="V986" s="3" t="s">
        <v>4268</v>
      </c>
      <c r="W986" s="3"/>
      <c r="X986" s="3"/>
      <c r="Y986" s="15" t="n">
        <v>0</v>
      </c>
      <c r="Z986" s="15" t="n">
        <v>0</v>
      </c>
      <c r="AA986" s="15" t="n">
        <v>0</v>
      </c>
      <c r="AB986" s="15" t="n">
        <v>0</v>
      </c>
      <c r="AC986" s="15" t="n">
        <v>0</v>
      </c>
      <c r="AD986" s="15" t="n">
        <v>0</v>
      </c>
      <c r="AE986" s="15" t="n">
        <v>0</v>
      </c>
      <c r="AF986" s="15" t="n">
        <v>0</v>
      </c>
      <c r="AG986" s="15" t="n">
        <v>0</v>
      </c>
      <c r="AH986" s="15" t="n">
        <v>0</v>
      </c>
    </row>
    <row r="987" customFormat="false" ht="57.45" hidden="false" customHeight="false" outlineLevel="0" collapsed="false">
      <c r="A987" s="15" t="s">
        <v>6569</v>
      </c>
      <c r="B987" s="15" t="s">
        <v>38</v>
      </c>
      <c r="C987" s="15" t="s">
        <v>3647</v>
      </c>
      <c r="D987" s="15" t="n">
        <v>14</v>
      </c>
      <c r="E987" s="15" t="s">
        <v>3648</v>
      </c>
      <c r="F987" s="15" t="n">
        <v>1</v>
      </c>
      <c r="G987" s="15" t="s">
        <v>197</v>
      </c>
      <c r="H987" s="15" t="s">
        <v>142</v>
      </c>
      <c r="I987" s="3" t="s">
        <v>6570</v>
      </c>
      <c r="J987" s="3" t="s">
        <v>6571</v>
      </c>
      <c r="K987" s="15" t="s">
        <v>133</v>
      </c>
      <c r="L987" s="16" t="s">
        <v>7</v>
      </c>
      <c r="M987" s="15" t="s">
        <v>68</v>
      </c>
      <c r="N987" s="15" t="s">
        <v>82</v>
      </c>
      <c r="O987" s="15" t="s">
        <v>215</v>
      </c>
      <c r="P987" s="15" t="s">
        <v>135</v>
      </c>
      <c r="Q987" s="15" t="s">
        <v>129</v>
      </c>
      <c r="R987" s="15" t="s">
        <v>135</v>
      </c>
      <c r="S987" s="15"/>
      <c r="T987" s="15"/>
      <c r="U987" s="3" t="s">
        <v>6572</v>
      </c>
      <c r="V987" s="3" t="s">
        <v>6573</v>
      </c>
      <c r="W987" s="3"/>
      <c r="X987" s="3" t="s">
        <v>6574</v>
      </c>
      <c r="Y987" s="15" t="n">
        <v>0</v>
      </c>
      <c r="Z987" s="15" t="n">
        <v>1</v>
      </c>
      <c r="AA987" s="15" t="n">
        <v>0</v>
      </c>
      <c r="AB987" s="15" t="n">
        <v>0</v>
      </c>
      <c r="AC987" s="15" t="n">
        <v>0</v>
      </c>
      <c r="AD987" s="15" t="n">
        <v>0</v>
      </c>
      <c r="AE987" s="15" t="n">
        <v>0</v>
      </c>
      <c r="AF987" s="15" t="n">
        <v>1</v>
      </c>
      <c r="AG987" s="15" t="n">
        <v>0</v>
      </c>
      <c r="AH987" s="15" t="n">
        <v>0</v>
      </c>
    </row>
    <row r="988" customFormat="false" ht="57.45" hidden="false" customHeight="false" outlineLevel="0" collapsed="false">
      <c r="A988" s="15" t="s">
        <v>6575</v>
      </c>
      <c r="B988" s="15" t="s">
        <v>38</v>
      </c>
      <c r="C988" s="15" t="s">
        <v>3647</v>
      </c>
      <c r="D988" s="15" t="n">
        <v>14</v>
      </c>
      <c r="E988" s="15" t="s">
        <v>3648</v>
      </c>
      <c r="F988" s="15" t="n">
        <v>2</v>
      </c>
      <c r="G988" s="15" t="s">
        <v>141</v>
      </c>
      <c r="H988" s="15" t="s">
        <v>142</v>
      </c>
      <c r="I988" s="3" t="s">
        <v>6576</v>
      </c>
      <c r="J988" s="3" t="s">
        <v>6577</v>
      </c>
      <c r="K988" s="15" t="s">
        <v>145</v>
      </c>
      <c r="L988" s="16" t="s">
        <v>7</v>
      </c>
      <c r="M988" s="15" t="s">
        <v>68</v>
      </c>
      <c r="N988" s="15" t="s">
        <v>82</v>
      </c>
      <c r="O988" s="15" t="s">
        <v>215</v>
      </c>
      <c r="P988" s="15" t="s">
        <v>135</v>
      </c>
      <c r="Q988" s="15" t="s">
        <v>152</v>
      </c>
      <c r="R988" s="15" t="s">
        <v>135</v>
      </c>
      <c r="S988" s="15"/>
      <c r="T988" s="15"/>
      <c r="U988" s="3" t="s">
        <v>6578</v>
      </c>
      <c r="V988" s="3" t="s">
        <v>6579</v>
      </c>
      <c r="W988" s="3" t="s">
        <v>6580</v>
      </c>
      <c r="X988" s="3" t="s">
        <v>6581</v>
      </c>
      <c r="Y988" s="15" t="n">
        <v>0</v>
      </c>
      <c r="Z988" s="15" t="n">
        <v>1</v>
      </c>
      <c r="AA988" s="15" t="n">
        <v>0</v>
      </c>
      <c r="AB988" s="15" t="n">
        <v>0</v>
      </c>
      <c r="AC988" s="15" t="n">
        <v>0</v>
      </c>
      <c r="AD988" s="15" t="n">
        <v>0</v>
      </c>
      <c r="AE988" s="15" t="n">
        <v>0</v>
      </c>
      <c r="AF988" s="15" t="n">
        <v>1</v>
      </c>
      <c r="AG988" s="15" t="n">
        <v>0</v>
      </c>
      <c r="AH988" s="15" t="n">
        <v>0</v>
      </c>
    </row>
  </sheetData>
  <autoFilter ref="A1:AH98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30"/>
    <col collapsed="false" customWidth="true" hidden="false" outlineLevel="0" max="17" min="4" style="0" width="9"/>
    <col collapsed="false" customWidth="true" hidden="false" outlineLevel="0" max="28" min="18" style="0" width="11"/>
  </cols>
  <sheetData>
    <row r="1" customFormat="false" ht="17.35" hidden="false" customHeight="false" outlineLevel="0" collapsed="false">
      <c r="A1" s="1" t="s">
        <v>6582</v>
      </c>
    </row>
    <row r="2" customFormat="false" ht="15" hidden="false" customHeight="false" outlineLevel="0" collapsed="false">
      <c r="A2" s="4" t="s">
        <v>6583</v>
      </c>
    </row>
    <row r="4" customFormat="false" ht="45" hidden="false" customHeight="true" outlineLevel="0" collapsed="false">
      <c r="A4" s="6" t="s">
        <v>94</v>
      </c>
      <c r="B4" s="6" t="s">
        <v>6584</v>
      </c>
      <c r="C4" s="6" t="s">
        <v>6585</v>
      </c>
      <c r="D4" s="6" t="s">
        <v>135</v>
      </c>
      <c r="E4" s="6" t="s">
        <v>5</v>
      </c>
      <c r="F4" s="6" t="s">
        <v>7</v>
      </c>
      <c r="G4" s="6" t="s">
        <v>9</v>
      </c>
      <c r="H4" s="6" t="s">
        <v>47</v>
      </c>
      <c r="I4" s="6" t="s">
        <v>13</v>
      </c>
      <c r="J4" s="6" t="s">
        <v>50</v>
      </c>
      <c r="K4" s="6" t="s">
        <v>52</v>
      </c>
      <c r="L4" s="6" t="s">
        <v>6586</v>
      </c>
      <c r="M4" s="6" t="s">
        <v>19</v>
      </c>
      <c r="N4" s="6" t="s">
        <v>66</v>
      </c>
      <c r="O4" s="6" t="s">
        <v>68</v>
      </c>
      <c r="P4" s="6" t="s">
        <v>70</v>
      </c>
      <c r="Q4" s="6" t="s">
        <v>6587</v>
      </c>
      <c r="R4" s="6" t="s">
        <v>6588</v>
      </c>
      <c r="S4" s="6" t="s">
        <v>84</v>
      </c>
      <c r="T4" s="6" t="s">
        <v>85</v>
      </c>
      <c r="U4" s="6" t="s">
        <v>83</v>
      </c>
      <c r="V4" s="6" t="s">
        <v>87</v>
      </c>
      <c r="W4" s="6" t="s">
        <v>86</v>
      </c>
      <c r="X4" s="6" t="s">
        <v>88</v>
      </c>
      <c r="Y4" s="6" t="s">
        <v>90</v>
      </c>
      <c r="Z4" s="6" t="s">
        <v>89</v>
      </c>
      <c r="AA4" s="6" t="s">
        <v>81</v>
      </c>
    </row>
    <row r="5" customFormat="false" ht="15" hidden="false" customHeight="false" outlineLevel="0" collapsed="false">
      <c r="A5" s="19" t="s">
        <v>37</v>
      </c>
      <c r="B5" s="19" t="s">
        <v>100</v>
      </c>
      <c r="C5" s="19" t="s">
        <v>130</v>
      </c>
      <c r="D5" s="19" t="n">
        <f aca="false">COUNTIFS(QA_Detail!$B$2:$B$988,"InternVL",QA_Detail!$H$2:$H$988,"Text")</f>
        <v>149</v>
      </c>
      <c r="E5" s="19" t="n">
        <f aca="false">COUNTIFS(QA_Detail!$B$2:$B$988,"InternVL",QA_Detail!$H$2:$H$988,"Text",QA_Detail!$L$2:$L$988,"PASS")</f>
        <v>15</v>
      </c>
      <c r="F5" s="19" t="n">
        <f aca="false">COUNTIFS(QA_Detail!$B$2:$B$988,"InternVL",QA_Detail!$H$2:$H$988,"Text",QA_Detail!$L$2:$L$988,"REVISE")</f>
        <v>119</v>
      </c>
      <c r="G5" s="19" t="n">
        <f aca="false">COUNTIFS(QA_Detail!$B$2:$B$988,"InternVL",QA_Detail!$H$2:$H$988,"Text",QA_Detail!$L$2:$L$988,"DISCARD")</f>
        <v>15</v>
      </c>
      <c r="H5" s="19" t="n">
        <f aca="false">COUNTIFS(QA_Detail!$B$2:$B$988,"InternVL",QA_Detail!$H$2:$H$988,"Text",QA_Detail!$R$2:$R$988,"Y")</f>
        <v>27</v>
      </c>
      <c r="I5" s="20" t="n">
        <f aca="false">IFERROR(H5/D5,"-")</f>
        <v>0.181208053691275</v>
      </c>
      <c r="J5" s="20" t="n">
        <f aca="false">IFERROR(F5/D5,"-")</f>
        <v>0.798657718120805</v>
      </c>
      <c r="K5" s="20" t="n">
        <f aca="false">IFERROR(G5/D5,"-")</f>
        <v>0.100671140939597</v>
      </c>
      <c r="L5" s="20" t="n">
        <f aca="false">IFERROR(E5/D5,"-")</f>
        <v>0.100671140939597</v>
      </c>
      <c r="M5" s="20" t="n">
        <f aca="false">IFERROR((F5+G5)/D5,"-")</f>
        <v>0.899328859060403</v>
      </c>
      <c r="N5" s="19" t="n">
        <f aca="false">COUNTIFS(QA_Detail!$B$2:$B$988,"InternVL",QA_Detail!$H$2:$H$988,"Text",QA_Detail!$M$2:$M$988,"Minor")</f>
        <v>31</v>
      </c>
      <c r="O5" s="19" t="n">
        <f aca="false">COUNTIFS(QA_Detail!$B$2:$B$988,"InternVL",QA_Detail!$H$2:$H$988,"Text",QA_Detail!$M$2:$M$988,"Major")</f>
        <v>88</v>
      </c>
      <c r="P5" s="19" t="n">
        <f aca="false">COUNTIFS(QA_Detail!$B$2:$B$988,"InternVL",QA_Detail!$H$2:$H$988,"Text",QA_Detail!$M$2:$M$988,"Critical")</f>
        <v>15</v>
      </c>
      <c r="Q5" s="20" t="n">
        <f aca="false">IFERROR(COUNTIFS(QA_Detail!$B$2:$B$988,"InternVL",QA_Detail!$H$2:$H$988,"Text",QA_Detail!$P$2:$P$988,"Y")/D5,"-")</f>
        <v>0.684563758389262</v>
      </c>
      <c r="R5" s="19" t="n">
        <f aca="false">COUNTIFS(QA_Detail!$B$2:$B$988,"InternVL",QA_Detail!$H$2:$H$988,"Text",QA_Detail!$N$2:$N$988,"Factual/Numerical")</f>
        <v>65</v>
      </c>
      <c r="S5" s="19" t="n">
        <f aca="false">COUNTIFS(QA_Detail!$B$2:$B$988,"InternVL",QA_Detail!$H$2:$H$988,"Text",QA_Detail!$N$2:$N$988,"Reasoning")</f>
        <v>17</v>
      </c>
      <c r="T5" s="19" t="n">
        <f aca="false">COUNTIFS(QA_Detail!$B$2:$B$988,"InternVL",QA_Detail!$H$2:$H$988,"Text",QA_Detail!$N$2:$N$988,"Temporal")</f>
        <v>11</v>
      </c>
      <c r="U5" s="19" t="n">
        <f aca="false">COUNTIFS(QA_Detail!$B$2:$B$988,"InternVL",QA_Detail!$H$2:$H$988,"Text",QA_Detail!$N$2:$N$988,"Calculation")</f>
        <v>1</v>
      </c>
      <c r="V5" s="19" t="n">
        <f aca="false">COUNTIFS(QA_Detail!$B$2:$B$988,"InternVL",QA_Detail!$H$2:$H$988,"Text",QA_Detail!$N$2:$N$988,"Incomplete")</f>
        <v>3</v>
      </c>
      <c r="W5" s="19" t="n">
        <f aca="false">COUNTIFS(QA_Detail!$B$2:$B$988,"InternVL",QA_Detail!$H$2:$H$988,"Text",QA_Detail!$N$2:$N$988,"Unit")</f>
        <v>1</v>
      </c>
      <c r="X5" s="19" t="n">
        <f aca="false">COUNTIFS(QA_Detail!$B$2:$B$988,"InternVL",QA_Detail!$H$2:$H$988,"Text",QA_Detail!$N$2:$N$988,"Instruction-following")</f>
        <v>1</v>
      </c>
      <c r="Y5" s="19" t="n">
        <f aca="false">COUNTIFS(QA_Detail!$B$2:$B$988,"InternVL",QA_Detail!$H$2:$H$988,"Text",QA_Detail!$N$2:$N$988,"Typo/Grammar")</f>
        <v>18</v>
      </c>
      <c r="Z5" s="19" t="n">
        <f aca="false">COUNTIFS(QA_Detail!$B$2:$B$988,"InternVL",QA_Detail!$H$2:$H$988,"Text",QA_Detail!$N$2:$N$988,"Format")</f>
        <v>2</v>
      </c>
      <c r="AA5" s="19" t="n">
        <f aca="false">COUNTIFS(QA_Detail!$B$2:$B$988,"InternVL",QA_Detail!$H$2:$H$988,"Text",QA_Detail!$N$2:$N$988,"Hallucination")</f>
        <v>15</v>
      </c>
    </row>
    <row r="6" customFormat="false" ht="15" hidden="false" customHeight="false" outlineLevel="0" collapsed="false">
      <c r="A6" s="19" t="s">
        <v>37</v>
      </c>
      <c r="B6" s="19" t="s">
        <v>100</v>
      </c>
      <c r="C6" s="19" t="s">
        <v>142</v>
      </c>
      <c r="D6" s="19" t="n">
        <f aca="false">COUNTIFS(QA_Detail!$B$2:$B$988,"InternVL",QA_Detail!$H$2:$H$988,"Chart")</f>
        <v>307</v>
      </c>
      <c r="E6" s="19" t="n">
        <f aca="false">COUNTIFS(QA_Detail!$B$2:$B$988,"InternVL",QA_Detail!$H$2:$H$988,"Chart",QA_Detail!$L$2:$L$988,"PASS")</f>
        <v>3</v>
      </c>
      <c r="F6" s="19" t="n">
        <f aca="false">COUNTIFS(QA_Detail!$B$2:$B$988,"InternVL",QA_Detail!$H$2:$H$988,"Chart",QA_Detail!$L$2:$L$988,"REVISE")</f>
        <v>269</v>
      </c>
      <c r="G6" s="19" t="n">
        <f aca="false">COUNTIFS(QA_Detail!$B$2:$B$988,"InternVL",QA_Detail!$H$2:$H$988,"Chart",QA_Detail!$L$2:$L$988,"DISCARD")</f>
        <v>35</v>
      </c>
      <c r="H6" s="19" t="n">
        <f aca="false">COUNTIFS(QA_Detail!$B$2:$B$988,"InternVL",QA_Detail!$H$2:$H$988,"Chart",QA_Detail!$R$2:$R$988,"Y")</f>
        <v>30</v>
      </c>
      <c r="I6" s="20" t="n">
        <f aca="false">IFERROR(H6/D6,"-")</f>
        <v>0.0977198697068404</v>
      </c>
      <c r="J6" s="20" t="n">
        <f aca="false">IFERROR(F6/D6,"-")</f>
        <v>0.876221498371335</v>
      </c>
      <c r="K6" s="20" t="n">
        <f aca="false">IFERROR(G6/D6,"-")</f>
        <v>0.11400651465798</v>
      </c>
      <c r="L6" s="20" t="n">
        <f aca="false">IFERROR(E6/D6,"-")</f>
        <v>0.00977198697068404</v>
      </c>
      <c r="M6" s="20" t="n">
        <f aca="false">IFERROR((F6+G6)/D6,"-")</f>
        <v>0.990228013029316</v>
      </c>
      <c r="N6" s="19" t="n">
        <f aca="false">COUNTIFS(QA_Detail!$B$2:$B$988,"InternVL",QA_Detail!$H$2:$H$988,"Chart",QA_Detail!$M$2:$M$988,"Minor")</f>
        <v>68</v>
      </c>
      <c r="O6" s="19" t="n">
        <f aca="false">COUNTIFS(QA_Detail!$B$2:$B$988,"InternVL",QA_Detail!$H$2:$H$988,"Chart",QA_Detail!$M$2:$M$988,"Major")</f>
        <v>201</v>
      </c>
      <c r="P6" s="19" t="n">
        <f aca="false">COUNTIFS(QA_Detail!$B$2:$B$988,"InternVL",QA_Detail!$H$2:$H$988,"Chart",QA_Detail!$M$2:$M$988,"Critical")</f>
        <v>35</v>
      </c>
      <c r="Q6" s="20" t="n">
        <f aca="false">IFERROR(COUNTIFS(QA_Detail!$B$2:$B$988,"InternVL",QA_Detail!$H$2:$H$988,"Chart",QA_Detail!$P$2:$P$988,"Y")/D6,"-")</f>
        <v>0.166123778501629</v>
      </c>
      <c r="R6" s="19" t="n">
        <f aca="false">COUNTIFS(QA_Detail!$B$2:$B$988,"InternVL",QA_Detail!$H$2:$H$988,"Chart",QA_Detail!$N$2:$N$988,"Factual/Numerical")</f>
        <v>148</v>
      </c>
      <c r="S6" s="19" t="n">
        <f aca="false">COUNTIFS(QA_Detail!$B$2:$B$988,"InternVL",QA_Detail!$H$2:$H$988,"Chart",QA_Detail!$N$2:$N$988,"Reasoning")</f>
        <v>27</v>
      </c>
      <c r="T6" s="19" t="n">
        <f aca="false">COUNTIFS(QA_Detail!$B$2:$B$988,"InternVL",QA_Detail!$H$2:$H$988,"Chart",QA_Detail!$N$2:$N$988,"Temporal")</f>
        <v>24</v>
      </c>
      <c r="U6" s="19" t="n">
        <f aca="false">COUNTIFS(QA_Detail!$B$2:$B$988,"InternVL",QA_Detail!$H$2:$H$988,"Chart",QA_Detail!$N$2:$N$988,"Calculation")</f>
        <v>6</v>
      </c>
      <c r="V6" s="19" t="n">
        <f aca="false">COUNTIFS(QA_Detail!$B$2:$B$988,"InternVL",QA_Detail!$H$2:$H$988,"Chart",QA_Detail!$N$2:$N$988,"Incomplete")</f>
        <v>8</v>
      </c>
      <c r="W6" s="19" t="n">
        <f aca="false">COUNTIFS(QA_Detail!$B$2:$B$988,"InternVL",QA_Detail!$H$2:$H$988,"Chart",QA_Detail!$N$2:$N$988,"Unit")</f>
        <v>3</v>
      </c>
      <c r="X6" s="19" t="n">
        <f aca="false">COUNTIFS(QA_Detail!$B$2:$B$988,"InternVL",QA_Detail!$H$2:$H$988,"Chart",QA_Detail!$N$2:$N$988,"Instruction-following")</f>
        <v>35</v>
      </c>
      <c r="Y6" s="19" t="n">
        <f aca="false">COUNTIFS(QA_Detail!$B$2:$B$988,"InternVL",QA_Detail!$H$2:$H$988,"Chart",QA_Detail!$N$2:$N$988,"Typo/Grammar")</f>
        <v>15</v>
      </c>
      <c r="Z6" s="19" t="n">
        <f aca="false">COUNTIFS(QA_Detail!$B$2:$B$988,"InternVL",QA_Detail!$H$2:$H$988,"Chart",QA_Detail!$N$2:$N$988,"Format")</f>
        <v>3</v>
      </c>
      <c r="AA6" s="19" t="n">
        <f aca="false">COUNTIFS(QA_Detail!$B$2:$B$988,"InternVL",QA_Detail!$H$2:$H$988,"Chart",QA_Detail!$N$2:$N$988,"Hallucination")</f>
        <v>35</v>
      </c>
    </row>
    <row r="7" customFormat="false" ht="15" hidden="false" customHeight="false" outlineLevel="0" collapsed="false">
      <c r="A7" s="19" t="s">
        <v>37</v>
      </c>
      <c r="B7" s="19" t="s">
        <v>100</v>
      </c>
      <c r="C7" s="19" t="s">
        <v>308</v>
      </c>
      <c r="D7" s="19" t="n">
        <f aca="false">COUNTIFS(QA_Detail!$B$2:$B$988,"InternVL",QA_Detail!$H$2:$H$988,"Table")</f>
        <v>39</v>
      </c>
      <c r="E7" s="19" t="n">
        <f aca="false">COUNTIFS(QA_Detail!$B$2:$B$988,"InternVL",QA_Detail!$H$2:$H$988,"Table",QA_Detail!$L$2:$L$988,"PASS")</f>
        <v>0</v>
      </c>
      <c r="F7" s="19" t="n">
        <f aca="false">COUNTIFS(QA_Detail!$B$2:$B$988,"InternVL",QA_Detail!$H$2:$H$988,"Table",QA_Detail!$L$2:$L$988,"REVISE")</f>
        <v>35</v>
      </c>
      <c r="G7" s="19" t="n">
        <f aca="false">COUNTIFS(QA_Detail!$B$2:$B$988,"InternVL",QA_Detail!$H$2:$H$988,"Table",QA_Detail!$L$2:$L$988,"DISCARD")</f>
        <v>4</v>
      </c>
      <c r="H7" s="19" t="n">
        <f aca="false">COUNTIFS(QA_Detail!$B$2:$B$988,"InternVL",QA_Detail!$H$2:$H$988,"Table",QA_Detail!$R$2:$R$988,"Y")</f>
        <v>7</v>
      </c>
      <c r="I7" s="20" t="n">
        <f aca="false">IFERROR(H7/D7,"-")</f>
        <v>0.17948717948718</v>
      </c>
      <c r="J7" s="20" t="n">
        <f aca="false">IFERROR(F7/D7,"-")</f>
        <v>0.897435897435898</v>
      </c>
      <c r="K7" s="20" t="n">
        <f aca="false">IFERROR(G7/D7,"-")</f>
        <v>0.102564102564103</v>
      </c>
      <c r="L7" s="20" t="n">
        <f aca="false">IFERROR(E7/D7,"-")</f>
        <v>0</v>
      </c>
      <c r="M7" s="20" t="n">
        <f aca="false">IFERROR((F7+G7)/D7,"-")</f>
        <v>1</v>
      </c>
      <c r="N7" s="19" t="n">
        <f aca="false">COUNTIFS(QA_Detail!$B$2:$B$988,"InternVL",QA_Detail!$H$2:$H$988,"Table",QA_Detail!$M$2:$M$988,"Minor")</f>
        <v>9</v>
      </c>
      <c r="O7" s="19" t="n">
        <f aca="false">COUNTIFS(QA_Detail!$B$2:$B$988,"InternVL",QA_Detail!$H$2:$H$988,"Table",QA_Detail!$M$2:$M$988,"Major")</f>
        <v>26</v>
      </c>
      <c r="P7" s="19" t="n">
        <f aca="false">COUNTIFS(QA_Detail!$B$2:$B$988,"InternVL",QA_Detail!$H$2:$H$988,"Table",QA_Detail!$M$2:$M$988,"Critical")</f>
        <v>4</v>
      </c>
      <c r="Q7" s="20" t="n">
        <f aca="false">IFERROR(COUNTIFS(QA_Detail!$B$2:$B$988,"InternVL",QA_Detail!$H$2:$H$988,"Table",QA_Detail!$P$2:$P$988,"Y")/D7,"-")</f>
        <v>0.435897435897436</v>
      </c>
      <c r="R7" s="19" t="n">
        <f aca="false">COUNTIFS(QA_Detail!$B$2:$B$988,"InternVL",QA_Detail!$H$2:$H$988,"Table",QA_Detail!$N$2:$N$988,"Factual/Numerical")</f>
        <v>21</v>
      </c>
      <c r="S7" s="19" t="n">
        <f aca="false">COUNTIFS(QA_Detail!$B$2:$B$988,"InternVL",QA_Detail!$H$2:$H$988,"Table",QA_Detail!$N$2:$N$988,"Reasoning")</f>
        <v>2</v>
      </c>
      <c r="T7" s="19" t="n">
        <f aca="false">COUNTIFS(QA_Detail!$B$2:$B$988,"InternVL",QA_Detail!$H$2:$H$988,"Table",QA_Detail!$N$2:$N$988,"Temporal")</f>
        <v>2</v>
      </c>
      <c r="U7" s="19" t="n">
        <f aca="false">COUNTIFS(QA_Detail!$B$2:$B$988,"InternVL",QA_Detail!$H$2:$H$988,"Table",QA_Detail!$N$2:$N$988,"Calculation")</f>
        <v>1</v>
      </c>
      <c r="V7" s="19" t="n">
        <f aca="false">COUNTIFS(QA_Detail!$B$2:$B$988,"InternVL",QA_Detail!$H$2:$H$988,"Table",QA_Detail!$N$2:$N$988,"Incomplete")</f>
        <v>0</v>
      </c>
      <c r="W7" s="19" t="n">
        <f aca="false">COUNTIFS(QA_Detail!$B$2:$B$988,"InternVL",QA_Detail!$H$2:$H$988,"Table",QA_Detail!$N$2:$N$988,"Unit")</f>
        <v>0</v>
      </c>
      <c r="X7" s="19" t="n">
        <f aca="false">COUNTIFS(QA_Detail!$B$2:$B$988,"InternVL",QA_Detail!$H$2:$H$988,"Table",QA_Detail!$N$2:$N$988,"Instruction-following")</f>
        <v>5</v>
      </c>
      <c r="Y7" s="19" t="n">
        <f aca="false">COUNTIFS(QA_Detail!$B$2:$B$988,"InternVL",QA_Detail!$H$2:$H$988,"Table",QA_Detail!$N$2:$N$988,"Typo/Grammar")</f>
        <v>3</v>
      </c>
      <c r="Z7" s="19" t="n">
        <f aca="false">COUNTIFS(QA_Detail!$B$2:$B$988,"InternVL",QA_Detail!$H$2:$H$988,"Table",QA_Detail!$N$2:$N$988,"Format")</f>
        <v>1</v>
      </c>
      <c r="AA7" s="19" t="n">
        <f aca="false">COUNTIFS(QA_Detail!$B$2:$B$988,"InternVL",QA_Detail!$H$2:$H$988,"Table",QA_Detail!$N$2:$N$988,"Hallucination")</f>
        <v>4</v>
      </c>
    </row>
    <row r="8" customFormat="false" ht="15" hidden="false" customHeight="false" outlineLevel="0" collapsed="false">
      <c r="A8" s="7" t="s">
        <v>37</v>
      </c>
      <c r="B8" s="7" t="s">
        <v>6589</v>
      </c>
      <c r="C8" s="7" t="s">
        <v>129</v>
      </c>
      <c r="D8" s="7" t="n">
        <f aca="false">COUNTIFS(QA_Detail!$B$2:$B$988,"InternVL",QA_Detail!$G$2:$G$988,"Text-Text Inference")</f>
        <v>149</v>
      </c>
      <c r="E8" s="7" t="n">
        <f aca="false">COUNTIFS(QA_Detail!$B$2:$B$988,"InternVL",QA_Detail!$G$2:$G$988,"Text-Text Inference",QA_Detail!$L$2:$L$988,"PASS")</f>
        <v>15</v>
      </c>
      <c r="F8" s="7" t="n">
        <f aca="false">COUNTIFS(QA_Detail!$B$2:$B$988,"InternVL",QA_Detail!$G$2:$G$988,"Text-Text Inference",QA_Detail!$L$2:$L$988,"REVISE")</f>
        <v>119</v>
      </c>
      <c r="G8" s="7" t="n">
        <f aca="false">COUNTIFS(QA_Detail!$B$2:$B$988,"InternVL",QA_Detail!$G$2:$G$988,"Text-Text Inference",QA_Detail!$L$2:$L$988,"DISCARD")</f>
        <v>15</v>
      </c>
      <c r="H8" s="7" t="n">
        <f aca="false">COUNTIFS(QA_Detail!$B$2:$B$988,"InternVL",QA_Detail!$G$2:$G$988,"Text-Text Inference",QA_Detail!$R$2:$R$988,"Y")</f>
        <v>27</v>
      </c>
      <c r="I8" s="11" t="n">
        <f aca="false">IFERROR(H8/D8,"-")</f>
        <v>0.181208053691275</v>
      </c>
      <c r="J8" s="11" t="n">
        <f aca="false">IFERROR(F8/D8,"-")</f>
        <v>0.798657718120805</v>
      </c>
      <c r="K8" s="11" t="n">
        <f aca="false">IFERROR(G8/D8,"-")</f>
        <v>0.100671140939597</v>
      </c>
      <c r="L8" s="11" t="n">
        <f aca="false">IFERROR(E8/D8,"-")</f>
        <v>0.100671140939597</v>
      </c>
      <c r="M8" s="11" t="n">
        <f aca="false">IFERROR((F8+G8)/D8,"-")</f>
        <v>0.899328859060403</v>
      </c>
      <c r="N8" s="7" t="n">
        <f aca="false">COUNTIFS(QA_Detail!$B$2:$B$988,"InternVL",QA_Detail!$G$2:$G$988,"Text-Text Inference",QA_Detail!$M$2:$M$988,"Minor")</f>
        <v>31</v>
      </c>
      <c r="O8" s="7" t="n">
        <f aca="false">COUNTIFS(QA_Detail!$B$2:$B$988,"InternVL",QA_Detail!$G$2:$G$988,"Text-Text Inference",QA_Detail!$M$2:$M$988,"Major")</f>
        <v>88</v>
      </c>
      <c r="P8" s="7" t="n">
        <f aca="false">COUNTIFS(QA_Detail!$B$2:$B$988,"InternVL",QA_Detail!$G$2:$G$988,"Text-Text Inference",QA_Detail!$M$2:$M$988,"Critical")</f>
        <v>15</v>
      </c>
      <c r="Q8" s="11" t="n">
        <f aca="false">IFERROR(COUNTIFS(QA_Detail!$B$2:$B$988,"InternVL",QA_Detail!$G$2:$G$988,"Text-Text Inference",QA_Detail!$P$2:$P$988,"Y")/D8,"-")</f>
        <v>0.684563758389262</v>
      </c>
      <c r="R8" s="7" t="n">
        <f aca="false">COUNTIFS(QA_Detail!$B$2:$B$988,"InternVL",QA_Detail!$G$2:$G$988,"Text-Text Inference",QA_Detail!$N$2:$N$988,"Factual/Numerical")</f>
        <v>65</v>
      </c>
      <c r="S8" s="7" t="n">
        <f aca="false">COUNTIFS(QA_Detail!$B$2:$B$988,"InternVL",QA_Detail!$G$2:$G$988,"Text-Text Inference",QA_Detail!$N$2:$N$988,"Reasoning")</f>
        <v>17</v>
      </c>
      <c r="T8" s="7" t="n">
        <f aca="false">COUNTIFS(QA_Detail!$B$2:$B$988,"InternVL",QA_Detail!$G$2:$G$988,"Text-Text Inference",QA_Detail!$N$2:$N$988,"Temporal")</f>
        <v>11</v>
      </c>
      <c r="U8" s="7" t="n">
        <f aca="false">COUNTIFS(QA_Detail!$B$2:$B$988,"InternVL",QA_Detail!$G$2:$G$988,"Text-Text Inference",QA_Detail!$N$2:$N$988,"Calculation")</f>
        <v>1</v>
      </c>
      <c r="V8" s="7" t="n">
        <f aca="false">COUNTIFS(QA_Detail!$B$2:$B$988,"InternVL",QA_Detail!$G$2:$G$988,"Text-Text Inference",QA_Detail!$N$2:$N$988,"Incomplete")</f>
        <v>3</v>
      </c>
      <c r="W8" s="7" t="n">
        <f aca="false">COUNTIFS(QA_Detail!$B$2:$B$988,"InternVL",QA_Detail!$G$2:$G$988,"Text-Text Inference",QA_Detail!$N$2:$N$988,"Unit")</f>
        <v>1</v>
      </c>
      <c r="X8" s="7" t="n">
        <f aca="false">COUNTIFS(QA_Detail!$B$2:$B$988,"InternVL",QA_Detail!$G$2:$G$988,"Text-Text Inference",QA_Detail!$N$2:$N$988,"Instruction-following")</f>
        <v>1</v>
      </c>
      <c r="Y8" s="7" t="n">
        <f aca="false">COUNTIFS(QA_Detail!$B$2:$B$988,"InternVL",QA_Detail!$G$2:$G$988,"Text-Text Inference",QA_Detail!$N$2:$N$988,"Typo/Grammar")</f>
        <v>18</v>
      </c>
      <c r="Z8" s="7" t="n">
        <f aca="false">COUNTIFS(QA_Detail!$B$2:$B$988,"InternVL",QA_Detail!$G$2:$G$988,"Text-Text Inference",QA_Detail!$N$2:$N$988,"Format")</f>
        <v>2</v>
      </c>
      <c r="AA8" s="7" t="n">
        <f aca="false">COUNTIFS(QA_Detail!$B$2:$B$988,"InternVL",QA_Detail!$G$2:$G$988,"Text-Text Inference",QA_Detail!$N$2:$N$988,"Hallucination")</f>
        <v>15</v>
      </c>
    </row>
    <row r="9" customFormat="false" ht="15" hidden="false" customHeight="false" outlineLevel="0" collapsed="false">
      <c r="A9" s="7" t="s">
        <v>37</v>
      </c>
      <c r="B9" s="7" t="s">
        <v>6589</v>
      </c>
      <c r="C9" s="7" t="s">
        <v>197</v>
      </c>
      <c r="D9" s="7" t="n">
        <f aca="false">COUNTIFS(QA_Detail!$B$2:$B$988,"InternVL",QA_Detail!$G$2:$G$988,"Chart-Information Extraction")</f>
        <v>113</v>
      </c>
      <c r="E9" s="7" t="n">
        <f aca="false">COUNTIFS(QA_Detail!$B$2:$B$988,"InternVL",QA_Detail!$G$2:$G$988,"Chart-Information Extraction",QA_Detail!$L$2:$L$988,"PASS")</f>
        <v>2</v>
      </c>
      <c r="F9" s="7" t="n">
        <f aca="false">COUNTIFS(QA_Detail!$B$2:$B$988,"InternVL",QA_Detail!$G$2:$G$988,"Chart-Information Extraction",QA_Detail!$L$2:$L$988,"REVISE")</f>
        <v>94</v>
      </c>
      <c r="G9" s="7" t="n">
        <f aca="false">COUNTIFS(QA_Detail!$B$2:$B$988,"InternVL",QA_Detail!$G$2:$G$988,"Chart-Information Extraction",QA_Detail!$L$2:$L$988,"DISCARD")</f>
        <v>17</v>
      </c>
      <c r="H9" s="7" t="n">
        <f aca="false">COUNTIFS(QA_Detail!$B$2:$B$988,"InternVL",QA_Detail!$G$2:$G$988,"Chart-Information Extraction",QA_Detail!$R$2:$R$988,"Y")</f>
        <v>13</v>
      </c>
      <c r="I9" s="11" t="n">
        <f aca="false">IFERROR(H9/D9,"-")</f>
        <v>0.115044247787611</v>
      </c>
      <c r="J9" s="11" t="n">
        <f aca="false">IFERROR(F9/D9,"-")</f>
        <v>0.831858407079646</v>
      </c>
      <c r="K9" s="11" t="n">
        <f aca="false">IFERROR(G9/D9,"-")</f>
        <v>0.150442477876106</v>
      </c>
      <c r="L9" s="11" t="n">
        <f aca="false">IFERROR(E9/D9,"-")</f>
        <v>0.0176991150442478</v>
      </c>
      <c r="M9" s="11" t="n">
        <f aca="false">IFERROR((F9+G9)/D9,"-")</f>
        <v>0.982300884955752</v>
      </c>
      <c r="N9" s="7" t="n">
        <f aca="false">COUNTIFS(QA_Detail!$B$2:$B$988,"InternVL",QA_Detail!$G$2:$G$988,"Chart-Information Extraction",QA_Detail!$M$2:$M$988,"Minor")</f>
        <v>27</v>
      </c>
      <c r="O9" s="7" t="n">
        <f aca="false">COUNTIFS(QA_Detail!$B$2:$B$988,"InternVL",QA_Detail!$G$2:$G$988,"Chart-Information Extraction",QA_Detail!$M$2:$M$988,"Major")</f>
        <v>67</v>
      </c>
      <c r="P9" s="7" t="n">
        <f aca="false">COUNTIFS(QA_Detail!$B$2:$B$988,"InternVL",QA_Detail!$G$2:$G$988,"Chart-Information Extraction",QA_Detail!$M$2:$M$988,"Critical")</f>
        <v>17</v>
      </c>
      <c r="Q9" s="11" t="n">
        <f aca="false">IFERROR(COUNTIFS(QA_Detail!$B$2:$B$988,"InternVL",QA_Detail!$G$2:$G$988,"Chart-Information Extraction",QA_Detail!$P$2:$P$988,"Y")/D9,"-")</f>
        <v>0.212389380530973</v>
      </c>
      <c r="R9" s="7" t="n">
        <f aca="false">COUNTIFS(QA_Detail!$B$2:$B$988,"InternVL",QA_Detail!$G$2:$G$988,"Chart-Information Extraction",QA_Detail!$N$2:$N$988,"Factual/Numerical")</f>
        <v>53</v>
      </c>
      <c r="S9" s="7" t="n">
        <f aca="false">COUNTIFS(QA_Detail!$B$2:$B$988,"InternVL",QA_Detail!$G$2:$G$988,"Chart-Information Extraction",QA_Detail!$N$2:$N$988,"Reasoning")</f>
        <v>8</v>
      </c>
      <c r="T9" s="7" t="n">
        <f aca="false">COUNTIFS(QA_Detail!$B$2:$B$988,"InternVL",QA_Detail!$G$2:$G$988,"Chart-Information Extraction",QA_Detail!$N$2:$N$988,"Temporal")</f>
        <v>4</v>
      </c>
      <c r="U9" s="7" t="n">
        <f aca="false">COUNTIFS(QA_Detail!$B$2:$B$988,"InternVL",QA_Detail!$G$2:$G$988,"Chart-Information Extraction",QA_Detail!$N$2:$N$988,"Calculation")</f>
        <v>1</v>
      </c>
      <c r="V9" s="7" t="n">
        <f aca="false">COUNTIFS(QA_Detail!$B$2:$B$988,"InternVL",QA_Detail!$G$2:$G$988,"Chart-Information Extraction",QA_Detail!$N$2:$N$988,"Incomplete")</f>
        <v>5</v>
      </c>
      <c r="W9" s="7" t="n">
        <f aca="false">COUNTIFS(QA_Detail!$B$2:$B$988,"InternVL",QA_Detail!$G$2:$G$988,"Chart-Information Extraction",QA_Detail!$N$2:$N$988,"Unit")</f>
        <v>1</v>
      </c>
      <c r="X9" s="7" t="n">
        <f aca="false">COUNTIFS(QA_Detail!$B$2:$B$988,"InternVL",QA_Detail!$G$2:$G$988,"Chart-Information Extraction",QA_Detail!$N$2:$N$988,"Instruction-following")</f>
        <v>13</v>
      </c>
      <c r="Y9" s="7" t="n">
        <f aca="false">COUNTIFS(QA_Detail!$B$2:$B$988,"InternVL",QA_Detail!$G$2:$G$988,"Chart-Information Extraction",QA_Detail!$N$2:$N$988,"Typo/Grammar")</f>
        <v>6</v>
      </c>
      <c r="Z9" s="7" t="n">
        <f aca="false">COUNTIFS(QA_Detail!$B$2:$B$988,"InternVL",QA_Detail!$G$2:$G$988,"Chart-Information Extraction",QA_Detail!$N$2:$N$988,"Format")</f>
        <v>3</v>
      </c>
      <c r="AA9" s="7" t="n">
        <f aca="false">COUNTIFS(QA_Detail!$B$2:$B$988,"InternVL",QA_Detail!$G$2:$G$988,"Chart-Information Extraction",QA_Detail!$N$2:$N$988,"Hallucination")</f>
        <v>17</v>
      </c>
    </row>
    <row r="10" customFormat="false" ht="15" hidden="false" customHeight="false" outlineLevel="0" collapsed="false">
      <c r="A10" s="7" t="s">
        <v>37</v>
      </c>
      <c r="B10" s="7" t="s">
        <v>6589</v>
      </c>
      <c r="C10" s="7" t="s">
        <v>141</v>
      </c>
      <c r="D10" s="7" t="n">
        <f aca="false">COUNTIFS(QA_Detail!$B$2:$B$988,"InternVL",QA_Detail!$G$2:$G$988,"Chart-Numerical Calculation")</f>
        <v>128</v>
      </c>
      <c r="E10" s="7" t="n">
        <f aca="false">COUNTIFS(QA_Detail!$B$2:$B$988,"InternVL",QA_Detail!$G$2:$G$988,"Chart-Numerical Calculation",QA_Detail!$L$2:$L$988,"PASS")</f>
        <v>0</v>
      </c>
      <c r="F10" s="7" t="n">
        <f aca="false">COUNTIFS(QA_Detail!$B$2:$B$988,"InternVL",QA_Detail!$G$2:$G$988,"Chart-Numerical Calculation",QA_Detail!$L$2:$L$988,"REVISE")</f>
        <v>118</v>
      </c>
      <c r="G10" s="7" t="n">
        <f aca="false">COUNTIFS(QA_Detail!$B$2:$B$988,"InternVL",QA_Detail!$G$2:$G$988,"Chart-Numerical Calculation",QA_Detail!$L$2:$L$988,"DISCARD")</f>
        <v>10</v>
      </c>
      <c r="H10" s="7" t="n">
        <f aca="false">COUNTIFS(QA_Detail!$B$2:$B$988,"InternVL",QA_Detail!$G$2:$G$988,"Chart-Numerical Calculation",QA_Detail!$R$2:$R$988,"Y")</f>
        <v>15</v>
      </c>
      <c r="I10" s="11" t="n">
        <f aca="false">IFERROR(H10/D10,"-")</f>
        <v>0.1171875</v>
      </c>
      <c r="J10" s="11" t="n">
        <f aca="false">IFERROR(F10/D10,"-")</f>
        <v>0.921875</v>
      </c>
      <c r="K10" s="11" t="n">
        <f aca="false">IFERROR(G10/D10,"-")</f>
        <v>0.078125</v>
      </c>
      <c r="L10" s="11" t="n">
        <f aca="false">IFERROR(E10/D10,"-")</f>
        <v>0</v>
      </c>
      <c r="M10" s="11" t="n">
        <f aca="false">IFERROR((F10+G10)/D10,"-")</f>
        <v>1</v>
      </c>
      <c r="N10" s="7" t="n">
        <f aca="false">COUNTIFS(QA_Detail!$B$2:$B$988,"InternVL",QA_Detail!$G$2:$G$988,"Chart-Numerical Calculation",QA_Detail!$M$2:$M$988,"Minor")</f>
        <v>33</v>
      </c>
      <c r="O10" s="7" t="n">
        <f aca="false">COUNTIFS(QA_Detail!$B$2:$B$988,"InternVL",QA_Detail!$G$2:$G$988,"Chart-Numerical Calculation",QA_Detail!$M$2:$M$988,"Major")</f>
        <v>85</v>
      </c>
      <c r="P10" s="7" t="n">
        <f aca="false">COUNTIFS(QA_Detail!$B$2:$B$988,"InternVL",QA_Detail!$G$2:$G$988,"Chart-Numerical Calculation",QA_Detail!$M$2:$M$988,"Critical")</f>
        <v>10</v>
      </c>
      <c r="Q10" s="11" t="n">
        <f aca="false">IFERROR(COUNTIFS(QA_Detail!$B$2:$B$988,"InternVL",QA_Detail!$G$2:$G$988,"Chart-Numerical Calculation",QA_Detail!$P$2:$P$988,"Y")/D10,"-")</f>
        <v>0.0703125</v>
      </c>
      <c r="R10" s="7" t="n">
        <f aca="false">COUNTIFS(QA_Detail!$B$2:$B$988,"InternVL",QA_Detail!$G$2:$G$988,"Chart-Numerical Calculation",QA_Detail!$N$2:$N$988,"Factual/Numerical")</f>
        <v>58</v>
      </c>
      <c r="S10" s="7" t="n">
        <f aca="false">COUNTIFS(QA_Detail!$B$2:$B$988,"InternVL",QA_Detail!$G$2:$G$988,"Chart-Numerical Calculation",QA_Detail!$N$2:$N$988,"Reasoning")</f>
        <v>15</v>
      </c>
      <c r="T10" s="7" t="n">
        <f aca="false">COUNTIFS(QA_Detail!$B$2:$B$988,"InternVL",QA_Detail!$G$2:$G$988,"Chart-Numerical Calculation",QA_Detail!$N$2:$N$988,"Temporal")</f>
        <v>13</v>
      </c>
      <c r="U10" s="7" t="n">
        <f aca="false">COUNTIFS(QA_Detail!$B$2:$B$988,"InternVL",QA_Detail!$G$2:$G$988,"Chart-Numerical Calculation",QA_Detail!$N$2:$N$988,"Calculation")</f>
        <v>3</v>
      </c>
      <c r="V10" s="7" t="n">
        <f aca="false">COUNTIFS(QA_Detail!$B$2:$B$988,"InternVL",QA_Detail!$G$2:$G$988,"Chart-Numerical Calculation",QA_Detail!$N$2:$N$988,"Incomplete")</f>
        <v>2</v>
      </c>
      <c r="W10" s="7" t="n">
        <f aca="false">COUNTIFS(QA_Detail!$B$2:$B$988,"InternVL",QA_Detail!$G$2:$G$988,"Chart-Numerical Calculation",QA_Detail!$N$2:$N$988,"Unit")</f>
        <v>2</v>
      </c>
      <c r="X10" s="7" t="n">
        <f aca="false">COUNTIFS(QA_Detail!$B$2:$B$988,"InternVL",QA_Detail!$G$2:$G$988,"Chart-Numerical Calculation",QA_Detail!$N$2:$N$988,"Instruction-following")</f>
        <v>17</v>
      </c>
      <c r="Y10" s="7" t="n">
        <f aca="false">COUNTIFS(QA_Detail!$B$2:$B$988,"InternVL",QA_Detail!$G$2:$G$988,"Chart-Numerical Calculation",QA_Detail!$N$2:$N$988,"Typo/Grammar")</f>
        <v>8</v>
      </c>
      <c r="Z10" s="7" t="n">
        <f aca="false">COUNTIFS(QA_Detail!$B$2:$B$988,"InternVL",QA_Detail!$G$2:$G$988,"Chart-Numerical Calculation",QA_Detail!$N$2:$N$988,"Format")</f>
        <v>0</v>
      </c>
      <c r="AA10" s="7" t="n">
        <f aca="false">COUNTIFS(QA_Detail!$B$2:$B$988,"InternVL",QA_Detail!$G$2:$G$988,"Chart-Numerical Calculation",QA_Detail!$N$2:$N$988,"Hallucination")</f>
        <v>10</v>
      </c>
    </row>
    <row r="11" customFormat="false" ht="15" hidden="false" customHeight="false" outlineLevel="0" collapsed="false">
      <c r="A11" s="7" t="s">
        <v>37</v>
      </c>
      <c r="B11" s="7" t="s">
        <v>6589</v>
      </c>
      <c r="C11" s="7" t="s">
        <v>152</v>
      </c>
      <c r="D11" s="7" t="n">
        <f aca="false">COUNTIFS(QA_Detail!$B$2:$B$988,"InternVL",QA_Detail!$G$2:$G$988,"Chart-Time-Sensitive")</f>
        <v>66</v>
      </c>
      <c r="E11" s="7" t="n">
        <f aca="false">COUNTIFS(QA_Detail!$B$2:$B$988,"InternVL",QA_Detail!$G$2:$G$988,"Chart-Time-Sensitive",QA_Detail!$L$2:$L$988,"PASS")</f>
        <v>1</v>
      </c>
      <c r="F11" s="7" t="n">
        <f aca="false">COUNTIFS(QA_Detail!$B$2:$B$988,"InternVL",QA_Detail!$G$2:$G$988,"Chart-Time-Sensitive",QA_Detail!$L$2:$L$988,"REVISE")</f>
        <v>57</v>
      </c>
      <c r="G11" s="7" t="n">
        <f aca="false">COUNTIFS(QA_Detail!$B$2:$B$988,"InternVL",QA_Detail!$G$2:$G$988,"Chart-Time-Sensitive",QA_Detail!$L$2:$L$988,"DISCARD")</f>
        <v>8</v>
      </c>
      <c r="H11" s="7" t="n">
        <f aca="false">COUNTIFS(QA_Detail!$B$2:$B$988,"InternVL",QA_Detail!$G$2:$G$988,"Chart-Time-Sensitive",QA_Detail!$R$2:$R$988,"Y")</f>
        <v>2</v>
      </c>
      <c r="I11" s="11" t="n">
        <f aca="false">IFERROR(H11/D11,"-")</f>
        <v>0.0303030303030303</v>
      </c>
      <c r="J11" s="11" t="n">
        <f aca="false">IFERROR(F11/D11,"-")</f>
        <v>0.863636363636364</v>
      </c>
      <c r="K11" s="11" t="n">
        <f aca="false">IFERROR(G11/D11,"-")</f>
        <v>0.121212121212121</v>
      </c>
      <c r="L11" s="11" t="n">
        <f aca="false">IFERROR(E11/D11,"-")</f>
        <v>0.0151515151515152</v>
      </c>
      <c r="M11" s="11" t="n">
        <f aca="false">IFERROR((F11+G11)/D11,"-")</f>
        <v>0.984848484848485</v>
      </c>
      <c r="N11" s="7" t="n">
        <f aca="false">COUNTIFS(QA_Detail!$B$2:$B$988,"InternVL",QA_Detail!$G$2:$G$988,"Chart-Time-Sensitive",QA_Detail!$M$2:$M$988,"Minor")</f>
        <v>8</v>
      </c>
      <c r="O11" s="7" t="n">
        <f aca="false">COUNTIFS(QA_Detail!$B$2:$B$988,"InternVL",QA_Detail!$G$2:$G$988,"Chart-Time-Sensitive",QA_Detail!$M$2:$M$988,"Major")</f>
        <v>49</v>
      </c>
      <c r="P11" s="7" t="n">
        <f aca="false">COUNTIFS(QA_Detail!$B$2:$B$988,"InternVL",QA_Detail!$G$2:$G$988,"Chart-Time-Sensitive",QA_Detail!$M$2:$M$988,"Critical")</f>
        <v>8</v>
      </c>
      <c r="Q11" s="11" t="n">
        <f aca="false">IFERROR(COUNTIFS(QA_Detail!$B$2:$B$988,"InternVL",QA_Detail!$G$2:$G$988,"Chart-Time-Sensitive",QA_Detail!$P$2:$P$988,"Y")/D11,"-")</f>
        <v>0.272727272727273</v>
      </c>
      <c r="R11" s="7" t="n">
        <f aca="false">COUNTIFS(QA_Detail!$B$2:$B$988,"InternVL",QA_Detail!$G$2:$G$988,"Chart-Time-Sensitive",QA_Detail!$N$2:$N$988,"Factual/Numerical")</f>
        <v>37</v>
      </c>
      <c r="S11" s="7" t="n">
        <f aca="false">COUNTIFS(QA_Detail!$B$2:$B$988,"InternVL",QA_Detail!$G$2:$G$988,"Chart-Time-Sensitive",QA_Detail!$N$2:$N$988,"Reasoning")</f>
        <v>4</v>
      </c>
      <c r="T11" s="7" t="n">
        <f aca="false">COUNTIFS(QA_Detail!$B$2:$B$988,"InternVL",QA_Detail!$G$2:$G$988,"Chart-Time-Sensitive",QA_Detail!$N$2:$N$988,"Temporal")</f>
        <v>7</v>
      </c>
      <c r="U11" s="7" t="n">
        <f aca="false">COUNTIFS(QA_Detail!$B$2:$B$988,"InternVL",QA_Detail!$G$2:$G$988,"Chart-Time-Sensitive",QA_Detail!$N$2:$N$988,"Calculation")</f>
        <v>2</v>
      </c>
      <c r="V11" s="7" t="n">
        <f aca="false">COUNTIFS(QA_Detail!$B$2:$B$988,"InternVL",QA_Detail!$G$2:$G$988,"Chart-Time-Sensitive",QA_Detail!$N$2:$N$988,"Incomplete")</f>
        <v>1</v>
      </c>
      <c r="W11" s="7" t="n">
        <f aca="false">COUNTIFS(QA_Detail!$B$2:$B$988,"InternVL",QA_Detail!$G$2:$G$988,"Chart-Time-Sensitive",QA_Detail!$N$2:$N$988,"Unit")</f>
        <v>0</v>
      </c>
      <c r="X11" s="7" t="n">
        <f aca="false">COUNTIFS(QA_Detail!$B$2:$B$988,"InternVL",QA_Detail!$G$2:$G$988,"Chart-Time-Sensitive",QA_Detail!$N$2:$N$988,"Instruction-following")</f>
        <v>5</v>
      </c>
      <c r="Y11" s="7" t="n">
        <f aca="false">COUNTIFS(QA_Detail!$B$2:$B$988,"InternVL",QA_Detail!$G$2:$G$988,"Chart-Time-Sensitive",QA_Detail!$N$2:$N$988,"Typo/Grammar")</f>
        <v>1</v>
      </c>
      <c r="Z11" s="7" t="n">
        <f aca="false">COUNTIFS(QA_Detail!$B$2:$B$988,"InternVL",QA_Detail!$G$2:$G$988,"Chart-Time-Sensitive",QA_Detail!$N$2:$N$988,"Format")</f>
        <v>0</v>
      </c>
      <c r="AA11" s="7" t="n">
        <f aca="false">COUNTIFS(QA_Detail!$B$2:$B$988,"InternVL",QA_Detail!$G$2:$G$988,"Chart-Time-Sensitive",QA_Detail!$N$2:$N$988,"Hallucination")</f>
        <v>8</v>
      </c>
    </row>
    <row r="12" customFormat="false" ht="15" hidden="false" customHeight="false" outlineLevel="0" collapsed="false">
      <c r="A12" s="7" t="s">
        <v>37</v>
      </c>
      <c r="B12" s="7" t="s">
        <v>6589</v>
      </c>
      <c r="C12" s="7" t="s">
        <v>307</v>
      </c>
      <c r="D12" s="7" t="n">
        <f aca="false">COUNTIFS(QA_Detail!$B$2:$B$988,"InternVL",QA_Detail!$G$2:$G$988,"Table-Numerical Calculation")</f>
        <v>26</v>
      </c>
      <c r="E12" s="7" t="n">
        <f aca="false">COUNTIFS(QA_Detail!$B$2:$B$988,"InternVL",QA_Detail!$G$2:$G$988,"Table-Numerical Calculation",QA_Detail!$L$2:$L$988,"PASS")</f>
        <v>0</v>
      </c>
      <c r="F12" s="7" t="n">
        <f aca="false">COUNTIFS(QA_Detail!$B$2:$B$988,"InternVL",QA_Detail!$G$2:$G$988,"Table-Numerical Calculation",QA_Detail!$L$2:$L$988,"REVISE")</f>
        <v>23</v>
      </c>
      <c r="G12" s="7" t="n">
        <f aca="false">COUNTIFS(QA_Detail!$B$2:$B$988,"InternVL",QA_Detail!$G$2:$G$988,"Table-Numerical Calculation",QA_Detail!$L$2:$L$988,"DISCARD")</f>
        <v>3</v>
      </c>
      <c r="H12" s="7" t="n">
        <f aca="false">COUNTIFS(QA_Detail!$B$2:$B$988,"InternVL",QA_Detail!$G$2:$G$988,"Table-Numerical Calculation",QA_Detail!$R$2:$R$988,"Y")</f>
        <v>5</v>
      </c>
      <c r="I12" s="11" t="n">
        <f aca="false">IFERROR(H12/D12,"-")</f>
        <v>0.192307692307692</v>
      </c>
      <c r="J12" s="11" t="n">
        <f aca="false">IFERROR(F12/D12,"-")</f>
        <v>0.884615384615385</v>
      </c>
      <c r="K12" s="11" t="n">
        <f aca="false">IFERROR(G12/D12,"-")</f>
        <v>0.115384615384615</v>
      </c>
      <c r="L12" s="11" t="n">
        <f aca="false">IFERROR(E12/D12,"-")</f>
        <v>0</v>
      </c>
      <c r="M12" s="11" t="n">
        <f aca="false">IFERROR((F12+G12)/D12,"-")</f>
        <v>1</v>
      </c>
      <c r="N12" s="7" t="n">
        <f aca="false">COUNTIFS(QA_Detail!$B$2:$B$988,"InternVL",QA_Detail!$G$2:$G$988,"Table-Numerical Calculation",QA_Detail!$M$2:$M$988,"Minor")</f>
        <v>7</v>
      </c>
      <c r="O12" s="7" t="n">
        <f aca="false">COUNTIFS(QA_Detail!$B$2:$B$988,"InternVL",QA_Detail!$G$2:$G$988,"Table-Numerical Calculation",QA_Detail!$M$2:$M$988,"Major")</f>
        <v>16</v>
      </c>
      <c r="P12" s="7" t="n">
        <f aca="false">COUNTIFS(QA_Detail!$B$2:$B$988,"InternVL",QA_Detail!$G$2:$G$988,"Table-Numerical Calculation",QA_Detail!$M$2:$M$988,"Critical")</f>
        <v>3</v>
      </c>
      <c r="Q12" s="11" t="n">
        <f aca="false">IFERROR(COUNTIFS(QA_Detail!$B$2:$B$988,"InternVL",QA_Detail!$G$2:$G$988,"Table-Numerical Calculation",QA_Detail!$P$2:$P$988,"Y")/D12,"-")</f>
        <v>0.346153846153846</v>
      </c>
      <c r="R12" s="7" t="n">
        <f aca="false">COUNTIFS(QA_Detail!$B$2:$B$988,"InternVL",QA_Detail!$G$2:$G$988,"Table-Numerical Calculation",QA_Detail!$N$2:$N$988,"Factual/Numerical")</f>
        <v>12</v>
      </c>
      <c r="S12" s="7" t="n">
        <f aca="false">COUNTIFS(QA_Detail!$B$2:$B$988,"InternVL",QA_Detail!$G$2:$G$988,"Table-Numerical Calculation",QA_Detail!$N$2:$N$988,"Reasoning")</f>
        <v>2</v>
      </c>
      <c r="T12" s="7" t="n">
        <f aca="false">COUNTIFS(QA_Detail!$B$2:$B$988,"InternVL",QA_Detail!$G$2:$G$988,"Table-Numerical Calculation",QA_Detail!$N$2:$N$988,"Temporal")</f>
        <v>1</v>
      </c>
      <c r="U12" s="7" t="n">
        <f aca="false">COUNTIFS(QA_Detail!$B$2:$B$988,"InternVL",QA_Detail!$G$2:$G$988,"Table-Numerical Calculation",QA_Detail!$N$2:$N$988,"Calculation")</f>
        <v>1</v>
      </c>
      <c r="V12" s="7" t="n">
        <f aca="false">COUNTIFS(QA_Detail!$B$2:$B$988,"InternVL",QA_Detail!$G$2:$G$988,"Table-Numerical Calculation",QA_Detail!$N$2:$N$988,"Incomplete")</f>
        <v>0</v>
      </c>
      <c r="W12" s="7" t="n">
        <f aca="false">COUNTIFS(QA_Detail!$B$2:$B$988,"InternVL",QA_Detail!$G$2:$G$988,"Table-Numerical Calculation",QA_Detail!$N$2:$N$988,"Unit")</f>
        <v>0</v>
      </c>
      <c r="X12" s="7" t="n">
        <f aca="false">COUNTIFS(QA_Detail!$B$2:$B$988,"InternVL",QA_Detail!$G$2:$G$988,"Table-Numerical Calculation",QA_Detail!$N$2:$N$988,"Instruction-following")</f>
        <v>4</v>
      </c>
      <c r="Y12" s="7" t="n">
        <f aca="false">COUNTIFS(QA_Detail!$B$2:$B$988,"InternVL",QA_Detail!$G$2:$G$988,"Table-Numerical Calculation",QA_Detail!$N$2:$N$988,"Typo/Grammar")</f>
        <v>3</v>
      </c>
      <c r="Z12" s="7" t="n">
        <f aca="false">COUNTIFS(QA_Detail!$B$2:$B$988,"InternVL",QA_Detail!$G$2:$G$988,"Table-Numerical Calculation",QA_Detail!$N$2:$N$988,"Format")</f>
        <v>0</v>
      </c>
      <c r="AA12" s="7" t="n">
        <f aca="false">COUNTIFS(QA_Detail!$B$2:$B$988,"InternVL",QA_Detail!$G$2:$G$988,"Table-Numerical Calculation",QA_Detail!$N$2:$N$988,"Hallucination")</f>
        <v>3</v>
      </c>
    </row>
    <row r="13" customFormat="false" ht="15" hidden="false" customHeight="false" outlineLevel="0" collapsed="false">
      <c r="A13" s="7" t="s">
        <v>37</v>
      </c>
      <c r="B13" s="7" t="s">
        <v>6589</v>
      </c>
      <c r="C13" s="7" t="s">
        <v>136</v>
      </c>
      <c r="D13" s="7" t="n">
        <f aca="false">COUNTIFS(QA_Detail!$B$2:$B$988,"InternVL",QA_Detail!$G$2:$G$988,"Table-Comparison and Sorting")</f>
        <v>13</v>
      </c>
      <c r="E13" s="7" t="n">
        <f aca="false">COUNTIFS(QA_Detail!$B$2:$B$988,"InternVL",QA_Detail!$G$2:$G$988,"Table-Comparison and Sorting",QA_Detail!$L$2:$L$988,"PASS")</f>
        <v>0</v>
      </c>
      <c r="F13" s="7" t="n">
        <f aca="false">COUNTIFS(QA_Detail!$B$2:$B$988,"InternVL",QA_Detail!$G$2:$G$988,"Table-Comparison and Sorting",QA_Detail!$L$2:$L$988,"REVISE")</f>
        <v>12</v>
      </c>
      <c r="G13" s="7" t="n">
        <f aca="false">COUNTIFS(QA_Detail!$B$2:$B$988,"InternVL",QA_Detail!$G$2:$G$988,"Table-Comparison and Sorting",QA_Detail!$L$2:$L$988,"DISCARD")</f>
        <v>1</v>
      </c>
      <c r="H13" s="7" t="n">
        <f aca="false">COUNTIFS(QA_Detail!$B$2:$B$988,"InternVL",QA_Detail!$G$2:$G$988,"Table-Comparison and Sorting",QA_Detail!$R$2:$R$988,"Y")</f>
        <v>2</v>
      </c>
      <c r="I13" s="11" t="n">
        <f aca="false">IFERROR(H13/D13,"-")</f>
        <v>0.153846153846154</v>
      </c>
      <c r="J13" s="11" t="n">
        <f aca="false">IFERROR(F13/D13,"-")</f>
        <v>0.923076923076923</v>
      </c>
      <c r="K13" s="11" t="n">
        <f aca="false">IFERROR(G13/D13,"-")</f>
        <v>0.0769230769230769</v>
      </c>
      <c r="L13" s="11" t="n">
        <f aca="false">IFERROR(E13/D13,"-")</f>
        <v>0</v>
      </c>
      <c r="M13" s="11" t="n">
        <f aca="false">IFERROR((F13+G13)/D13,"-")</f>
        <v>1</v>
      </c>
      <c r="N13" s="7" t="n">
        <f aca="false">COUNTIFS(QA_Detail!$B$2:$B$988,"InternVL",QA_Detail!$G$2:$G$988,"Table-Comparison and Sorting",QA_Detail!$M$2:$M$988,"Minor")</f>
        <v>2</v>
      </c>
      <c r="O13" s="7" t="n">
        <f aca="false">COUNTIFS(QA_Detail!$B$2:$B$988,"InternVL",QA_Detail!$G$2:$G$988,"Table-Comparison and Sorting",QA_Detail!$M$2:$M$988,"Major")</f>
        <v>10</v>
      </c>
      <c r="P13" s="7" t="n">
        <f aca="false">COUNTIFS(QA_Detail!$B$2:$B$988,"InternVL",QA_Detail!$G$2:$G$988,"Table-Comparison and Sorting",QA_Detail!$M$2:$M$988,"Critical")</f>
        <v>1</v>
      </c>
      <c r="Q13" s="11" t="n">
        <f aca="false">IFERROR(COUNTIFS(QA_Detail!$B$2:$B$988,"InternVL",QA_Detail!$G$2:$G$988,"Table-Comparison and Sorting",QA_Detail!$P$2:$P$988,"Y")/D13,"-")</f>
        <v>0.615384615384615</v>
      </c>
      <c r="R13" s="7" t="n">
        <f aca="false">COUNTIFS(QA_Detail!$B$2:$B$988,"InternVL",QA_Detail!$G$2:$G$988,"Table-Comparison and Sorting",QA_Detail!$N$2:$N$988,"Factual/Numerical")</f>
        <v>9</v>
      </c>
      <c r="S13" s="7" t="n">
        <f aca="false">COUNTIFS(QA_Detail!$B$2:$B$988,"InternVL",QA_Detail!$G$2:$G$988,"Table-Comparison and Sorting",QA_Detail!$N$2:$N$988,"Reasoning")</f>
        <v>0</v>
      </c>
      <c r="T13" s="7" t="n">
        <f aca="false">COUNTIFS(QA_Detail!$B$2:$B$988,"InternVL",QA_Detail!$G$2:$G$988,"Table-Comparison and Sorting",QA_Detail!$N$2:$N$988,"Temporal")</f>
        <v>1</v>
      </c>
      <c r="U13" s="7" t="n">
        <f aca="false">COUNTIFS(QA_Detail!$B$2:$B$988,"InternVL",QA_Detail!$G$2:$G$988,"Table-Comparison and Sorting",QA_Detail!$N$2:$N$988,"Calculation")</f>
        <v>0</v>
      </c>
      <c r="V13" s="7" t="n">
        <f aca="false">COUNTIFS(QA_Detail!$B$2:$B$988,"InternVL",QA_Detail!$G$2:$G$988,"Table-Comparison and Sorting",QA_Detail!$N$2:$N$988,"Incomplete")</f>
        <v>0</v>
      </c>
      <c r="W13" s="7" t="n">
        <f aca="false">COUNTIFS(QA_Detail!$B$2:$B$988,"InternVL",QA_Detail!$G$2:$G$988,"Table-Comparison and Sorting",QA_Detail!$N$2:$N$988,"Unit")</f>
        <v>0</v>
      </c>
      <c r="X13" s="7" t="n">
        <f aca="false">COUNTIFS(QA_Detail!$B$2:$B$988,"InternVL",QA_Detail!$G$2:$G$988,"Table-Comparison and Sorting",QA_Detail!$N$2:$N$988,"Instruction-following")</f>
        <v>1</v>
      </c>
      <c r="Y13" s="7" t="n">
        <f aca="false">COUNTIFS(QA_Detail!$B$2:$B$988,"InternVL",QA_Detail!$G$2:$G$988,"Table-Comparison and Sorting",QA_Detail!$N$2:$N$988,"Typo/Grammar")</f>
        <v>0</v>
      </c>
      <c r="Z13" s="7" t="n">
        <f aca="false">COUNTIFS(QA_Detail!$B$2:$B$988,"InternVL",QA_Detail!$G$2:$G$988,"Table-Comparison and Sorting",QA_Detail!$N$2:$N$988,"Format")</f>
        <v>1</v>
      </c>
      <c r="AA13" s="7" t="n">
        <f aca="false">COUNTIFS(QA_Detail!$B$2:$B$988,"InternVL",QA_Detail!$G$2:$G$988,"Table-Comparison and Sorting",QA_Detail!$N$2:$N$988,"Hallucination")</f>
        <v>1</v>
      </c>
    </row>
    <row r="15" customFormat="false" ht="15" hidden="false" customHeight="false" outlineLevel="0" collapsed="false">
      <c r="A15" s="19" t="s">
        <v>38</v>
      </c>
      <c r="B15" s="19" t="s">
        <v>100</v>
      </c>
      <c r="C15" s="19" t="s">
        <v>130</v>
      </c>
      <c r="D15" s="19" t="n">
        <f aca="false">COUNTIFS(QA_Detail!$B$2:$B$988,"Qwen2.5-VL",QA_Detail!$H$2:$H$988,"Text")</f>
        <v>163</v>
      </c>
      <c r="E15" s="19" t="n">
        <f aca="false">COUNTIFS(QA_Detail!$B$2:$B$988,"Qwen2.5-VL",QA_Detail!$H$2:$H$988,"Text",QA_Detail!$L$2:$L$988,"PASS")</f>
        <v>89</v>
      </c>
      <c r="F15" s="19" t="n">
        <f aca="false">COUNTIFS(QA_Detail!$B$2:$B$988,"Qwen2.5-VL",QA_Detail!$H$2:$H$988,"Text",QA_Detail!$L$2:$L$988,"REVISE")</f>
        <v>68</v>
      </c>
      <c r="G15" s="19" t="n">
        <f aca="false">COUNTIFS(QA_Detail!$B$2:$B$988,"Qwen2.5-VL",QA_Detail!$H$2:$H$988,"Text",QA_Detail!$L$2:$L$988,"DISCARD")</f>
        <v>6</v>
      </c>
      <c r="H15" s="19" t="n">
        <f aca="false">COUNTIFS(QA_Detail!$B$2:$B$988,"Qwen2.5-VL",QA_Detail!$H$2:$H$988,"Text",QA_Detail!$R$2:$R$988,"Y")</f>
        <v>106</v>
      </c>
      <c r="I15" s="20" t="n">
        <f aca="false">IFERROR(H15/D15,"-")</f>
        <v>0.650306748466258</v>
      </c>
      <c r="J15" s="20" t="n">
        <f aca="false">IFERROR(F15/D15,"-")</f>
        <v>0.417177914110429</v>
      </c>
      <c r="K15" s="20" t="n">
        <f aca="false">IFERROR(G15/D15,"-")</f>
        <v>0.0368098159509203</v>
      </c>
      <c r="L15" s="20" t="n">
        <f aca="false">IFERROR(E15/D15,"-")</f>
        <v>0.54601226993865</v>
      </c>
      <c r="M15" s="20" t="n">
        <f aca="false">IFERROR((F15+G15)/D15,"-")</f>
        <v>0.45398773006135</v>
      </c>
      <c r="N15" s="19" t="n">
        <f aca="false">COUNTIFS(QA_Detail!$B$2:$B$988,"Qwen2.5-VL",QA_Detail!$H$2:$H$988,"Text",QA_Detail!$M$2:$M$988,"Minor")</f>
        <v>32</v>
      </c>
      <c r="O15" s="19" t="n">
        <f aca="false">COUNTIFS(QA_Detail!$B$2:$B$988,"Qwen2.5-VL",QA_Detail!$H$2:$H$988,"Text",QA_Detail!$M$2:$M$988,"Major")</f>
        <v>36</v>
      </c>
      <c r="P15" s="19" t="n">
        <f aca="false">COUNTIFS(QA_Detail!$B$2:$B$988,"Qwen2.5-VL",QA_Detail!$H$2:$H$988,"Text",QA_Detail!$M$2:$M$988,"Critical")</f>
        <v>6</v>
      </c>
      <c r="Q15" s="20" t="n">
        <f aca="false">IFERROR(COUNTIFS(QA_Detail!$B$2:$B$988,"Qwen2.5-VL",QA_Detail!$H$2:$H$988,"Text",QA_Detail!$P$2:$P$988,"Y")/D15,"-")</f>
        <v>0.858895705521472</v>
      </c>
      <c r="R15" s="19" t="n">
        <f aca="false">COUNTIFS(QA_Detail!$B$2:$B$988,"Qwen2.5-VL",QA_Detail!$H$2:$H$988,"Text",QA_Detail!$N$2:$N$988,"Factual/Numerical")</f>
        <v>21</v>
      </c>
      <c r="S15" s="19" t="n">
        <f aca="false">COUNTIFS(QA_Detail!$B$2:$B$988,"Qwen2.5-VL",QA_Detail!$H$2:$H$988,"Text",QA_Detail!$N$2:$N$988,"Reasoning")</f>
        <v>9</v>
      </c>
      <c r="T15" s="19" t="n">
        <f aca="false">COUNTIFS(QA_Detail!$B$2:$B$988,"Qwen2.5-VL",QA_Detail!$H$2:$H$988,"Text",QA_Detail!$N$2:$N$988,"Temporal")</f>
        <v>3</v>
      </c>
      <c r="U15" s="19" t="n">
        <f aca="false">COUNTIFS(QA_Detail!$B$2:$B$988,"Qwen2.5-VL",QA_Detail!$H$2:$H$988,"Text",QA_Detail!$N$2:$N$988,"Calculation")</f>
        <v>0</v>
      </c>
      <c r="V15" s="19" t="n">
        <f aca="false">COUNTIFS(QA_Detail!$B$2:$B$988,"Qwen2.5-VL",QA_Detail!$H$2:$H$988,"Text",QA_Detail!$N$2:$N$988,"Incomplete")</f>
        <v>6</v>
      </c>
      <c r="W15" s="19" t="n">
        <f aca="false">COUNTIFS(QA_Detail!$B$2:$B$988,"Qwen2.5-VL",QA_Detail!$H$2:$H$988,"Text",QA_Detail!$N$2:$N$988,"Unit")</f>
        <v>2</v>
      </c>
      <c r="X15" s="19" t="n">
        <f aca="false">COUNTIFS(QA_Detail!$B$2:$B$988,"Qwen2.5-VL",QA_Detail!$H$2:$H$988,"Text",QA_Detail!$N$2:$N$988,"Instruction-following")</f>
        <v>8</v>
      </c>
      <c r="Y15" s="19" t="n">
        <f aca="false">COUNTIFS(QA_Detail!$B$2:$B$988,"Qwen2.5-VL",QA_Detail!$H$2:$H$988,"Text",QA_Detail!$N$2:$N$988,"Typo/Grammar")</f>
        <v>17</v>
      </c>
      <c r="Z15" s="19" t="n">
        <f aca="false">COUNTIFS(QA_Detail!$B$2:$B$988,"Qwen2.5-VL",QA_Detail!$H$2:$H$988,"Text",QA_Detail!$N$2:$N$988,"Format")</f>
        <v>2</v>
      </c>
      <c r="AA15" s="19" t="n">
        <f aca="false">COUNTIFS(QA_Detail!$B$2:$B$988,"Qwen2.5-VL",QA_Detail!$H$2:$H$988,"Text",QA_Detail!$N$2:$N$988,"Hallucination")</f>
        <v>6</v>
      </c>
    </row>
    <row r="16" customFormat="false" ht="15" hidden="false" customHeight="false" outlineLevel="0" collapsed="false">
      <c r="A16" s="19" t="s">
        <v>38</v>
      </c>
      <c r="B16" s="19" t="s">
        <v>100</v>
      </c>
      <c r="C16" s="19" t="s">
        <v>142</v>
      </c>
      <c r="D16" s="19" t="n">
        <f aca="false">COUNTIFS(QA_Detail!$B$2:$B$988,"Qwen2.5-VL",QA_Detail!$H$2:$H$988,"Chart")</f>
        <v>303</v>
      </c>
      <c r="E16" s="19" t="n">
        <f aca="false">COUNTIFS(QA_Detail!$B$2:$B$988,"Qwen2.5-VL",QA_Detail!$H$2:$H$988,"Chart",QA_Detail!$L$2:$L$988,"PASS")</f>
        <v>14</v>
      </c>
      <c r="F16" s="19" t="n">
        <f aca="false">COUNTIFS(QA_Detail!$B$2:$B$988,"Qwen2.5-VL",QA_Detail!$H$2:$H$988,"Chart",QA_Detail!$L$2:$L$988,"REVISE")</f>
        <v>273</v>
      </c>
      <c r="G16" s="19" t="n">
        <f aca="false">COUNTIFS(QA_Detail!$B$2:$B$988,"Qwen2.5-VL",QA_Detail!$H$2:$H$988,"Chart",QA_Detail!$L$2:$L$988,"DISCARD")</f>
        <v>16</v>
      </c>
      <c r="H16" s="19" t="n">
        <f aca="false">COUNTIFS(QA_Detail!$B$2:$B$988,"Qwen2.5-VL",QA_Detail!$H$2:$H$988,"Chart",QA_Detail!$R$2:$R$988,"Y")</f>
        <v>115</v>
      </c>
      <c r="I16" s="20" t="n">
        <f aca="false">IFERROR(H16/D16,"-")</f>
        <v>0.37953795379538</v>
      </c>
      <c r="J16" s="20" t="n">
        <f aca="false">IFERROR(F16/D16,"-")</f>
        <v>0.900990099009901</v>
      </c>
      <c r="K16" s="20" t="n">
        <f aca="false">IFERROR(G16/D16,"-")</f>
        <v>0.0528052805280528</v>
      </c>
      <c r="L16" s="20" t="n">
        <f aca="false">IFERROR(E16/D16,"-")</f>
        <v>0.0462046204620462</v>
      </c>
      <c r="M16" s="20" t="n">
        <f aca="false">IFERROR((F16+G16)/D16,"-")</f>
        <v>0.953795379537954</v>
      </c>
      <c r="N16" s="19" t="n">
        <f aca="false">COUNTIFS(QA_Detail!$B$2:$B$988,"Qwen2.5-VL",QA_Detail!$H$2:$H$988,"Chart",QA_Detail!$M$2:$M$988,"Minor")</f>
        <v>161</v>
      </c>
      <c r="O16" s="19" t="n">
        <f aca="false">COUNTIFS(QA_Detail!$B$2:$B$988,"Qwen2.5-VL",QA_Detail!$H$2:$H$988,"Chart",QA_Detail!$M$2:$M$988,"Major")</f>
        <v>112</v>
      </c>
      <c r="P16" s="19" t="n">
        <f aca="false">COUNTIFS(QA_Detail!$B$2:$B$988,"Qwen2.5-VL",QA_Detail!$H$2:$H$988,"Chart",QA_Detail!$M$2:$M$988,"Critical")</f>
        <v>16</v>
      </c>
      <c r="Q16" s="20" t="n">
        <f aca="false">IFERROR(COUNTIFS(QA_Detail!$B$2:$B$988,"Qwen2.5-VL",QA_Detail!$H$2:$H$988,"Chart",QA_Detail!$P$2:$P$988,"Y")/D16,"-")</f>
        <v>0.125412541254125</v>
      </c>
      <c r="R16" s="19" t="n">
        <f aca="false">COUNTIFS(QA_Detail!$B$2:$B$988,"Qwen2.5-VL",QA_Detail!$H$2:$H$988,"Chart",QA_Detail!$N$2:$N$988,"Factual/Numerical")</f>
        <v>58</v>
      </c>
      <c r="S16" s="19" t="n">
        <f aca="false">COUNTIFS(QA_Detail!$B$2:$B$988,"Qwen2.5-VL",QA_Detail!$H$2:$H$988,"Chart",QA_Detail!$N$2:$N$988,"Reasoning")</f>
        <v>25</v>
      </c>
      <c r="T16" s="19" t="n">
        <f aca="false">COUNTIFS(QA_Detail!$B$2:$B$988,"Qwen2.5-VL",QA_Detail!$H$2:$H$988,"Chart",QA_Detail!$N$2:$N$988,"Temporal")</f>
        <v>12</v>
      </c>
      <c r="U16" s="19" t="n">
        <f aca="false">COUNTIFS(QA_Detail!$B$2:$B$988,"Qwen2.5-VL",QA_Detail!$H$2:$H$988,"Chart",QA_Detail!$N$2:$N$988,"Calculation")</f>
        <v>9</v>
      </c>
      <c r="V16" s="19" t="n">
        <f aca="false">COUNTIFS(QA_Detail!$B$2:$B$988,"Qwen2.5-VL",QA_Detail!$H$2:$H$988,"Chart",QA_Detail!$N$2:$N$988,"Incomplete")</f>
        <v>19</v>
      </c>
      <c r="W16" s="19" t="n">
        <f aca="false">COUNTIFS(QA_Detail!$B$2:$B$988,"Qwen2.5-VL",QA_Detail!$H$2:$H$988,"Chart",QA_Detail!$N$2:$N$988,"Unit")</f>
        <v>3</v>
      </c>
      <c r="X16" s="19" t="n">
        <f aca="false">COUNTIFS(QA_Detail!$B$2:$B$988,"Qwen2.5-VL",QA_Detail!$H$2:$H$988,"Chart",QA_Detail!$N$2:$N$988,"Instruction-following")</f>
        <v>137</v>
      </c>
      <c r="Y16" s="19" t="n">
        <f aca="false">COUNTIFS(QA_Detail!$B$2:$B$988,"Qwen2.5-VL",QA_Detail!$H$2:$H$988,"Chart",QA_Detail!$N$2:$N$988,"Typo/Grammar")</f>
        <v>7</v>
      </c>
      <c r="Z16" s="19" t="n">
        <f aca="false">COUNTIFS(QA_Detail!$B$2:$B$988,"Qwen2.5-VL",QA_Detail!$H$2:$H$988,"Chart",QA_Detail!$N$2:$N$988,"Format")</f>
        <v>3</v>
      </c>
      <c r="AA16" s="19" t="n">
        <f aca="false">COUNTIFS(QA_Detail!$B$2:$B$988,"Qwen2.5-VL",QA_Detail!$H$2:$H$988,"Chart",QA_Detail!$N$2:$N$988,"Hallucination")</f>
        <v>16</v>
      </c>
    </row>
    <row r="17" customFormat="false" ht="15" hidden="false" customHeight="false" outlineLevel="0" collapsed="false">
      <c r="A17" s="19" t="s">
        <v>38</v>
      </c>
      <c r="B17" s="19" t="s">
        <v>100</v>
      </c>
      <c r="C17" s="19" t="s">
        <v>308</v>
      </c>
      <c r="D17" s="19" t="n">
        <f aca="false">COUNTIFS(QA_Detail!$B$2:$B$988,"Qwen2.5-VL",QA_Detail!$H$2:$H$988,"Table")</f>
        <v>26</v>
      </c>
      <c r="E17" s="19" t="n">
        <f aca="false">COUNTIFS(QA_Detail!$B$2:$B$988,"Qwen2.5-VL",QA_Detail!$H$2:$H$988,"Table",QA_Detail!$L$2:$L$988,"PASS")</f>
        <v>1</v>
      </c>
      <c r="F17" s="19" t="n">
        <f aca="false">COUNTIFS(QA_Detail!$B$2:$B$988,"Qwen2.5-VL",QA_Detail!$H$2:$H$988,"Table",QA_Detail!$L$2:$L$988,"REVISE")</f>
        <v>24</v>
      </c>
      <c r="G17" s="19" t="n">
        <f aca="false">COUNTIFS(QA_Detail!$B$2:$B$988,"Qwen2.5-VL",QA_Detail!$H$2:$H$988,"Table",QA_Detail!$L$2:$L$988,"DISCARD")</f>
        <v>1</v>
      </c>
      <c r="H17" s="19" t="n">
        <f aca="false">COUNTIFS(QA_Detail!$B$2:$B$988,"Qwen2.5-VL",QA_Detail!$H$2:$H$988,"Table",QA_Detail!$R$2:$R$988,"Y")</f>
        <v>11</v>
      </c>
      <c r="I17" s="20" t="n">
        <f aca="false">IFERROR(H17/D17,"-")</f>
        <v>0.423076923076923</v>
      </c>
      <c r="J17" s="20" t="n">
        <f aca="false">IFERROR(F17/D17,"-")</f>
        <v>0.923076923076923</v>
      </c>
      <c r="K17" s="20" t="n">
        <f aca="false">IFERROR(G17/D17,"-")</f>
        <v>0.0384615384615385</v>
      </c>
      <c r="L17" s="20" t="n">
        <f aca="false">IFERROR(E17/D17,"-")</f>
        <v>0.0384615384615385</v>
      </c>
      <c r="M17" s="20" t="n">
        <f aca="false">IFERROR((F17+G17)/D17,"-")</f>
        <v>0.961538461538462</v>
      </c>
      <c r="N17" s="19" t="n">
        <f aca="false">COUNTIFS(QA_Detail!$B$2:$B$988,"Qwen2.5-VL",QA_Detail!$H$2:$H$988,"Table",QA_Detail!$M$2:$M$988,"Minor")</f>
        <v>15</v>
      </c>
      <c r="O17" s="19" t="n">
        <f aca="false">COUNTIFS(QA_Detail!$B$2:$B$988,"Qwen2.5-VL",QA_Detail!$H$2:$H$988,"Table",QA_Detail!$M$2:$M$988,"Major")</f>
        <v>9</v>
      </c>
      <c r="P17" s="19" t="n">
        <f aca="false">COUNTIFS(QA_Detail!$B$2:$B$988,"Qwen2.5-VL",QA_Detail!$H$2:$H$988,"Table",QA_Detail!$M$2:$M$988,"Critical")</f>
        <v>1</v>
      </c>
      <c r="Q17" s="20" t="n">
        <f aca="false">IFERROR(COUNTIFS(QA_Detail!$B$2:$B$988,"Qwen2.5-VL",QA_Detail!$H$2:$H$988,"Table",QA_Detail!$P$2:$P$988,"Y")/D17,"-")</f>
        <v>0.153846153846154</v>
      </c>
      <c r="R17" s="19" t="n">
        <f aca="false">COUNTIFS(QA_Detail!$B$2:$B$988,"Qwen2.5-VL",QA_Detail!$H$2:$H$988,"Table",QA_Detail!$N$2:$N$988,"Factual/Numerical")</f>
        <v>5</v>
      </c>
      <c r="S17" s="19" t="n">
        <f aca="false">COUNTIFS(QA_Detail!$B$2:$B$988,"Qwen2.5-VL",QA_Detail!$H$2:$H$988,"Table",QA_Detail!$N$2:$N$988,"Reasoning")</f>
        <v>0</v>
      </c>
      <c r="T17" s="19" t="n">
        <f aca="false">COUNTIFS(QA_Detail!$B$2:$B$988,"Qwen2.5-VL",QA_Detail!$H$2:$H$988,"Table",QA_Detail!$N$2:$N$988,"Temporal")</f>
        <v>2</v>
      </c>
      <c r="U17" s="19" t="n">
        <f aca="false">COUNTIFS(QA_Detail!$B$2:$B$988,"Qwen2.5-VL",QA_Detail!$H$2:$H$988,"Table",QA_Detail!$N$2:$N$988,"Calculation")</f>
        <v>1</v>
      </c>
      <c r="V17" s="19" t="n">
        <f aca="false">COUNTIFS(QA_Detail!$B$2:$B$988,"Qwen2.5-VL",QA_Detail!$H$2:$H$988,"Table",QA_Detail!$N$2:$N$988,"Incomplete")</f>
        <v>3</v>
      </c>
      <c r="W17" s="19" t="n">
        <f aca="false">COUNTIFS(QA_Detail!$B$2:$B$988,"Qwen2.5-VL",QA_Detail!$H$2:$H$988,"Table",QA_Detail!$N$2:$N$988,"Unit")</f>
        <v>0</v>
      </c>
      <c r="X17" s="19" t="n">
        <f aca="false">COUNTIFS(QA_Detail!$B$2:$B$988,"Qwen2.5-VL",QA_Detail!$H$2:$H$988,"Table",QA_Detail!$N$2:$N$988,"Instruction-following")</f>
        <v>12</v>
      </c>
      <c r="Y17" s="19" t="n">
        <f aca="false">COUNTIFS(QA_Detail!$B$2:$B$988,"Qwen2.5-VL",QA_Detail!$H$2:$H$988,"Table",QA_Detail!$N$2:$N$988,"Typo/Grammar")</f>
        <v>1</v>
      </c>
      <c r="Z17" s="19" t="n">
        <f aca="false">COUNTIFS(QA_Detail!$B$2:$B$988,"Qwen2.5-VL",QA_Detail!$H$2:$H$988,"Table",QA_Detail!$N$2:$N$988,"Format")</f>
        <v>0</v>
      </c>
      <c r="AA17" s="19" t="n">
        <f aca="false">COUNTIFS(QA_Detail!$B$2:$B$988,"Qwen2.5-VL",QA_Detail!$H$2:$H$988,"Table",QA_Detail!$N$2:$N$988,"Hallucination")</f>
        <v>1</v>
      </c>
    </row>
    <row r="18" customFormat="false" ht="15" hidden="false" customHeight="false" outlineLevel="0" collapsed="false">
      <c r="A18" s="7" t="s">
        <v>38</v>
      </c>
      <c r="B18" s="7" t="s">
        <v>6589</v>
      </c>
      <c r="C18" s="7" t="s">
        <v>129</v>
      </c>
      <c r="D18" s="7" t="n">
        <f aca="false">COUNTIFS(QA_Detail!$B$2:$B$988,"Qwen2.5-VL",QA_Detail!$G$2:$G$988,"Text-Text Inference")</f>
        <v>163</v>
      </c>
      <c r="E18" s="7" t="n">
        <f aca="false">COUNTIFS(QA_Detail!$B$2:$B$988,"Qwen2.5-VL",QA_Detail!$G$2:$G$988,"Text-Text Inference",QA_Detail!$L$2:$L$988,"PASS")</f>
        <v>89</v>
      </c>
      <c r="F18" s="7" t="n">
        <f aca="false">COUNTIFS(QA_Detail!$B$2:$B$988,"Qwen2.5-VL",QA_Detail!$G$2:$G$988,"Text-Text Inference",QA_Detail!$L$2:$L$988,"REVISE")</f>
        <v>68</v>
      </c>
      <c r="G18" s="7" t="n">
        <f aca="false">COUNTIFS(QA_Detail!$B$2:$B$988,"Qwen2.5-VL",QA_Detail!$G$2:$G$988,"Text-Text Inference",QA_Detail!$L$2:$L$988,"DISCARD")</f>
        <v>6</v>
      </c>
      <c r="H18" s="7" t="n">
        <f aca="false">COUNTIFS(QA_Detail!$B$2:$B$988,"Qwen2.5-VL",QA_Detail!$G$2:$G$988,"Text-Text Inference",QA_Detail!$R$2:$R$988,"Y")</f>
        <v>106</v>
      </c>
      <c r="I18" s="11" t="n">
        <f aca="false">IFERROR(H18/D18,"-")</f>
        <v>0.650306748466258</v>
      </c>
      <c r="J18" s="11" t="n">
        <f aca="false">IFERROR(F18/D18,"-")</f>
        <v>0.417177914110429</v>
      </c>
      <c r="K18" s="11" t="n">
        <f aca="false">IFERROR(G18/D18,"-")</f>
        <v>0.0368098159509203</v>
      </c>
      <c r="L18" s="11" t="n">
        <f aca="false">IFERROR(E18/D18,"-")</f>
        <v>0.54601226993865</v>
      </c>
      <c r="M18" s="11" t="n">
        <f aca="false">IFERROR((F18+G18)/D18,"-")</f>
        <v>0.45398773006135</v>
      </c>
      <c r="N18" s="7" t="n">
        <f aca="false">COUNTIFS(QA_Detail!$B$2:$B$988,"Qwen2.5-VL",QA_Detail!$G$2:$G$988,"Text-Text Inference",QA_Detail!$M$2:$M$988,"Minor")</f>
        <v>32</v>
      </c>
      <c r="O18" s="7" t="n">
        <f aca="false">COUNTIFS(QA_Detail!$B$2:$B$988,"Qwen2.5-VL",QA_Detail!$G$2:$G$988,"Text-Text Inference",QA_Detail!$M$2:$M$988,"Major")</f>
        <v>36</v>
      </c>
      <c r="P18" s="7" t="n">
        <f aca="false">COUNTIFS(QA_Detail!$B$2:$B$988,"Qwen2.5-VL",QA_Detail!$G$2:$G$988,"Text-Text Inference",QA_Detail!$M$2:$M$988,"Critical")</f>
        <v>6</v>
      </c>
      <c r="Q18" s="11" t="n">
        <f aca="false">IFERROR(COUNTIFS(QA_Detail!$B$2:$B$988,"Qwen2.5-VL",QA_Detail!$G$2:$G$988,"Text-Text Inference",QA_Detail!$P$2:$P$988,"Y")/D18,"-")</f>
        <v>0.858895705521472</v>
      </c>
      <c r="R18" s="7" t="n">
        <f aca="false">COUNTIFS(QA_Detail!$B$2:$B$988,"Qwen2.5-VL",QA_Detail!$G$2:$G$988,"Text-Text Inference",QA_Detail!$N$2:$N$988,"Factual/Numerical")</f>
        <v>21</v>
      </c>
      <c r="S18" s="7" t="n">
        <f aca="false">COUNTIFS(QA_Detail!$B$2:$B$988,"Qwen2.5-VL",QA_Detail!$G$2:$G$988,"Text-Text Inference",QA_Detail!$N$2:$N$988,"Reasoning")</f>
        <v>9</v>
      </c>
      <c r="T18" s="7" t="n">
        <f aca="false">COUNTIFS(QA_Detail!$B$2:$B$988,"Qwen2.5-VL",QA_Detail!$G$2:$G$988,"Text-Text Inference",QA_Detail!$N$2:$N$988,"Temporal")</f>
        <v>3</v>
      </c>
      <c r="U18" s="7" t="n">
        <f aca="false">COUNTIFS(QA_Detail!$B$2:$B$988,"Qwen2.5-VL",QA_Detail!$G$2:$G$988,"Text-Text Inference",QA_Detail!$N$2:$N$988,"Calculation")</f>
        <v>0</v>
      </c>
      <c r="V18" s="7" t="n">
        <f aca="false">COUNTIFS(QA_Detail!$B$2:$B$988,"Qwen2.5-VL",QA_Detail!$G$2:$G$988,"Text-Text Inference",QA_Detail!$N$2:$N$988,"Incomplete")</f>
        <v>6</v>
      </c>
      <c r="W18" s="7" t="n">
        <f aca="false">COUNTIFS(QA_Detail!$B$2:$B$988,"Qwen2.5-VL",QA_Detail!$G$2:$G$988,"Text-Text Inference",QA_Detail!$N$2:$N$988,"Unit")</f>
        <v>2</v>
      </c>
      <c r="X18" s="7" t="n">
        <f aca="false">COUNTIFS(QA_Detail!$B$2:$B$988,"Qwen2.5-VL",QA_Detail!$G$2:$G$988,"Text-Text Inference",QA_Detail!$N$2:$N$988,"Instruction-following")</f>
        <v>8</v>
      </c>
      <c r="Y18" s="7" t="n">
        <f aca="false">COUNTIFS(QA_Detail!$B$2:$B$988,"Qwen2.5-VL",QA_Detail!$G$2:$G$988,"Text-Text Inference",QA_Detail!$N$2:$N$988,"Typo/Grammar")</f>
        <v>17</v>
      </c>
      <c r="Z18" s="7" t="n">
        <f aca="false">COUNTIFS(QA_Detail!$B$2:$B$988,"Qwen2.5-VL",QA_Detail!$G$2:$G$988,"Text-Text Inference",QA_Detail!$N$2:$N$988,"Format")</f>
        <v>2</v>
      </c>
      <c r="AA18" s="7" t="n">
        <f aca="false">COUNTIFS(QA_Detail!$B$2:$B$988,"Qwen2.5-VL",QA_Detail!$G$2:$G$988,"Text-Text Inference",QA_Detail!$N$2:$N$988,"Hallucination")</f>
        <v>6</v>
      </c>
    </row>
    <row r="19" customFormat="false" ht="15" hidden="false" customHeight="false" outlineLevel="0" collapsed="false">
      <c r="A19" s="7" t="s">
        <v>38</v>
      </c>
      <c r="B19" s="7" t="s">
        <v>6589</v>
      </c>
      <c r="C19" s="7" t="s">
        <v>197</v>
      </c>
      <c r="D19" s="7" t="n">
        <f aca="false">COUNTIFS(QA_Detail!$B$2:$B$988,"Qwen2.5-VL",QA_Detail!$G$2:$G$988,"Chart-Information Extraction")</f>
        <v>155</v>
      </c>
      <c r="E19" s="7" t="n">
        <f aca="false">COUNTIFS(QA_Detail!$B$2:$B$988,"Qwen2.5-VL",QA_Detail!$G$2:$G$988,"Chart-Information Extraction",QA_Detail!$L$2:$L$988,"PASS")</f>
        <v>11</v>
      </c>
      <c r="F19" s="7" t="n">
        <f aca="false">COUNTIFS(QA_Detail!$B$2:$B$988,"Qwen2.5-VL",QA_Detail!$G$2:$G$988,"Chart-Information Extraction",QA_Detail!$L$2:$L$988,"REVISE")</f>
        <v>134</v>
      </c>
      <c r="G19" s="7" t="n">
        <f aca="false">COUNTIFS(QA_Detail!$B$2:$B$988,"Qwen2.5-VL",QA_Detail!$G$2:$G$988,"Chart-Information Extraction",QA_Detail!$L$2:$L$988,"DISCARD")</f>
        <v>10</v>
      </c>
      <c r="H19" s="7" t="n">
        <f aca="false">COUNTIFS(QA_Detail!$B$2:$B$988,"Qwen2.5-VL",QA_Detail!$G$2:$G$988,"Chart-Information Extraction",QA_Detail!$R$2:$R$988,"Y")</f>
        <v>56</v>
      </c>
      <c r="I19" s="11" t="n">
        <f aca="false">IFERROR(H19/D19,"-")</f>
        <v>0.361290322580645</v>
      </c>
      <c r="J19" s="11" t="n">
        <f aca="false">IFERROR(F19/D19,"-")</f>
        <v>0.864516129032258</v>
      </c>
      <c r="K19" s="11" t="n">
        <f aca="false">IFERROR(G19/D19,"-")</f>
        <v>0.0645161290322581</v>
      </c>
      <c r="L19" s="11" t="n">
        <f aca="false">IFERROR(E19/D19,"-")</f>
        <v>0.0709677419354839</v>
      </c>
      <c r="M19" s="11" t="n">
        <f aca="false">IFERROR((F19+G19)/D19,"-")</f>
        <v>0.929032258064516</v>
      </c>
      <c r="N19" s="7" t="n">
        <f aca="false">COUNTIFS(QA_Detail!$B$2:$B$988,"Qwen2.5-VL",QA_Detail!$G$2:$G$988,"Chart-Information Extraction",QA_Detail!$M$2:$M$988,"Minor")</f>
        <v>76</v>
      </c>
      <c r="O19" s="7" t="n">
        <f aca="false">COUNTIFS(QA_Detail!$B$2:$B$988,"Qwen2.5-VL",QA_Detail!$G$2:$G$988,"Chart-Information Extraction",QA_Detail!$M$2:$M$988,"Major")</f>
        <v>58</v>
      </c>
      <c r="P19" s="7" t="n">
        <f aca="false">COUNTIFS(QA_Detail!$B$2:$B$988,"Qwen2.5-VL",QA_Detail!$G$2:$G$988,"Chart-Information Extraction",QA_Detail!$M$2:$M$988,"Critical")</f>
        <v>10</v>
      </c>
      <c r="Q19" s="11" t="n">
        <f aca="false">IFERROR(COUNTIFS(QA_Detail!$B$2:$B$988,"Qwen2.5-VL",QA_Detail!$G$2:$G$988,"Chart-Information Extraction",QA_Detail!$P$2:$P$988,"Y")/D19,"-")</f>
        <v>0.187096774193548</v>
      </c>
      <c r="R19" s="7" t="n">
        <f aca="false">COUNTIFS(QA_Detail!$B$2:$B$988,"Qwen2.5-VL",QA_Detail!$G$2:$G$988,"Chart-Information Extraction",QA_Detail!$N$2:$N$988,"Factual/Numerical")</f>
        <v>27</v>
      </c>
      <c r="S19" s="7" t="n">
        <f aca="false">COUNTIFS(QA_Detail!$B$2:$B$988,"Qwen2.5-VL",QA_Detail!$G$2:$G$988,"Chart-Information Extraction",QA_Detail!$N$2:$N$988,"Reasoning")</f>
        <v>13</v>
      </c>
      <c r="T19" s="7" t="n">
        <f aca="false">COUNTIFS(QA_Detail!$B$2:$B$988,"Qwen2.5-VL",QA_Detail!$G$2:$G$988,"Chart-Information Extraction",QA_Detail!$N$2:$N$988,"Temporal")</f>
        <v>6</v>
      </c>
      <c r="U19" s="7" t="n">
        <f aca="false">COUNTIFS(QA_Detail!$B$2:$B$988,"Qwen2.5-VL",QA_Detail!$G$2:$G$988,"Chart-Information Extraction",QA_Detail!$N$2:$N$988,"Calculation")</f>
        <v>5</v>
      </c>
      <c r="V19" s="7" t="n">
        <f aca="false">COUNTIFS(QA_Detail!$B$2:$B$988,"Qwen2.5-VL",QA_Detail!$G$2:$G$988,"Chart-Information Extraction",QA_Detail!$N$2:$N$988,"Incomplete")</f>
        <v>13</v>
      </c>
      <c r="W19" s="7" t="n">
        <f aca="false">COUNTIFS(QA_Detail!$B$2:$B$988,"Qwen2.5-VL",QA_Detail!$G$2:$G$988,"Chart-Information Extraction",QA_Detail!$N$2:$N$988,"Unit")</f>
        <v>3</v>
      </c>
      <c r="X19" s="7" t="n">
        <f aca="false">COUNTIFS(QA_Detail!$B$2:$B$988,"Qwen2.5-VL",QA_Detail!$G$2:$G$988,"Chart-Information Extraction",QA_Detail!$N$2:$N$988,"Instruction-following")</f>
        <v>62</v>
      </c>
      <c r="Y19" s="7" t="n">
        <f aca="false">COUNTIFS(QA_Detail!$B$2:$B$988,"Qwen2.5-VL",QA_Detail!$G$2:$G$988,"Chart-Information Extraction",QA_Detail!$N$2:$N$988,"Typo/Grammar")</f>
        <v>2</v>
      </c>
      <c r="Z19" s="7" t="n">
        <f aca="false">COUNTIFS(QA_Detail!$B$2:$B$988,"Qwen2.5-VL",QA_Detail!$G$2:$G$988,"Chart-Information Extraction",QA_Detail!$N$2:$N$988,"Format")</f>
        <v>3</v>
      </c>
      <c r="AA19" s="7" t="n">
        <f aca="false">COUNTIFS(QA_Detail!$B$2:$B$988,"Qwen2.5-VL",QA_Detail!$G$2:$G$988,"Chart-Information Extraction",QA_Detail!$N$2:$N$988,"Hallucination")</f>
        <v>10</v>
      </c>
    </row>
    <row r="20" customFormat="false" ht="15" hidden="false" customHeight="false" outlineLevel="0" collapsed="false">
      <c r="A20" s="7" t="s">
        <v>38</v>
      </c>
      <c r="B20" s="7" t="s">
        <v>6589</v>
      </c>
      <c r="C20" s="7" t="s">
        <v>141</v>
      </c>
      <c r="D20" s="7" t="n">
        <f aca="false">COUNTIFS(QA_Detail!$B$2:$B$988,"Qwen2.5-VL",QA_Detail!$G$2:$G$988,"Chart-Numerical Calculation")</f>
        <v>131</v>
      </c>
      <c r="E20" s="7" t="n">
        <f aca="false">COUNTIFS(QA_Detail!$B$2:$B$988,"Qwen2.5-VL",QA_Detail!$G$2:$G$988,"Chart-Numerical Calculation",QA_Detail!$L$2:$L$988,"PASS")</f>
        <v>1</v>
      </c>
      <c r="F20" s="7" t="n">
        <f aca="false">COUNTIFS(QA_Detail!$B$2:$B$988,"Qwen2.5-VL",QA_Detail!$G$2:$G$988,"Chart-Numerical Calculation",QA_Detail!$L$2:$L$988,"REVISE")</f>
        <v>127</v>
      </c>
      <c r="G20" s="7" t="n">
        <f aca="false">COUNTIFS(QA_Detail!$B$2:$B$988,"Qwen2.5-VL",QA_Detail!$G$2:$G$988,"Chart-Numerical Calculation",QA_Detail!$L$2:$L$988,"DISCARD")</f>
        <v>3</v>
      </c>
      <c r="H20" s="7" t="n">
        <f aca="false">COUNTIFS(QA_Detail!$B$2:$B$988,"Qwen2.5-VL",QA_Detail!$G$2:$G$988,"Chart-Numerical Calculation",QA_Detail!$R$2:$R$988,"Y")</f>
        <v>53</v>
      </c>
      <c r="I20" s="11" t="n">
        <f aca="false">IFERROR(H20/D20,"-")</f>
        <v>0.404580152671756</v>
      </c>
      <c r="J20" s="11" t="n">
        <f aca="false">IFERROR(F20/D20,"-")</f>
        <v>0.969465648854962</v>
      </c>
      <c r="K20" s="11" t="n">
        <f aca="false">IFERROR(G20/D20,"-")</f>
        <v>0.0229007633587786</v>
      </c>
      <c r="L20" s="11" t="n">
        <f aca="false">IFERROR(E20/D20,"-")</f>
        <v>0.00763358778625954</v>
      </c>
      <c r="M20" s="11" t="n">
        <f aca="false">IFERROR((F20+G20)/D20,"-")</f>
        <v>0.99236641221374</v>
      </c>
      <c r="N20" s="7" t="n">
        <f aca="false">COUNTIFS(QA_Detail!$B$2:$B$988,"Qwen2.5-VL",QA_Detail!$G$2:$G$988,"Chart-Numerical Calculation",QA_Detail!$M$2:$M$988,"Minor")</f>
        <v>80</v>
      </c>
      <c r="O20" s="7" t="n">
        <f aca="false">COUNTIFS(QA_Detail!$B$2:$B$988,"Qwen2.5-VL",QA_Detail!$G$2:$G$988,"Chart-Numerical Calculation",QA_Detail!$M$2:$M$988,"Major")</f>
        <v>47</v>
      </c>
      <c r="P20" s="7" t="n">
        <f aca="false">COUNTIFS(QA_Detail!$B$2:$B$988,"Qwen2.5-VL",QA_Detail!$G$2:$G$988,"Chart-Numerical Calculation",QA_Detail!$M$2:$M$988,"Critical")</f>
        <v>3</v>
      </c>
      <c r="Q20" s="11" t="n">
        <f aca="false">IFERROR(COUNTIFS(QA_Detail!$B$2:$B$988,"Qwen2.5-VL",QA_Detail!$G$2:$G$988,"Chart-Numerical Calculation",QA_Detail!$P$2:$P$988,"Y")/D20,"-")</f>
        <v>0.0305343511450382</v>
      </c>
      <c r="R20" s="7" t="n">
        <f aca="false">COUNTIFS(QA_Detail!$B$2:$B$988,"Qwen2.5-VL",QA_Detail!$G$2:$G$988,"Chart-Numerical Calculation",QA_Detail!$N$2:$N$988,"Factual/Numerical")</f>
        <v>29</v>
      </c>
      <c r="S20" s="7" t="n">
        <f aca="false">COUNTIFS(QA_Detail!$B$2:$B$988,"Qwen2.5-VL",QA_Detail!$G$2:$G$988,"Chart-Numerical Calculation",QA_Detail!$N$2:$N$988,"Reasoning")</f>
        <v>11</v>
      </c>
      <c r="T20" s="7" t="n">
        <f aca="false">COUNTIFS(QA_Detail!$B$2:$B$988,"Qwen2.5-VL",QA_Detail!$G$2:$G$988,"Chart-Numerical Calculation",QA_Detail!$N$2:$N$988,"Temporal")</f>
        <v>6</v>
      </c>
      <c r="U20" s="7" t="n">
        <f aca="false">COUNTIFS(QA_Detail!$B$2:$B$988,"Qwen2.5-VL",QA_Detail!$G$2:$G$988,"Chart-Numerical Calculation",QA_Detail!$N$2:$N$988,"Calculation")</f>
        <v>4</v>
      </c>
      <c r="V20" s="7" t="n">
        <f aca="false">COUNTIFS(QA_Detail!$B$2:$B$988,"Qwen2.5-VL",QA_Detail!$G$2:$G$988,"Chart-Numerical Calculation",QA_Detail!$N$2:$N$988,"Incomplete")</f>
        <v>3</v>
      </c>
      <c r="W20" s="7" t="n">
        <f aca="false">COUNTIFS(QA_Detail!$B$2:$B$988,"Qwen2.5-VL",QA_Detail!$G$2:$G$988,"Chart-Numerical Calculation",QA_Detail!$N$2:$N$988,"Unit")</f>
        <v>0</v>
      </c>
      <c r="X20" s="7" t="n">
        <f aca="false">COUNTIFS(QA_Detail!$B$2:$B$988,"Qwen2.5-VL",QA_Detail!$G$2:$G$988,"Chart-Numerical Calculation",QA_Detail!$N$2:$N$988,"Instruction-following")</f>
        <v>70</v>
      </c>
      <c r="Y20" s="7" t="n">
        <f aca="false">COUNTIFS(QA_Detail!$B$2:$B$988,"Qwen2.5-VL",QA_Detail!$G$2:$G$988,"Chart-Numerical Calculation",QA_Detail!$N$2:$N$988,"Typo/Grammar")</f>
        <v>4</v>
      </c>
      <c r="Z20" s="7" t="n">
        <f aca="false">COUNTIFS(QA_Detail!$B$2:$B$988,"Qwen2.5-VL",QA_Detail!$G$2:$G$988,"Chart-Numerical Calculation",QA_Detail!$N$2:$N$988,"Format")</f>
        <v>0</v>
      </c>
      <c r="AA20" s="7" t="n">
        <f aca="false">COUNTIFS(QA_Detail!$B$2:$B$988,"Qwen2.5-VL",QA_Detail!$G$2:$G$988,"Chart-Numerical Calculation",QA_Detail!$N$2:$N$988,"Hallucination")</f>
        <v>3</v>
      </c>
    </row>
    <row r="21" customFormat="false" ht="15" hidden="false" customHeight="false" outlineLevel="0" collapsed="false">
      <c r="A21" s="7" t="s">
        <v>38</v>
      </c>
      <c r="B21" s="7" t="s">
        <v>6589</v>
      </c>
      <c r="C21" s="7" t="s">
        <v>152</v>
      </c>
      <c r="D21" s="7" t="n">
        <f aca="false">COUNTIFS(QA_Detail!$B$2:$B$988,"Qwen2.5-VL",QA_Detail!$G$2:$G$988,"Chart-Time-Sensitive")</f>
        <v>17</v>
      </c>
      <c r="E21" s="7" t="n">
        <f aca="false">COUNTIFS(QA_Detail!$B$2:$B$988,"Qwen2.5-VL",QA_Detail!$G$2:$G$988,"Chart-Time-Sensitive",QA_Detail!$L$2:$L$988,"PASS")</f>
        <v>2</v>
      </c>
      <c r="F21" s="7" t="n">
        <f aca="false">COUNTIFS(QA_Detail!$B$2:$B$988,"Qwen2.5-VL",QA_Detail!$G$2:$G$988,"Chart-Time-Sensitive",QA_Detail!$L$2:$L$988,"REVISE")</f>
        <v>12</v>
      </c>
      <c r="G21" s="7" t="n">
        <f aca="false">COUNTIFS(QA_Detail!$B$2:$B$988,"Qwen2.5-VL",QA_Detail!$G$2:$G$988,"Chart-Time-Sensitive",QA_Detail!$L$2:$L$988,"DISCARD")</f>
        <v>3</v>
      </c>
      <c r="H21" s="7" t="n">
        <f aca="false">COUNTIFS(QA_Detail!$B$2:$B$988,"Qwen2.5-VL",QA_Detail!$G$2:$G$988,"Chart-Time-Sensitive",QA_Detail!$R$2:$R$988,"Y")</f>
        <v>6</v>
      </c>
      <c r="I21" s="11" t="n">
        <f aca="false">IFERROR(H21/D21,"-")</f>
        <v>0.352941176470588</v>
      </c>
      <c r="J21" s="11" t="n">
        <f aca="false">IFERROR(F21/D21,"-")</f>
        <v>0.705882352941177</v>
      </c>
      <c r="K21" s="11" t="n">
        <f aca="false">IFERROR(G21/D21,"-")</f>
        <v>0.176470588235294</v>
      </c>
      <c r="L21" s="11" t="n">
        <f aca="false">IFERROR(E21/D21,"-")</f>
        <v>0.117647058823529</v>
      </c>
      <c r="M21" s="11" t="n">
        <f aca="false">IFERROR((F21+G21)/D21,"-")</f>
        <v>0.882352941176471</v>
      </c>
      <c r="N21" s="7" t="n">
        <f aca="false">COUNTIFS(QA_Detail!$B$2:$B$988,"Qwen2.5-VL",QA_Detail!$G$2:$G$988,"Chart-Time-Sensitive",QA_Detail!$M$2:$M$988,"Minor")</f>
        <v>5</v>
      </c>
      <c r="O21" s="7" t="n">
        <f aca="false">COUNTIFS(QA_Detail!$B$2:$B$988,"Qwen2.5-VL",QA_Detail!$G$2:$G$988,"Chart-Time-Sensitive",QA_Detail!$M$2:$M$988,"Major")</f>
        <v>7</v>
      </c>
      <c r="P21" s="7" t="n">
        <f aca="false">COUNTIFS(QA_Detail!$B$2:$B$988,"Qwen2.5-VL",QA_Detail!$G$2:$G$988,"Chart-Time-Sensitive",QA_Detail!$M$2:$M$988,"Critical")</f>
        <v>3</v>
      </c>
      <c r="Q21" s="11" t="n">
        <f aca="false">IFERROR(COUNTIFS(QA_Detail!$B$2:$B$988,"Qwen2.5-VL",QA_Detail!$G$2:$G$988,"Chart-Time-Sensitive",QA_Detail!$P$2:$P$988,"Y")/D21,"-")</f>
        <v>0.294117647058824</v>
      </c>
      <c r="R21" s="7" t="n">
        <f aca="false">COUNTIFS(QA_Detail!$B$2:$B$988,"Qwen2.5-VL",QA_Detail!$G$2:$G$988,"Chart-Time-Sensitive",QA_Detail!$N$2:$N$988,"Factual/Numerical")</f>
        <v>2</v>
      </c>
      <c r="S21" s="7" t="n">
        <f aca="false">COUNTIFS(QA_Detail!$B$2:$B$988,"Qwen2.5-VL",QA_Detail!$G$2:$G$988,"Chart-Time-Sensitive",QA_Detail!$N$2:$N$988,"Reasoning")</f>
        <v>1</v>
      </c>
      <c r="T21" s="7" t="n">
        <f aca="false">COUNTIFS(QA_Detail!$B$2:$B$988,"Qwen2.5-VL",QA_Detail!$G$2:$G$988,"Chart-Time-Sensitive",QA_Detail!$N$2:$N$988,"Temporal")</f>
        <v>0</v>
      </c>
      <c r="U21" s="7" t="n">
        <f aca="false">COUNTIFS(QA_Detail!$B$2:$B$988,"Qwen2.5-VL",QA_Detail!$G$2:$G$988,"Chart-Time-Sensitive",QA_Detail!$N$2:$N$988,"Calculation")</f>
        <v>0</v>
      </c>
      <c r="V21" s="7" t="n">
        <f aca="false">COUNTIFS(QA_Detail!$B$2:$B$988,"Qwen2.5-VL",QA_Detail!$G$2:$G$988,"Chart-Time-Sensitive",QA_Detail!$N$2:$N$988,"Incomplete")</f>
        <v>3</v>
      </c>
      <c r="W21" s="7" t="n">
        <f aca="false">COUNTIFS(QA_Detail!$B$2:$B$988,"Qwen2.5-VL",QA_Detail!$G$2:$G$988,"Chart-Time-Sensitive",QA_Detail!$N$2:$N$988,"Unit")</f>
        <v>0</v>
      </c>
      <c r="X21" s="7" t="n">
        <f aca="false">COUNTIFS(QA_Detail!$B$2:$B$988,"Qwen2.5-VL",QA_Detail!$G$2:$G$988,"Chart-Time-Sensitive",QA_Detail!$N$2:$N$988,"Instruction-following")</f>
        <v>5</v>
      </c>
      <c r="Y21" s="7" t="n">
        <f aca="false">COUNTIFS(QA_Detail!$B$2:$B$988,"Qwen2.5-VL",QA_Detail!$G$2:$G$988,"Chart-Time-Sensitive",QA_Detail!$N$2:$N$988,"Typo/Grammar")</f>
        <v>1</v>
      </c>
      <c r="Z21" s="7" t="n">
        <f aca="false">COUNTIFS(QA_Detail!$B$2:$B$988,"Qwen2.5-VL",QA_Detail!$G$2:$G$988,"Chart-Time-Sensitive",QA_Detail!$N$2:$N$988,"Format")</f>
        <v>0</v>
      </c>
      <c r="AA21" s="7" t="n">
        <f aca="false">COUNTIFS(QA_Detail!$B$2:$B$988,"Qwen2.5-VL",QA_Detail!$G$2:$G$988,"Chart-Time-Sensitive",QA_Detail!$N$2:$N$988,"Hallucination")</f>
        <v>3</v>
      </c>
    </row>
    <row r="22" customFormat="false" ht="15" hidden="false" customHeight="false" outlineLevel="0" collapsed="false">
      <c r="A22" s="7" t="s">
        <v>38</v>
      </c>
      <c r="B22" s="7" t="s">
        <v>6589</v>
      </c>
      <c r="C22" s="7" t="s">
        <v>307</v>
      </c>
      <c r="D22" s="7" t="n">
        <f aca="false">COUNTIFS(QA_Detail!$B$2:$B$988,"Qwen2.5-VL",QA_Detail!$G$2:$G$988,"Table-Numerical Calculation")</f>
        <v>24</v>
      </c>
      <c r="E22" s="7" t="n">
        <f aca="false">COUNTIFS(QA_Detail!$B$2:$B$988,"Qwen2.5-VL",QA_Detail!$G$2:$G$988,"Table-Numerical Calculation",QA_Detail!$L$2:$L$988,"PASS")</f>
        <v>1</v>
      </c>
      <c r="F22" s="7" t="n">
        <f aca="false">COUNTIFS(QA_Detail!$B$2:$B$988,"Qwen2.5-VL",QA_Detail!$G$2:$G$988,"Table-Numerical Calculation",QA_Detail!$L$2:$L$988,"REVISE")</f>
        <v>22</v>
      </c>
      <c r="G22" s="7" t="n">
        <f aca="false">COUNTIFS(QA_Detail!$B$2:$B$988,"Qwen2.5-VL",QA_Detail!$G$2:$G$988,"Table-Numerical Calculation",QA_Detail!$L$2:$L$988,"DISCARD")</f>
        <v>1</v>
      </c>
      <c r="H22" s="7" t="n">
        <f aca="false">COUNTIFS(QA_Detail!$B$2:$B$988,"Qwen2.5-VL",QA_Detail!$G$2:$G$988,"Table-Numerical Calculation",QA_Detail!$R$2:$R$988,"Y")</f>
        <v>10</v>
      </c>
      <c r="I22" s="11" t="n">
        <f aca="false">IFERROR(H22/D22,"-")</f>
        <v>0.416666666666667</v>
      </c>
      <c r="J22" s="11" t="n">
        <f aca="false">IFERROR(F22/D22,"-")</f>
        <v>0.916666666666667</v>
      </c>
      <c r="K22" s="11" t="n">
        <f aca="false">IFERROR(G22/D22,"-")</f>
        <v>0.0416666666666667</v>
      </c>
      <c r="L22" s="11" t="n">
        <f aca="false">IFERROR(E22/D22,"-")</f>
        <v>0.0416666666666667</v>
      </c>
      <c r="M22" s="11" t="n">
        <f aca="false">IFERROR((F22+G22)/D22,"-")</f>
        <v>0.958333333333333</v>
      </c>
      <c r="N22" s="7" t="n">
        <f aca="false">COUNTIFS(QA_Detail!$B$2:$B$988,"Qwen2.5-VL",QA_Detail!$G$2:$G$988,"Table-Numerical Calculation",QA_Detail!$M$2:$M$988,"Minor")</f>
        <v>14</v>
      </c>
      <c r="O22" s="7" t="n">
        <f aca="false">COUNTIFS(QA_Detail!$B$2:$B$988,"Qwen2.5-VL",QA_Detail!$G$2:$G$988,"Table-Numerical Calculation",QA_Detail!$M$2:$M$988,"Major")</f>
        <v>8</v>
      </c>
      <c r="P22" s="7" t="n">
        <f aca="false">COUNTIFS(QA_Detail!$B$2:$B$988,"Qwen2.5-VL",QA_Detail!$G$2:$G$988,"Table-Numerical Calculation",QA_Detail!$M$2:$M$988,"Critical")</f>
        <v>1</v>
      </c>
      <c r="Q22" s="11" t="n">
        <f aca="false">IFERROR(COUNTIFS(QA_Detail!$B$2:$B$988,"Qwen2.5-VL",QA_Detail!$G$2:$G$988,"Table-Numerical Calculation",QA_Detail!$P$2:$P$988,"Y")/D22,"-")</f>
        <v>0.125</v>
      </c>
      <c r="R22" s="7" t="n">
        <f aca="false">COUNTIFS(QA_Detail!$B$2:$B$988,"Qwen2.5-VL",QA_Detail!$G$2:$G$988,"Table-Numerical Calculation",QA_Detail!$N$2:$N$988,"Factual/Numerical")</f>
        <v>5</v>
      </c>
      <c r="S22" s="7" t="n">
        <f aca="false">COUNTIFS(QA_Detail!$B$2:$B$988,"Qwen2.5-VL",QA_Detail!$G$2:$G$988,"Table-Numerical Calculation",QA_Detail!$N$2:$N$988,"Reasoning")</f>
        <v>0</v>
      </c>
      <c r="T22" s="7" t="n">
        <f aca="false">COUNTIFS(QA_Detail!$B$2:$B$988,"Qwen2.5-VL",QA_Detail!$G$2:$G$988,"Table-Numerical Calculation",QA_Detail!$N$2:$N$988,"Temporal")</f>
        <v>2</v>
      </c>
      <c r="U22" s="7" t="n">
        <f aca="false">COUNTIFS(QA_Detail!$B$2:$B$988,"Qwen2.5-VL",QA_Detail!$G$2:$G$988,"Table-Numerical Calculation",QA_Detail!$N$2:$N$988,"Calculation")</f>
        <v>1</v>
      </c>
      <c r="V22" s="7" t="n">
        <f aca="false">COUNTIFS(QA_Detail!$B$2:$B$988,"Qwen2.5-VL",QA_Detail!$G$2:$G$988,"Table-Numerical Calculation",QA_Detail!$N$2:$N$988,"Incomplete")</f>
        <v>2</v>
      </c>
      <c r="W22" s="7" t="n">
        <f aca="false">COUNTIFS(QA_Detail!$B$2:$B$988,"Qwen2.5-VL",QA_Detail!$G$2:$G$988,"Table-Numerical Calculation",QA_Detail!$N$2:$N$988,"Unit")</f>
        <v>0</v>
      </c>
      <c r="X22" s="7" t="n">
        <f aca="false">COUNTIFS(QA_Detail!$B$2:$B$988,"Qwen2.5-VL",QA_Detail!$G$2:$G$988,"Table-Numerical Calculation",QA_Detail!$N$2:$N$988,"Instruction-following")</f>
        <v>11</v>
      </c>
      <c r="Y22" s="7" t="n">
        <f aca="false">COUNTIFS(QA_Detail!$B$2:$B$988,"Qwen2.5-VL",QA_Detail!$G$2:$G$988,"Table-Numerical Calculation",QA_Detail!$N$2:$N$988,"Typo/Grammar")</f>
        <v>1</v>
      </c>
      <c r="Z22" s="7" t="n">
        <f aca="false">COUNTIFS(QA_Detail!$B$2:$B$988,"Qwen2.5-VL",QA_Detail!$G$2:$G$988,"Table-Numerical Calculation",QA_Detail!$N$2:$N$988,"Format")</f>
        <v>0</v>
      </c>
      <c r="AA22" s="7" t="n">
        <f aca="false">COUNTIFS(QA_Detail!$B$2:$B$988,"Qwen2.5-VL",QA_Detail!$G$2:$G$988,"Table-Numerical Calculation",QA_Detail!$N$2:$N$988,"Hallucination")</f>
        <v>1</v>
      </c>
    </row>
    <row r="23" customFormat="false" ht="15" hidden="false" customHeight="false" outlineLevel="0" collapsed="false">
      <c r="A23" s="7" t="s">
        <v>38</v>
      </c>
      <c r="B23" s="7" t="s">
        <v>6589</v>
      </c>
      <c r="C23" s="7" t="s">
        <v>136</v>
      </c>
      <c r="D23" s="7" t="n">
        <f aca="false">COUNTIFS(QA_Detail!$B$2:$B$988,"Qwen2.5-VL",QA_Detail!$G$2:$G$988,"Table-Comparison and Sorting")</f>
        <v>2</v>
      </c>
      <c r="E23" s="7" t="n">
        <f aca="false">COUNTIFS(QA_Detail!$B$2:$B$988,"Qwen2.5-VL",QA_Detail!$G$2:$G$988,"Table-Comparison and Sorting",QA_Detail!$L$2:$L$988,"PASS")</f>
        <v>0</v>
      </c>
      <c r="F23" s="7" t="n">
        <f aca="false">COUNTIFS(QA_Detail!$B$2:$B$988,"Qwen2.5-VL",QA_Detail!$G$2:$G$988,"Table-Comparison and Sorting",QA_Detail!$L$2:$L$988,"REVISE")</f>
        <v>2</v>
      </c>
      <c r="G23" s="7" t="n">
        <f aca="false">COUNTIFS(QA_Detail!$B$2:$B$988,"Qwen2.5-VL",QA_Detail!$G$2:$G$988,"Table-Comparison and Sorting",QA_Detail!$L$2:$L$988,"DISCARD")</f>
        <v>0</v>
      </c>
      <c r="H23" s="7" t="n">
        <f aca="false">COUNTIFS(QA_Detail!$B$2:$B$988,"Qwen2.5-VL",QA_Detail!$G$2:$G$988,"Table-Comparison and Sorting",QA_Detail!$R$2:$R$988,"Y")</f>
        <v>1</v>
      </c>
      <c r="I23" s="11" t="n">
        <f aca="false">IFERROR(H23/D23,"-")</f>
        <v>0.5</v>
      </c>
      <c r="J23" s="11" t="n">
        <f aca="false">IFERROR(F23/D23,"-")</f>
        <v>1</v>
      </c>
      <c r="K23" s="11" t="n">
        <f aca="false">IFERROR(G23/D23,"-")</f>
        <v>0</v>
      </c>
      <c r="L23" s="11" t="n">
        <f aca="false">IFERROR(E23/D23,"-")</f>
        <v>0</v>
      </c>
      <c r="M23" s="11" t="n">
        <f aca="false">IFERROR((F23+G23)/D23,"-")</f>
        <v>1</v>
      </c>
      <c r="N23" s="7" t="n">
        <f aca="false">COUNTIFS(QA_Detail!$B$2:$B$988,"Qwen2.5-VL",QA_Detail!$G$2:$G$988,"Table-Comparison and Sorting",QA_Detail!$M$2:$M$988,"Minor")</f>
        <v>1</v>
      </c>
      <c r="O23" s="7" t="n">
        <f aca="false">COUNTIFS(QA_Detail!$B$2:$B$988,"Qwen2.5-VL",QA_Detail!$G$2:$G$988,"Table-Comparison and Sorting",QA_Detail!$M$2:$M$988,"Major")</f>
        <v>1</v>
      </c>
      <c r="P23" s="7" t="n">
        <f aca="false">COUNTIFS(QA_Detail!$B$2:$B$988,"Qwen2.5-VL",QA_Detail!$G$2:$G$988,"Table-Comparison and Sorting",QA_Detail!$M$2:$M$988,"Critical")</f>
        <v>0</v>
      </c>
      <c r="Q23" s="11" t="n">
        <f aca="false">IFERROR(COUNTIFS(QA_Detail!$B$2:$B$988,"Qwen2.5-VL",QA_Detail!$G$2:$G$988,"Table-Comparison and Sorting",QA_Detail!$P$2:$P$988,"Y")/D23,"-")</f>
        <v>0.5</v>
      </c>
      <c r="R23" s="7" t="n">
        <f aca="false">COUNTIFS(QA_Detail!$B$2:$B$988,"Qwen2.5-VL",QA_Detail!$G$2:$G$988,"Table-Comparison and Sorting",QA_Detail!$N$2:$N$988,"Factual/Numerical")</f>
        <v>0</v>
      </c>
      <c r="S23" s="7" t="n">
        <f aca="false">COUNTIFS(QA_Detail!$B$2:$B$988,"Qwen2.5-VL",QA_Detail!$G$2:$G$988,"Table-Comparison and Sorting",QA_Detail!$N$2:$N$988,"Reasoning")</f>
        <v>0</v>
      </c>
      <c r="T23" s="7" t="n">
        <f aca="false">COUNTIFS(QA_Detail!$B$2:$B$988,"Qwen2.5-VL",QA_Detail!$G$2:$G$988,"Table-Comparison and Sorting",QA_Detail!$N$2:$N$988,"Temporal")</f>
        <v>0</v>
      </c>
      <c r="U23" s="7" t="n">
        <f aca="false">COUNTIFS(QA_Detail!$B$2:$B$988,"Qwen2.5-VL",QA_Detail!$G$2:$G$988,"Table-Comparison and Sorting",QA_Detail!$N$2:$N$988,"Calculation")</f>
        <v>0</v>
      </c>
      <c r="V23" s="7" t="n">
        <f aca="false">COUNTIFS(QA_Detail!$B$2:$B$988,"Qwen2.5-VL",QA_Detail!$G$2:$G$988,"Table-Comparison and Sorting",QA_Detail!$N$2:$N$988,"Incomplete")</f>
        <v>1</v>
      </c>
      <c r="W23" s="7" t="n">
        <f aca="false">COUNTIFS(QA_Detail!$B$2:$B$988,"Qwen2.5-VL",QA_Detail!$G$2:$G$988,"Table-Comparison and Sorting",QA_Detail!$N$2:$N$988,"Unit")</f>
        <v>0</v>
      </c>
      <c r="X23" s="7" t="n">
        <f aca="false">COUNTIFS(QA_Detail!$B$2:$B$988,"Qwen2.5-VL",QA_Detail!$G$2:$G$988,"Table-Comparison and Sorting",QA_Detail!$N$2:$N$988,"Instruction-following")</f>
        <v>1</v>
      </c>
      <c r="Y23" s="7" t="n">
        <f aca="false">COUNTIFS(QA_Detail!$B$2:$B$988,"Qwen2.5-VL",QA_Detail!$G$2:$G$988,"Table-Comparison and Sorting",QA_Detail!$N$2:$N$988,"Typo/Grammar")</f>
        <v>0</v>
      </c>
      <c r="Z23" s="7" t="n">
        <f aca="false">COUNTIFS(QA_Detail!$B$2:$B$988,"Qwen2.5-VL",QA_Detail!$G$2:$G$988,"Table-Comparison and Sorting",QA_Detail!$N$2:$N$988,"Format")</f>
        <v>0</v>
      </c>
      <c r="AA23" s="7" t="n">
        <f aca="false">COUNTIFS(QA_Detail!$B$2:$B$988,"Qwen2.5-VL",QA_Detail!$G$2:$G$988,"Table-Comparison and Sorting",QA_Detail!$N$2:$N$988,"Hallucination")</f>
        <v>0</v>
      </c>
    </row>
    <row r="25" customFormat="false" ht="15" hidden="false" customHeight="false" outlineLevel="0" collapsed="false">
      <c r="A25" s="19" t="s">
        <v>39</v>
      </c>
      <c r="B25" s="19" t="s">
        <v>100</v>
      </c>
      <c r="C25" s="19" t="s">
        <v>130</v>
      </c>
      <c r="D25" s="19" t="n">
        <f aca="false">COUNTIFS(QA_Detail!$B$2:$B$988,"*",QA_Detail!$H$2:$H$988,"Text")</f>
        <v>312</v>
      </c>
      <c r="E25" s="19" t="n">
        <f aca="false">COUNTIFS(QA_Detail!$B$2:$B$988,"*",QA_Detail!$H$2:$H$988,"Text",QA_Detail!$L$2:$L$988,"PASS")</f>
        <v>104</v>
      </c>
      <c r="F25" s="19" t="n">
        <f aca="false">COUNTIFS(QA_Detail!$B$2:$B$988,"*",QA_Detail!$H$2:$H$988,"Text",QA_Detail!$L$2:$L$988,"REVISE")</f>
        <v>187</v>
      </c>
      <c r="G25" s="19" t="n">
        <f aca="false">COUNTIFS(QA_Detail!$B$2:$B$988,"*",QA_Detail!$H$2:$H$988,"Text",QA_Detail!$L$2:$L$988,"DISCARD")</f>
        <v>21</v>
      </c>
      <c r="H25" s="19" t="n">
        <f aca="false">COUNTIFS(QA_Detail!$B$2:$B$988,"*",QA_Detail!$H$2:$H$988,"Text",QA_Detail!$R$2:$R$988,"Y")</f>
        <v>133</v>
      </c>
      <c r="I25" s="20" t="n">
        <f aca="false">IFERROR(H25/D25,"-")</f>
        <v>0.426282051282051</v>
      </c>
      <c r="J25" s="20" t="n">
        <f aca="false">IFERROR(F25/D25,"-")</f>
        <v>0.599358974358974</v>
      </c>
      <c r="K25" s="20" t="n">
        <f aca="false">IFERROR(G25/D25,"-")</f>
        <v>0.0673076923076923</v>
      </c>
      <c r="L25" s="20" t="n">
        <f aca="false">IFERROR(E25/D25,"-")</f>
        <v>0.333333333333333</v>
      </c>
      <c r="M25" s="20" t="n">
        <f aca="false">IFERROR((F25+G25)/D25,"-")</f>
        <v>0.666666666666667</v>
      </c>
      <c r="N25" s="19" t="n">
        <f aca="false">COUNTIFS(QA_Detail!$B$2:$B$988,"*",QA_Detail!$H$2:$H$988,"Text",QA_Detail!$M$2:$M$988,"Minor")</f>
        <v>63</v>
      </c>
      <c r="O25" s="19" t="n">
        <f aca="false">COUNTIFS(QA_Detail!$B$2:$B$988,"*",QA_Detail!$H$2:$H$988,"Text",QA_Detail!$M$2:$M$988,"Major")</f>
        <v>124</v>
      </c>
      <c r="P25" s="19" t="n">
        <f aca="false">COUNTIFS(QA_Detail!$B$2:$B$988,"*",QA_Detail!$H$2:$H$988,"Text",QA_Detail!$M$2:$M$988,"Critical")</f>
        <v>21</v>
      </c>
      <c r="Q25" s="20" t="n">
        <f aca="false">IFERROR(COUNTIFS(QA_Detail!$B$2:$B$988,"*",QA_Detail!$H$2:$H$988,"Text",QA_Detail!$P$2:$P$988,"Y")/D25,"-")</f>
        <v>0.775641025641026</v>
      </c>
      <c r="R25" s="19" t="n">
        <f aca="false">COUNTIFS(QA_Detail!$B$2:$B$988,"*",QA_Detail!$H$2:$H$988,"Text",QA_Detail!$N$2:$N$988,"Factual/Numerical")</f>
        <v>86</v>
      </c>
      <c r="S25" s="19" t="n">
        <f aca="false">COUNTIFS(QA_Detail!$B$2:$B$988,"*",QA_Detail!$H$2:$H$988,"Text",QA_Detail!$N$2:$N$988,"Reasoning")</f>
        <v>26</v>
      </c>
      <c r="T25" s="19" t="n">
        <f aca="false">COUNTIFS(QA_Detail!$B$2:$B$988,"*",QA_Detail!$H$2:$H$988,"Text",QA_Detail!$N$2:$N$988,"Temporal")</f>
        <v>14</v>
      </c>
      <c r="U25" s="19" t="n">
        <f aca="false">COUNTIFS(QA_Detail!$B$2:$B$988,"*",QA_Detail!$H$2:$H$988,"Text",QA_Detail!$N$2:$N$988,"Calculation")</f>
        <v>1</v>
      </c>
      <c r="V25" s="19" t="n">
        <f aca="false">COUNTIFS(QA_Detail!$B$2:$B$988,"*",QA_Detail!$H$2:$H$988,"Text",QA_Detail!$N$2:$N$988,"Incomplete")</f>
        <v>9</v>
      </c>
      <c r="W25" s="19" t="n">
        <f aca="false">COUNTIFS(QA_Detail!$B$2:$B$988,"*",QA_Detail!$H$2:$H$988,"Text",QA_Detail!$N$2:$N$988,"Unit")</f>
        <v>3</v>
      </c>
      <c r="X25" s="19" t="n">
        <f aca="false">COUNTIFS(QA_Detail!$B$2:$B$988,"*",QA_Detail!$H$2:$H$988,"Text",QA_Detail!$N$2:$N$988,"Instruction-following")</f>
        <v>9</v>
      </c>
      <c r="Y25" s="19" t="n">
        <f aca="false">COUNTIFS(QA_Detail!$B$2:$B$988,"*",QA_Detail!$H$2:$H$988,"Text",QA_Detail!$N$2:$N$988,"Typo/Grammar")</f>
        <v>35</v>
      </c>
      <c r="Z25" s="19" t="n">
        <f aca="false">COUNTIFS(QA_Detail!$B$2:$B$988,"*",QA_Detail!$H$2:$H$988,"Text",QA_Detail!$N$2:$N$988,"Format")</f>
        <v>4</v>
      </c>
      <c r="AA25" s="19" t="n">
        <f aca="false">COUNTIFS(QA_Detail!$B$2:$B$988,"*",QA_Detail!$H$2:$H$988,"Text",QA_Detail!$N$2:$N$988,"Hallucination")</f>
        <v>21</v>
      </c>
    </row>
    <row r="26" customFormat="false" ht="15" hidden="false" customHeight="false" outlineLevel="0" collapsed="false">
      <c r="A26" s="19" t="s">
        <v>39</v>
      </c>
      <c r="B26" s="19" t="s">
        <v>100</v>
      </c>
      <c r="C26" s="19" t="s">
        <v>142</v>
      </c>
      <c r="D26" s="19" t="n">
        <f aca="false">COUNTIFS(QA_Detail!$B$2:$B$988,"*",QA_Detail!$H$2:$H$988,"Chart")</f>
        <v>610</v>
      </c>
      <c r="E26" s="19" t="n">
        <f aca="false">COUNTIFS(QA_Detail!$B$2:$B$988,"*",QA_Detail!$H$2:$H$988,"Chart",QA_Detail!$L$2:$L$988,"PASS")</f>
        <v>17</v>
      </c>
      <c r="F26" s="19" t="n">
        <f aca="false">COUNTIFS(QA_Detail!$B$2:$B$988,"*",QA_Detail!$H$2:$H$988,"Chart",QA_Detail!$L$2:$L$988,"REVISE")</f>
        <v>542</v>
      </c>
      <c r="G26" s="19" t="n">
        <f aca="false">COUNTIFS(QA_Detail!$B$2:$B$988,"*",QA_Detail!$H$2:$H$988,"Chart",QA_Detail!$L$2:$L$988,"DISCARD")</f>
        <v>51</v>
      </c>
      <c r="H26" s="19" t="n">
        <f aca="false">COUNTIFS(QA_Detail!$B$2:$B$988,"*",QA_Detail!$H$2:$H$988,"Chart",QA_Detail!$R$2:$R$988,"Y")</f>
        <v>145</v>
      </c>
      <c r="I26" s="20" t="n">
        <f aca="false">IFERROR(H26/D26,"-")</f>
        <v>0.237704918032787</v>
      </c>
      <c r="J26" s="20" t="n">
        <f aca="false">IFERROR(F26/D26,"-")</f>
        <v>0.888524590163935</v>
      </c>
      <c r="K26" s="20" t="n">
        <f aca="false">IFERROR(G26/D26,"-")</f>
        <v>0.0836065573770492</v>
      </c>
      <c r="L26" s="20" t="n">
        <f aca="false">IFERROR(E26/D26,"-")</f>
        <v>0.0278688524590164</v>
      </c>
      <c r="M26" s="20" t="n">
        <f aca="false">IFERROR((F26+G26)/D26,"-")</f>
        <v>0.972131147540984</v>
      </c>
      <c r="N26" s="19" t="n">
        <f aca="false">COUNTIFS(QA_Detail!$B$2:$B$988,"*",QA_Detail!$H$2:$H$988,"Chart",QA_Detail!$M$2:$M$988,"Minor")</f>
        <v>229</v>
      </c>
      <c r="O26" s="19" t="n">
        <f aca="false">COUNTIFS(QA_Detail!$B$2:$B$988,"*",QA_Detail!$H$2:$H$988,"Chart",QA_Detail!$M$2:$M$988,"Major")</f>
        <v>313</v>
      </c>
      <c r="P26" s="19" t="n">
        <f aca="false">COUNTIFS(QA_Detail!$B$2:$B$988,"*",QA_Detail!$H$2:$H$988,"Chart",QA_Detail!$M$2:$M$988,"Critical")</f>
        <v>51</v>
      </c>
      <c r="Q26" s="20" t="n">
        <f aca="false">IFERROR(COUNTIFS(QA_Detail!$B$2:$B$988,"*",QA_Detail!$H$2:$H$988,"Chart",QA_Detail!$P$2:$P$988,"Y")/D26,"-")</f>
        <v>0.145901639344262</v>
      </c>
      <c r="R26" s="19" t="n">
        <f aca="false">COUNTIFS(QA_Detail!$B$2:$B$988,"*",QA_Detail!$H$2:$H$988,"Chart",QA_Detail!$N$2:$N$988,"Factual/Numerical")</f>
        <v>206</v>
      </c>
      <c r="S26" s="19" t="n">
        <f aca="false">COUNTIFS(QA_Detail!$B$2:$B$988,"*",QA_Detail!$H$2:$H$988,"Chart",QA_Detail!$N$2:$N$988,"Reasoning")</f>
        <v>52</v>
      </c>
      <c r="T26" s="19" t="n">
        <f aca="false">COUNTIFS(QA_Detail!$B$2:$B$988,"*",QA_Detail!$H$2:$H$988,"Chart",QA_Detail!$N$2:$N$988,"Temporal")</f>
        <v>36</v>
      </c>
      <c r="U26" s="19" t="n">
        <f aca="false">COUNTIFS(QA_Detail!$B$2:$B$988,"*",QA_Detail!$H$2:$H$988,"Chart",QA_Detail!$N$2:$N$988,"Calculation")</f>
        <v>15</v>
      </c>
      <c r="V26" s="19" t="n">
        <f aca="false">COUNTIFS(QA_Detail!$B$2:$B$988,"*",QA_Detail!$H$2:$H$988,"Chart",QA_Detail!$N$2:$N$988,"Incomplete")</f>
        <v>27</v>
      </c>
      <c r="W26" s="19" t="n">
        <f aca="false">COUNTIFS(QA_Detail!$B$2:$B$988,"*",QA_Detail!$H$2:$H$988,"Chart",QA_Detail!$N$2:$N$988,"Unit")</f>
        <v>6</v>
      </c>
      <c r="X26" s="19" t="n">
        <f aca="false">COUNTIFS(QA_Detail!$B$2:$B$988,"*",QA_Detail!$H$2:$H$988,"Chart",QA_Detail!$N$2:$N$988,"Instruction-following")</f>
        <v>172</v>
      </c>
      <c r="Y26" s="19" t="n">
        <f aca="false">COUNTIFS(QA_Detail!$B$2:$B$988,"*",QA_Detail!$H$2:$H$988,"Chart",QA_Detail!$N$2:$N$988,"Typo/Grammar")</f>
        <v>22</v>
      </c>
      <c r="Z26" s="19" t="n">
        <f aca="false">COUNTIFS(QA_Detail!$B$2:$B$988,"*",QA_Detail!$H$2:$H$988,"Chart",QA_Detail!$N$2:$N$988,"Format")</f>
        <v>6</v>
      </c>
      <c r="AA26" s="19" t="n">
        <f aca="false">COUNTIFS(QA_Detail!$B$2:$B$988,"*",QA_Detail!$H$2:$H$988,"Chart",QA_Detail!$N$2:$N$988,"Hallucination")</f>
        <v>51</v>
      </c>
    </row>
    <row r="27" customFormat="false" ht="15" hidden="false" customHeight="false" outlineLevel="0" collapsed="false">
      <c r="A27" s="19" t="s">
        <v>39</v>
      </c>
      <c r="B27" s="19" t="s">
        <v>100</v>
      </c>
      <c r="C27" s="19" t="s">
        <v>308</v>
      </c>
      <c r="D27" s="19" t="n">
        <f aca="false">COUNTIFS(QA_Detail!$B$2:$B$988,"*",QA_Detail!$H$2:$H$988,"Table")</f>
        <v>65</v>
      </c>
      <c r="E27" s="19" t="n">
        <f aca="false">COUNTIFS(QA_Detail!$B$2:$B$988,"*",QA_Detail!$H$2:$H$988,"Table",QA_Detail!$L$2:$L$988,"PASS")</f>
        <v>1</v>
      </c>
      <c r="F27" s="19" t="n">
        <f aca="false">COUNTIFS(QA_Detail!$B$2:$B$988,"*",QA_Detail!$H$2:$H$988,"Table",QA_Detail!$L$2:$L$988,"REVISE")</f>
        <v>59</v>
      </c>
      <c r="G27" s="19" t="n">
        <f aca="false">COUNTIFS(QA_Detail!$B$2:$B$988,"*",QA_Detail!$H$2:$H$988,"Table",QA_Detail!$L$2:$L$988,"DISCARD")</f>
        <v>5</v>
      </c>
      <c r="H27" s="19" t="n">
        <f aca="false">COUNTIFS(QA_Detail!$B$2:$B$988,"*",QA_Detail!$H$2:$H$988,"Table",QA_Detail!$R$2:$R$988,"Y")</f>
        <v>18</v>
      </c>
      <c r="I27" s="20" t="n">
        <f aca="false">IFERROR(H27/D27,"-")</f>
        <v>0.276923076923077</v>
      </c>
      <c r="J27" s="20" t="n">
        <f aca="false">IFERROR(F27/D27,"-")</f>
        <v>0.907692307692308</v>
      </c>
      <c r="K27" s="20" t="n">
        <f aca="false">IFERROR(G27/D27,"-")</f>
        <v>0.0769230769230769</v>
      </c>
      <c r="L27" s="20" t="n">
        <f aca="false">IFERROR(E27/D27,"-")</f>
        <v>0.0153846153846154</v>
      </c>
      <c r="M27" s="20" t="n">
        <f aca="false">IFERROR((F27+G27)/D27,"-")</f>
        <v>0.984615384615385</v>
      </c>
      <c r="N27" s="19" t="n">
        <f aca="false">COUNTIFS(QA_Detail!$B$2:$B$988,"*",QA_Detail!$H$2:$H$988,"Table",QA_Detail!$M$2:$M$988,"Minor")</f>
        <v>24</v>
      </c>
      <c r="O27" s="19" t="n">
        <f aca="false">COUNTIFS(QA_Detail!$B$2:$B$988,"*",QA_Detail!$H$2:$H$988,"Table",QA_Detail!$M$2:$M$988,"Major")</f>
        <v>35</v>
      </c>
      <c r="P27" s="19" t="n">
        <f aca="false">COUNTIFS(QA_Detail!$B$2:$B$988,"*",QA_Detail!$H$2:$H$988,"Table",QA_Detail!$M$2:$M$988,"Critical")</f>
        <v>5</v>
      </c>
      <c r="Q27" s="20" t="n">
        <f aca="false">IFERROR(COUNTIFS(QA_Detail!$B$2:$B$988,"*",QA_Detail!$H$2:$H$988,"Table",QA_Detail!$P$2:$P$988,"Y")/D27,"-")</f>
        <v>0.323076923076923</v>
      </c>
      <c r="R27" s="19" t="n">
        <f aca="false">COUNTIFS(QA_Detail!$B$2:$B$988,"*",QA_Detail!$H$2:$H$988,"Table",QA_Detail!$N$2:$N$988,"Factual/Numerical")</f>
        <v>26</v>
      </c>
      <c r="S27" s="19" t="n">
        <f aca="false">COUNTIFS(QA_Detail!$B$2:$B$988,"*",QA_Detail!$H$2:$H$988,"Table",QA_Detail!$N$2:$N$988,"Reasoning")</f>
        <v>2</v>
      </c>
      <c r="T27" s="19" t="n">
        <f aca="false">COUNTIFS(QA_Detail!$B$2:$B$988,"*",QA_Detail!$H$2:$H$988,"Table",QA_Detail!$N$2:$N$988,"Temporal")</f>
        <v>4</v>
      </c>
      <c r="U27" s="19" t="n">
        <f aca="false">COUNTIFS(QA_Detail!$B$2:$B$988,"*",QA_Detail!$H$2:$H$988,"Table",QA_Detail!$N$2:$N$988,"Calculation")</f>
        <v>2</v>
      </c>
      <c r="V27" s="19" t="n">
        <f aca="false">COUNTIFS(QA_Detail!$B$2:$B$988,"*",QA_Detail!$H$2:$H$988,"Table",QA_Detail!$N$2:$N$988,"Incomplete")</f>
        <v>3</v>
      </c>
      <c r="W27" s="19" t="n">
        <f aca="false">COUNTIFS(QA_Detail!$B$2:$B$988,"*",QA_Detail!$H$2:$H$988,"Table",QA_Detail!$N$2:$N$988,"Unit")</f>
        <v>0</v>
      </c>
      <c r="X27" s="19" t="n">
        <f aca="false">COUNTIFS(QA_Detail!$B$2:$B$988,"*",QA_Detail!$H$2:$H$988,"Table",QA_Detail!$N$2:$N$988,"Instruction-following")</f>
        <v>17</v>
      </c>
      <c r="Y27" s="19" t="n">
        <f aca="false">COUNTIFS(QA_Detail!$B$2:$B$988,"*",QA_Detail!$H$2:$H$988,"Table",QA_Detail!$N$2:$N$988,"Typo/Grammar")</f>
        <v>4</v>
      </c>
      <c r="Z27" s="19" t="n">
        <f aca="false">COUNTIFS(QA_Detail!$B$2:$B$988,"*",QA_Detail!$H$2:$H$988,"Table",QA_Detail!$N$2:$N$988,"Format")</f>
        <v>1</v>
      </c>
      <c r="AA27" s="19" t="n">
        <f aca="false">COUNTIFS(QA_Detail!$B$2:$B$988,"*",QA_Detail!$H$2:$H$988,"Table",QA_Detail!$N$2:$N$988,"Hallucination")</f>
        <v>5</v>
      </c>
    </row>
    <row r="28" customFormat="false" ht="15" hidden="false" customHeight="false" outlineLevel="0" collapsed="false">
      <c r="A28" s="7" t="s">
        <v>39</v>
      </c>
      <c r="B28" s="7" t="s">
        <v>6589</v>
      </c>
      <c r="C28" s="7" t="s">
        <v>129</v>
      </c>
      <c r="D28" s="7" t="n">
        <f aca="false">COUNTIFS(QA_Detail!$B$2:$B$988,"*",QA_Detail!$G$2:$G$988,"Text-Text Inference")</f>
        <v>312</v>
      </c>
      <c r="E28" s="7" t="n">
        <f aca="false">COUNTIFS(QA_Detail!$B$2:$B$988,"*",QA_Detail!$G$2:$G$988,"Text-Text Inference",QA_Detail!$L$2:$L$988,"PASS")</f>
        <v>104</v>
      </c>
      <c r="F28" s="7" t="n">
        <f aca="false">COUNTIFS(QA_Detail!$B$2:$B$988,"*",QA_Detail!$G$2:$G$988,"Text-Text Inference",QA_Detail!$L$2:$L$988,"REVISE")</f>
        <v>187</v>
      </c>
      <c r="G28" s="7" t="n">
        <f aca="false">COUNTIFS(QA_Detail!$B$2:$B$988,"*",QA_Detail!$G$2:$G$988,"Text-Text Inference",QA_Detail!$L$2:$L$988,"DISCARD")</f>
        <v>21</v>
      </c>
      <c r="H28" s="7" t="n">
        <f aca="false">COUNTIFS(QA_Detail!$B$2:$B$988,"*",QA_Detail!$G$2:$G$988,"Text-Text Inference",QA_Detail!$R$2:$R$988,"Y")</f>
        <v>133</v>
      </c>
      <c r="I28" s="11" t="n">
        <f aca="false">IFERROR(H28/D28,"-")</f>
        <v>0.426282051282051</v>
      </c>
      <c r="J28" s="11" t="n">
        <f aca="false">IFERROR(F28/D28,"-")</f>
        <v>0.599358974358974</v>
      </c>
      <c r="K28" s="11" t="n">
        <f aca="false">IFERROR(G28/D28,"-")</f>
        <v>0.0673076923076923</v>
      </c>
      <c r="L28" s="11" t="n">
        <f aca="false">IFERROR(E28/D28,"-")</f>
        <v>0.333333333333333</v>
      </c>
      <c r="M28" s="11" t="n">
        <f aca="false">IFERROR((F28+G28)/D28,"-")</f>
        <v>0.666666666666667</v>
      </c>
      <c r="N28" s="7" t="n">
        <f aca="false">COUNTIFS(QA_Detail!$B$2:$B$988,"*",QA_Detail!$G$2:$G$988,"Text-Text Inference",QA_Detail!$M$2:$M$988,"Minor")</f>
        <v>63</v>
      </c>
      <c r="O28" s="7" t="n">
        <f aca="false">COUNTIFS(QA_Detail!$B$2:$B$988,"*",QA_Detail!$G$2:$G$988,"Text-Text Inference",QA_Detail!$M$2:$M$988,"Major")</f>
        <v>124</v>
      </c>
      <c r="P28" s="7" t="n">
        <f aca="false">COUNTIFS(QA_Detail!$B$2:$B$988,"*",QA_Detail!$G$2:$G$988,"Text-Text Inference",QA_Detail!$M$2:$M$988,"Critical")</f>
        <v>21</v>
      </c>
      <c r="Q28" s="11" t="n">
        <f aca="false">IFERROR(COUNTIFS(QA_Detail!$B$2:$B$988,"*",QA_Detail!$G$2:$G$988,"Text-Text Inference",QA_Detail!$P$2:$P$988,"Y")/D28,"-")</f>
        <v>0.775641025641026</v>
      </c>
      <c r="R28" s="7" t="n">
        <f aca="false">COUNTIFS(QA_Detail!$B$2:$B$988,"*",QA_Detail!$G$2:$G$988,"Text-Text Inference",QA_Detail!$N$2:$N$988,"Factual/Numerical")</f>
        <v>86</v>
      </c>
      <c r="S28" s="7" t="n">
        <f aca="false">COUNTIFS(QA_Detail!$B$2:$B$988,"*",QA_Detail!$G$2:$G$988,"Text-Text Inference",QA_Detail!$N$2:$N$988,"Reasoning")</f>
        <v>26</v>
      </c>
      <c r="T28" s="7" t="n">
        <f aca="false">COUNTIFS(QA_Detail!$B$2:$B$988,"*",QA_Detail!$G$2:$G$988,"Text-Text Inference",QA_Detail!$N$2:$N$988,"Temporal")</f>
        <v>14</v>
      </c>
      <c r="U28" s="7" t="n">
        <f aca="false">COUNTIFS(QA_Detail!$B$2:$B$988,"*",QA_Detail!$G$2:$G$988,"Text-Text Inference",QA_Detail!$N$2:$N$988,"Calculation")</f>
        <v>1</v>
      </c>
      <c r="V28" s="7" t="n">
        <f aca="false">COUNTIFS(QA_Detail!$B$2:$B$988,"*",QA_Detail!$G$2:$G$988,"Text-Text Inference",QA_Detail!$N$2:$N$988,"Incomplete")</f>
        <v>9</v>
      </c>
      <c r="W28" s="7" t="n">
        <f aca="false">COUNTIFS(QA_Detail!$B$2:$B$988,"*",QA_Detail!$G$2:$G$988,"Text-Text Inference",QA_Detail!$N$2:$N$988,"Unit")</f>
        <v>3</v>
      </c>
      <c r="X28" s="7" t="n">
        <f aca="false">COUNTIFS(QA_Detail!$B$2:$B$988,"*",QA_Detail!$G$2:$G$988,"Text-Text Inference",QA_Detail!$N$2:$N$988,"Instruction-following")</f>
        <v>9</v>
      </c>
      <c r="Y28" s="7" t="n">
        <f aca="false">COUNTIFS(QA_Detail!$B$2:$B$988,"*",QA_Detail!$G$2:$G$988,"Text-Text Inference",QA_Detail!$N$2:$N$988,"Typo/Grammar")</f>
        <v>35</v>
      </c>
      <c r="Z28" s="7" t="n">
        <f aca="false">COUNTIFS(QA_Detail!$B$2:$B$988,"*",QA_Detail!$G$2:$G$988,"Text-Text Inference",QA_Detail!$N$2:$N$988,"Format")</f>
        <v>4</v>
      </c>
      <c r="AA28" s="7" t="n">
        <f aca="false">COUNTIFS(QA_Detail!$B$2:$B$988,"*",QA_Detail!$G$2:$G$988,"Text-Text Inference",QA_Detail!$N$2:$N$988,"Hallucination")</f>
        <v>21</v>
      </c>
    </row>
    <row r="29" customFormat="false" ht="15" hidden="false" customHeight="false" outlineLevel="0" collapsed="false">
      <c r="A29" s="7" t="s">
        <v>39</v>
      </c>
      <c r="B29" s="7" t="s">
        <v>6589</v>
      </c>
      <c r="C29" s="7" t="s">
        <v>197</v>
      </c>
      <c r="D29" s="7" t="n">
        <f aca="false">COUNTIFS(QA_Detail!$B$2:$B$988,"*",QA_Detail!$G$2:$G$988,"Chart-Information Extraction")</f>
        <v>268</v>
      </c>
      <c r="E29" s="7" t="n">
        <f aca="false">COUNTIFS(QA_Detail!$B$2:$B$988,"*",QA_Detail!$G$2:$G$988,"Chart-Information Extraction",QA_Detail!$L$2:$L$988,"PASS")</f>
        <v>13</v>
      </c>
      <c r="F29" s="7" t="n">
        <f aca="false">COUNTIFS(QA_Detail!$B$2:$B$988,"*",QA_Detail!$G$2:$G$988,"Chart-Information Extraction",QA_Detail!$L$2:$L$988,"REVISE")</f>
        <v>228</v>
      </c>
      <c r="G29" s="7" t="n">
        <f aca="false">COUNTIFS(QA_Detail!$B$2:$B$988,"*",QA_Detail!$G$2:$G$988,"Chart-Information Extraction",QA_Detail!$L$2:$L$988,"DISCARD")</f>
        <v>27</v>
      </c>
      <c r="H29" s="7" t="n">
        <f aca="false">COUNTIFS(QA_Detail!$B$2:$B$988,"*",QA_Detail!$G$2:$G$988,"Chart-Information Extraction",QA_Detail!$R$2:$R$988,"Y")</f>
        <v>69</v>
      </c>
      <c r="I29" s="11" t="n">
        <f aca="false">IFERROR(H29/D29,"-")</f>
        <v>0.257462686567164</v>
      </c>
      <c r="J29" s="11" t="n">
        <f aca="false">IFERROR(F29/D29,"-")</f>
        <v>0.850746268656716</v>
      </c>
      <c r="K29" s="11" t="n">
        <f aca="false">IFERROR(G29/D29,"-")</f>
        <v>0.100746268656716</v>
      </c>
      <c r="L29" s="11" t="n">
        <f aca="false">IFERROR(E29/D29,"-")</f>
        <v>0.0485074626865672</v>
      </c>
      <c r="M29" s="11" t="n">
        <f aca="false">IFERROR((F29+G29)/D29,"-")</f>
        <v>0.951492537313433</v>
      </c>
      <c r="N29" s="7" t="n">
        <f aca="false">COUNTIFS(QA_Detail!$B$2:$B$988,"*",QA_Detail!$G$2:$G$988,"Chart-Information Extraction",QA_Detail!$M$2:$M$988,"Minor")</f>
        <v>103</v>
      </c>
      <c r="O29" s="7" t="n">
        <f aca="false">COUNTIFS(QA_Detail!$B$2:$B$988,"*",QA_Detail!$G$2:$G$988,"Chart-Information Extraction",QA_Detail!$M$2:$M$988,"Major")</f>
        <v>125</v>
      </c>
      <c r="P29" s="7" t="n">
        <f aca="false">COUNTIFS(QA_Detail!$B$2:$B$988,"*",QA_Detail!$G$2:$G$988,"Chart-Information Extraction",QA_Detail!$M$2:$M$988,"Critical")</f>
        <v>27</v>
      </c>
      <c r="Q29" s="11" t="n">
        <f aca="false">IFERROR(COUNTIFS(QA_Detail!$B$2:$B$988,"*",QA_Detail!$G$2:$G$988,"Chart-Information Extraction",QA_Detail!$P$2:$P$988,"Y")/D29,"-")</f>
        <v>0.197761194029851</v>
      </c>
      <c r="R29" s="7" t="n">
        <f aca="false">COUNTIFS(QA_Detail!$B$2:$B$988,"*",QA_Detail!$G$2:$G$988,"Chart-Information Extraction",QA_Detail!$N$2:$N$988,"Factual/Numerical")</f>
        <v>80</v>
      </c>
      <c r="S29" s="7" t="n">
        <f aca="false">COUNTIFS(QA_Detail!$B$2:$B$988,"*",QA_Detail!$G$2:$G$988,"Chart-Information Extraction",QA_Detail!$N$2:$N$988,"Reasoning")</f>
        <v>21</v>
      </c>
      <c r="T29" s="7" t="n">
        <f aca="false">COUNTIFS(QA_Detail!$B$2:$B$988,"*",QA_Detail!$G$2:$G$988,"Chart-Information Extraction",QA_Detail!$N$2:$N$988,"Temporal")</f>
        <v>10</v>
      </c>
      <c r="U29" s="7" t="n">
        <f aca="false">COUNTIFS(QA_Detail!$B$2:$B$988,"*",QA_Detail!$G$2:$G$988,"Chart-Information Extraction",QA_Detail!$N$2:$N$988,"Calculation")</f>
        <v>6</v>
      </c>
      <c r="V29" s="7" t="n">
        <f aca="false">COUNTIFS(QA_Detail!$B$2:$B$988,"*",QA_Detail!$G$2:$G$988,"Chart-Information Extraction",QA_Detail!$N$2:$N$988,"Incomplete")</f>
        <v>18</v>
      </c>
      <c r="W29" s="7" t="n">
        <f aca="false">COUNTIFS(QA_Detail!$B$2:$B$988,"*",QA_Detail!$G$2:$G$988,"Chart-Information Extraction",QA_Detail!$N$2:$N$988,"Unit")</f>
        <v>4</v>
      </c>
      <c r="X29" s="7" t="n">
        <f aca="false">COUNTIFS(QA_Detail!$B$2:$B$988,"*",QA_Detail!$G$2:$G$988,"Chart-Information Extraction",QA_Detail!$N$2:$N$988,"Instruction-following")</f>
        <v>75</v>
      </c>
      <c r="Y29" s="7" t="n">
        <f aca="false">COUNTIFS(QA_Detail!$B$2:$B$988,"*",QA_Detail!$G$2:$G$988,"Chart-Information Extraction",QA_Detail!$N$2:$N$988,"Typo/Grammar")</f>
        <v>8</v>
      </c>
      <c r="Z29" s="7" t="n">
        <f aca="false">COUNTIFS(QA_Detail!$B$2:$B$988,"*",QA_Detail!$G$2:$G$988,"Chart-Information Extraction",QA_Detail!$N$2:$N$988,"Format")</f>
        <v>6</v>
      </c>
      <c r="AA29" s="7" t="n">
        <f aca="false">COUNTIFS(QA_Detail!$B$2:$B$988,"*",QA_Detail!$G$2:$G$988,"Chart-Information Extraction",QA_Detail!$N$2:$N$988,"Hallucination")</f>
        <v>27</v>
      </c>
    </row>
    <row r="30" customFormat="false" ht="15" hidden="false" customHeight="false" outlineLevel="0" collapsed="false">
      <c r="A30" s="7" t="s">
        <v>39</v>
      </c>
      <c r="B30" s="7" t="s">
        <v>6589</v>
      </c>
      <c r="C30" s="7" t="s">
        <v>141</v>
      </c>
      <c r="D30" s="7" t="n">
        <f aca="false">COUNTIFS(QA_Detail!$B$2:$B$988,"*",QA_Detail!$G$2:$G$988,"Chart-Numerical Calculation")</f>
        <v>259</v>
      </c>
      <c r="E30" s="7" t="n">
        <f aca="false">COUNTIFS(QA_Detail!$B$2:$B$988,"*",QA_Detail!$G$2:$G$988,"Chart-Numerical Calculation",QA_Detail!$L$2:$L$988,"PASS")</f>
        <v>1</v>
      </c>
      <c r="F30" s="7" t="n">
        <f aca="false">COUNTIFS(QA_Detail!$B$2:$B$988,"*",QA_Detail!$G$2:$G$988,"Chart-Numerical Calculation",QA_Detail!$L$2:$L$988,"REVISE")</f>
        <v>245</v>
      </c>
      <c r="G30" s="7" t="n">
        <f aca="false">COUNTIFS(QA_Detail!$B$2:$B$988,"*",QA_Detail!$G$2:$G$988,"Chart-Numerical Calculation",QA_Detail!$L$2:$L$988,"DISCARD")</f>
        <v>13</v>
      </c>
      <c r="H30" s="7" t="n">
        <f aca="false">COUNTIFS(QA_Detail!$B$2:$B$988,"*",QA_Detail!$G$2:$G$988,"Chart-Numerical Calculation",QA_Detail!$R$2:$R$988,"Y")</f>
        <v>68</v>
      </c>
      <c r="I30" s="11" t="n">
        <f aca="false">IFERROR(H30/D30,"-")</f>
        <v>0.262548262548263</v>
      </c>
      <c r="J30" s="11" t="n">
        <f aca="false">IFERROR(F30/D30,"-")</f>
        <v>0.945945945945946</v>
      </c>
      <c r="K30" s="11" t="n">
        <f aca="false">IFERROR(G30/D30,"-")</f>
        <v>0.0501930501930502</v>
      </c>
      <c r="L30" s="11" t="n">
        <f aca="false">IFERROR(E30/D30,"-")</f>
        <v>0.00386100386100386</v>
      </c>
      <c r="M30" s="11" t="n">
        <f aca="false">IFERROR((F30+G30)/D30,"-")</f>
        <v>0.996138996138996</v>
      </c>
      <c r="N30" s="7" t="n">
        <f aca="false">COUNTIFS(QA_Detail!$B$2:$B$988,"*",QA_Detail!$G$2:$G$988,"Chart-Numerical Calculation",QA_Detail!$M$2:$M$988,"Minor")</f>
        <v>113</v>
      </c>
      <c r="O30" s="7" t="n">
        <f aca="false">COUNTIFS(QA_Detail!$B$2:$B$988,"*",QA_Detail!$G$2:$G$988,"Chart-Numerical Calculation",QA_Detail!$M$2:$M$988,"Major")</f>
        <v>132</v>
      </c>
      <c r="P30" s="7" t="n">
        <f aca="false">COUNTIFS(QA_Detail!$B$2:$B$988,"*",QA_Detail!$G$2:$G$988,"Chart-Numerical Calculation",QA_Detail!$M$2:$M$988,"Critical")</f>
        <v>13</v>
      </c>
      <c r="Q30" s="11" t="n">
        <f aca="false">IFERROR(COUNTIFS(QA_Detail!$B$2:$B$988,"*",QA_Detail!$G$2:$G$988,"Chart-Numerical Calculation",QA_Detail!$P$2:$P$988,"Y")/D30,"-")</f>
        <v>0.0501930501930502</v>
      </c>
      <c r="R30" s="7" t="n">
        <f aca="false">COUNTIFS(QA_Detail!$B$2:$B$988,"*",QA_Detail!$G$2:$G$988,"Chart-Numerical Calculation",QA_Detail!$N$2:$N$988,"Factual/Numerical")</f>
        <v>87</v>
      </c>
      <c r="S30" s="7" t="n">
        <f aca="false">COUNTIFS(QA_Detail!$B$2:$B$988,"*",QA_Detail!$G$2:$G$988,"Chart-Numerical Calculation",QA_Detail!$N$2:$N$988,"Reasoning")</f>
        <v>26</v>
      </c>
      <c r="T30" s="7" t="n">
        <f aca="false">COUNTIFS(QA_Detail!$B$2:$B$988,"*",QA_Detail!$G$2:$G$988,"Chart-Numerical Calculation",QA_Detail!$N$2:$N$988,"Temporal")</f>
        <v>19</v>
      </c>
      <c r="U30" s="7" t="n">
        <f aca="false">COUNTIFS(QA_Detail!$B$2:$B$988,"*",QA_Detail!$G$2:$G$988,"Chart-Numerical Calculation",QA_Detail!$N$2:$N$988,"Calculation")</f>
        <v>7</v>
      </c>
      <c r="V30" s="7" t="n">
        <f aca="false">COUNTIFS(QA_Detail!$B$2:$B$988,"*",QA_Detail!$G$2:$G$988,"Chart-Numerical Calculation",QA_Detail!$N$2:$N$988,"Incomplete")</f>
        <v>5</v>
      </c>
      <c r="W30" s="7" t="n">
        <f aca="false">COUNTIFS(QA_Detail!$B$2:$B$988,"*",QA_Detail!$G$2:$G$988,"Chart-Numerical Calculation",QA_Detail!$N$2:$N$988,"Unit")</f>
        <v>2</v>
      </c>
      <c r="X30" s="7" t="n">
        <f aca="false">COUNTIFS(QA_Detail!$B$2:$B$988,"*",QA_Detail!$G$2:$G$988,"Chart-Numerical Calculation",QA_Detail!$N$2:$N$988,"Instruction-following")</f>
        <v>87</v>
      </c>
      <c r="Y30" s="7" t="n">
        <f aca="false">COUNTIFS(QA_Detail!$B$2:$B$988,"*",QA_Detail!$G$2:$G$988,"Chart-Numerical Calculation",QA_Detail!$N$2:$N$988,"Typo/Grammar")</f>
        <v>12</v>
      </c>
      <c r="Z30" s="7" t="n">
        <f aca="false">COUNTIFS(QA_Detail!$B$2:$B$988,"*",QA_Detail!$G$2:$G$988,"Chart-Numerical Calculation",QA_Detail!$N$2:$N$988,"Format")</f>
        <v>0</v>
      </c>
      <c r="AA30" s="7" t="n">
        <f aca="false">COUNTIFS(QA_Detail!$B$2:$B$988,"*",QA_Detail!$G$2:$G$988,"Chart-Numerical Calculation",QA_Detail!$N$2:$N$988,"Hallucination")</f>
        <v>13</v>
      </c>
    </row>
    <row r="31" customFormat="false" ht="15" hidden="false" customHeight="false" outlineLevel="0" collapsed="false">
      <c r="A31" s="7" t="s">
        <v>39</v>
      </c>
      <c r="B31" s="7" t="s">
        <v>6589</v>
      </c>
      <c r="C31" s="7" t="s">
        <v>152</v>
      </c>
      <c r="D31" s="7" t="n">
        <f aca="false">COUNTIFS(QA_Detail!$B$2:$B$988,"*",QA_Detail!$G$2:$G$988,"Chart-Time-Sensitive")</f>
        <v>83</v>
      </c>
      <c r="E31" s="7" t="n">
        <f aca="false">COUNTIFS(QA_Detail!$B$2:$B$988,"*",QA_Detail!$G$2:$G$988,"Chart-Time-Sensitive",QA_Detail!$L$2:$L$988,"PASS")</f>
        <v>3</v>
      </c>
      <c r="F31" s="7" t="n">
        <f aca="false">COUNTIFS(QA_Detail!$B$2:$B$988,"*",QA_Detail!$G$2:$G$988,"Chart-Time-Sensitive",QA_Detail!$L$2:$L$988,"REVISE")</f>
        <v>69</v>
      </c>
      <c r="G31" s="7" t="n">
        <f aca="false">COUNTIFS(QA_Detail!$B$2:$B$988,"*",QA_Detail!$G$2:$G$988,"Chart-Time-Sensitive",QA_Detail!$L$2:$L$988,"DISCARD")</f>
        <v>11</v>
      </c>
      <c r="H31" s="7" t="n">
        <f aca="false">COUNTIFS(QA_Detail!$B$2:$B$988,"*",QA_Detail!$G$2:$G$988,"Chart-Time-Sensitive",QA_Detail!$R$2:$R$988,"Y")</f>
        <v>8</v>
      </c>
      <c r="I31" s="11" t="n">
        <f aca="false">IFERROR(H31/D31,"-")</f>
        <v>0.0963855421686747</v>
      </c>
      <c r="J31" s="11" t="n">
        <f aca="false">IFERROR(F31/D31,"-")</f>
        <v>0.831325301204819</v>
      </c>
      <c r="K31" s="11" t="n">
        <f aca="false">IFERROR(G31/D31,"-")</f>
        <v>0.132530120481928</v>
      </c>
      <c r="L31" s="11" t="n">
        <f aca="false">IFERROR(E31/D31,"-")</f>
        <v>0.036144578313253</v>
      </c>
      <c r="M31" s="11" t="n">
        <f aca="false">IFERROR((F31+G31)/D31,"-")</f>
        <v>0.963855421686747</v>
      </c>
      <c r="N31" s="7" t="n">
        <f aca="false">COUNTIFS(QA_Detail!$B$2:$B$988,"*",QA_Detail!$G$2:$G$988,"Chart-Time-Sensitive",QA_Detail!$M$2:$M$988,"Minor")</f>
        <v>13</v>
      </c>
      <c r="O31" s="7" t="n">
        <f aca="false">COUNTIFS(QA_Detail!$B$2:$B$988,"*",QA_Detail!$G$2:$G$988,"Chart-Time-Sensitive",QA_Detail!$M$2:$M$988,"Major")</f>
        <v>56</v>
      </c>
      <c r="P31" s="7" t="n">
        <f aca="false">COUNTIFS(QA_Detail!$B$2:$B$988,"*",QA_Detail!$G$2:$G$988,"Chart-Time-Sensitive",QA_Detail!$M$2:$M$988,"Critical")</f>
        <v>11</v>
      </c>
      <c r="Q31" s="11" t="n">
        <f aca="false">IFERROR(COUNTIFS(QA_Detail!$B$2:$B$988,"*",QA_Detail!$G$2:$G$988,"Chart-Time-Sensitive",QA_Detail!$P$2:$P$988,"Y")/D31,"-")</f>
        <v>0.27710843373494</v>
      </c>
      <c r="R31" s="7" t="n">
        <f aca="false">COUNTIFS(QA_Detail!$B$2:$B$988,"*",QA_Detail!$G$2:$G$988,"Chart-Time-Sensitive",QA_Detail!$N$2:$N$988,"Factual/Numerical")</f>
        <v>39</v>
      </c>
      <c r="S31" s="7" t="n">
        <f aca="false">COUNTIFS(QA_Detail!$B$2:$B$988,"*",QA_Detail!$G$2:$G$988,"Chart-Time-Sensitive",QA_Detail!$N$2:$N$988,"Reasoning")</f>
        <v>5</v>
      </c>
      <c r="T31" s="7" t="n">
        <f aca="false">COUNTIFS(QA_Detail!$B$2:$B$988,"*",QA_Detail!$G$2:$G$988,"Chart-Time-Sensitive",QA_Detail!$N$2:$N$988,"Temporal")</f>
        <v>7</v>
      </c>
      <c r="U31" s="7" t="n">
        <f aca="false">COUNTIFS(QA_Detail!$B$2:$B$988,"*",QA_Detail!$G$2:$G$988,"Chart-Time-Sensitive",QA_Detail!$N$2:$N$988,"Calculation")</f>
        <v>2</v>
      </c>
      <c r="V31" s="7" t="n">
        <f aca="false">COUNTIFS(QA_Detail!$B$2:$B$988,"*",QA_Detail!$G$2:$G$988,"Chart-Time-Sensitive",QA_Detail!$N$2:$N$988,"Incomplete")</f>
        <v>4</v>
      </c>
      <c r="W31" s="7" t="n">
        <f aca="false">COUNTIFS(QA_Detail!$B$2:$B$988,"*",QA_Detail!$G$2:$G$988,"Chart-Time-Sensitive",QA_Detail!$N$2:$N$988,"Unit")</f>
        <v>0</v>
      </c>
      <c r="X31" s="7" t="n">
        <f aca="false">COUNTIFS(QA_Detail!$B$2:$B$988,"*",QA_Detail!$G$2:$G$988,"Chart-Time-Sensitive",QA_Detail!$N$2:$N$988,"Instruction-following")</f>
        <v>10</v>
      </c>
      <c r="Y31" s="7" t="n">
        <f aca="false">COUNTIFS(QA_Detail!$B$2:$B$988,"*",QA_Detail!$G$2:$G$988,"Chart-Time-Sensitive",QA_Detail!$N$2:$N$988,"Typo/Grammar")</f>
        <v>2</v>
      </c>
      <c r="Z31" s="7" t="n">
        <f aca="false">COUNTIFS(QA_Detail!$B$2:$B$988,"*",QA_Detail!$G$2:$G$988,"Chart-Time-Sensitive",QA_Detail!$N$2:$N$988,"Format")</f>
        <v>0</v>
      </c>
      <c r="AA31" s="7" t="n">
        <f aca="false">COUNTIFS(QA_Detail!$B$2:$B$988,"*",QA_Detail!$G$2:$G$988,"Chart-Time-Sensitive",QA_Detail!$N$2:$N$988,"Hallucination")</f>
        <v>11</v>
      </c>
    </row>
    <row r="32" customFormat="false" ht="15" hidden="false" customHeight="false" outlineLevel="0" collapsed="false">
      <c r="A32" s="7" t="s">
        <v>39</v>
      </c>
      <c r="B32" s="7" t="s">
        <v>6589</v>
      </c>
      <c r="C32" s="7" t="s">
        <v>307</v>
      </c>
      <c r="D32" s="7" t="n">
        <f aca="false">COUNTIFS(QA_Detail!$B$2:$B$988,"*",QA_Detail!$G$2:$G$988,"Table-Numerical Calculation")</f>
        <v>50</v>
      </c>
      <c r="E32" s="7" t="n">
        <f aca="false">COUNTIFS(QA_Detail!$B$2:$B$988,"*",QA_Detail!$G$2:$G$988,"Table-Numerical Calculation",QA_Detail!$L$2:$L$988,"PASS")</f>
        <v>1</v>
      </c>
      <c r="F32" s="7" t="n">
        <f aca="false">COUNTIFS(QA_Detail!$B$2:$B$988,"*",QA_Detail!$G$2:$G$988,"Table-Numerical Calculation",QA_Detail!$L$2:$L$988,"REVISE")</f>
        <v>45</v>
      </c>
      <c r="G32" s="7" t="n">
        <f aca="false">COUNTIFS(QA_Detail!$B$2:$B$988,"*",QA_Detail!$G$2:$G$988,"Table-Numerical Calculation",QA_Detail!$L$2:$L$988,"DISCARD")</f>
        <v>4</v>
      </c>
      <c r="H32" s="7" t="n">
        <f aca="false">COUNTIFS(QA_Detail!$B$2:$B$988,"*",QA_Detail!$G$2:$G$988,"Table-Numerical Calculation",QA_Detail!$R$2:$R$988,"Y")</f>
        <v>15</v>
      </c>
      <c r="I32" s="11" t="n">
        <f aca="false">IFERROR(H32/D32,"-")</f>
        <v>0.3</v>
      </c>
      <c r="J32" s="11" t="n">
        <f aca="false">IFERROR(F32/D32,"-")</f>
        <v>0.9</v>
      </c>
      <c r="K32" s="11" t="n">
        <f aca="false">IFERROR(G32/D32,"-")</f>
        <v>0.08</v>
      </c>
      <c r="L32" s="11" t="n">
        <f aca="false">IFERROR(E32/D32,"-")</f>
        <v>0.02</v>
      </c>
      <c r="M32" s="11" t="n">
        <f aca="false">IFERROR((F32+G32)/D32,"-")</f>
        <v>0.98</v>
      </c>
      <c r="N32" s="7" t="n">
        <f aca="false">COUNTIFS(QA_Detail!$B$2:$B$988,"*",QA_Detail!$G$2:$G$988,"Table-Numerical Calculation",QA_Detail!$M$2:$M$988,"Minor")</f>
        <v>21</v>
      </c>
      <c r="O32" s="7" t="n">
        <f aca="false">COUNTIFS(QA_Detail!$B$2:$B$988,"*",QA_Detail!$G$2:$G$988,"Table-Numerical Calculation",QA_Detail!$M$2:$M$988,"Major")</f>
        <v>24</v>
      </c>
      <c r="P32" s="7" t="n">
        <f aca="false">COUNTIFS(QA_Detail!$B$2:$B$988,"*",QA_Detail!$G$2:$G$988,"Table-Numerical Calculation",QA_Detail!$M$2:$M$988,"Critical")</f>
        <v>4</v>
      </c>
      <c r="Q32" s="11" t="n">
        <f aca="false">IFERROR(COUNTIFS(QA_Detail!$B$2:$B$988,"*",QA_Detail!$G$2:$G$988,"Table-Numerical Calculation",QA_Detail!$P$2:$P$988,"Y")/D32,"-")</f>
        <v>0.24</v>
      </c>
      <c r="R32" s="7" t="n">
        <f aca="false">COUNTIFS(QA_Detail!$B$2:$B$988,"*",QA_Detail!$G$2:$G$988,"Table-Numerical Calculation",QA_Detail!$N$2:$N$988,"Factual/Numerical")</f>
        <v>17</v>
      </c>
      <c r="S32" s="7" t="n">
        <f aca="false">COUNTIFS(QA_Detail!$B$2:$B$988,"*",QA_Detail!$G$2:$G$988,"Table-Numerical Calculation",QA_Detail!$N$2:$N$988,"Reasoning")</f>
        <v>2</v>
      </c>
      <c r="T32" s="7" t="n">
        <f aca="false">COUNTIFS(QA_Detail!$B$2:$B$988,"*",QA_Detail!$G$2:$G$988,"Table-Numerical Calculation",QA_Detail!$N$2:$N$988,"Temporal")</f>
        <v>3</v>
      </c>
      <c r="U32" s="7" t="n">
        <f aca="false">COUNTIFS(QA_Detail!$B$2:$B$988,"*",QA_Detail!$G$2:$G$988,"Table-Numerical Calculation",QA_Detail!$N$2:$N$988,"Calculation")</f>
        <v>2</v>
      </c>
      <c r="V32" s="7" t="n">
        <f aca="false">COUNTIFS(QA_Detail!$B$2:$B$988,"*",QA_Detail!$G$2:$G$988,"Table-Numerical Calculation",QA_Detail!$N$2:$N$988,"Incomplete")</f>
        <v>2</v>
      </c>
      <c r="W32" s="7" t="n">
        <f aca="false">COUNTIFS(QA_Detail!$B$2:$B$988,"*",QA_Detail!$G$2:$G$988,"Table-Numerical Calculation",QA_Detail!$N$2:$N$988,"Unit")</f>
        <v>0</v>
      </c>
      <c r="X32" s="7" t="n">
        <f aca="false">COUNTIFS(QA_Detail!$B$2:$B$988,"*",QA_Detail!$G$2:$G$988,"Table-Numerical Calculation",QA_Detail!$N$2:$N$988,"Instruction-following")</f>
        <v>15</v>
      </c>
      <c r="Y32" s="7" t="n">
        <f aca="false">COUNTIFS(QA_Detail!$B$2:$B$988,"*",QA_Detail!$G$2:$G$988,"Table-Numerical Calculation",QA_Detail!$N$2:$N$988,"Typo/Grammar")</f>
        <v>4</v>
      </c>
      <c r="Z32" s="7" t="n">
        <f aca="false">COUNTIFS(QA_Detail!$B$2:$B$988,"*",QA_Detail!$G$2:$G$988,"Table-Numerical Calculation",QA_Detail!$N$2:$N$988,"Format")</f>
        <v>0</v>
      </c>
      <c r="AA32" s="7" t="n">
        <f aca="false">COUNTIFS(QA_Detail!$B$2:$B$988,"*",QA_Detail!$G$2:$G$988,"Table-Numerical Calculation",QA_Detail!$N$2:$N$988,"Hallucination")</f>
        <v>4</v>
      </c>
    </row>
    <row r="33" customFormat="false" ht="15" hidden="false" customHeight="false" outlineLevel="0" collapsed="false">
      <c r="A33" s="7" t="s">
        <v>39</v>
      </c>
      <c r="B33" s="7" t="s">
        <v>6589</v>
      </c>
      <c r="C33" s="7" t="s">
        <v>136</v>
      </c>
      <c r="D33" s="7" t="n">
        <f aca="false">COUNTIFS(QA_Detail!$B$2:$B$988,"*",QA_Detail!$G$2:$G$988,"Table-Comparison and Sorting")</f>
        <v>15</v>
      </c>
      <c r="E33" s="7" t="n">
        <f aca="false">COUNTIFS(QA_Detail!$B$2:$B$988,"*",QA_Detail!$G$2:$G$988,"Table-Comparison and Sorting",QA_Detail!$L$2:$L$988,"PASS")</f>
        <v>0</v>
      </c>
      <c r="F33" s="7" t="n">
        <f aca="false">COUNTIFS(QA_Detail!$B$2:$B$988,"*",QA_Detail!$G$2:$G$988,"Table-Comparison and Sorting",QA_Detail!$L$2:$L$988,"REVISE")</f>
        <v>14</v>
      </c>
      <c r="G33" s="7" t="n">
        <f aca="false">COUNTIFS(QA_Detail!$B$2:$B$988,"*",QA_Detail!$G$2:$G$988,"Table-Comparison and Sorting",QA_Detail!$L$2:$L$988,"DISCARD")</f>
        <v>1</v>
      </c>
      <c r="H33" s="7" t="n">
        <f aca="false">COUNTIFS(QA_Detail!$B$2:$B$988,"*",QA_Detail!$G$2:$G$988,"Table-Comparison and Sorting",QA_Detail!$R$2:$R$988,"Y")</f>
        <v>3</v>
      </c>
      <c r="I33" s="11" t="n">
        <f aca="false">IFERROR(H33/D33,"-")</f>
        <v>0.2</v>
      </c>
      <c r="J33" s="11" t="n">
        <f aca="false">IFERROR(F33/D33,"-")</f>
        <v>0.933333333333333</v>
      </c>
      <c r="K33" s="11" t="n">
        <f aca="false">IFERROR(G33/D33,"-")</f>
        <v>0.0666666666666667</v>
      </c>
      <c r="L33" s="11" t="n">
        <f aca="false">IFERROR(E33/D33,"-")</f>
        <v>0</v>
      </c>
      <c r="M33" s="11" t="n">
        <f aca="false">IFERROR((F33+G33)/D33,"-")</f>
        <v>1</v>
      </c>
      <c r="N33" s="7" t="n">
        <f aca="false">COUNTIFS(QA_Detail!$B$2:$B$988,"*",QA_Detail!$G$2:$G$988,"Table-Comparison and Sorting",QA_Detail!$M$2:$M$988,"Minor")</f>
        <v>3</v>
      </c>
      <c r="O33" s="7" t="n">
        <f aca="false">COUNTIFS(QA_Detail!$B$2:$B$988,"*",QA_Detail!$G$2:$G$988,"Table-Comparison and Sorting",QA_Detail!$M$2:$M$988,"Major")</f>
        <v>11</v>
      </c>
      <c r="P33" s="7" t="n">
        <f aca="false">COUNTIFS(QA_Detail!$B$2:$B$988,"*",QA_Detail!$G$2:$G$988,"Table-Comparison and Sorting",QA_Detail!$M$2:$M$988,"Critical")</f>
        <v>1</v>
      </c>
      <c r="Q33" s="11" t="n">
        <f aca="false">IFERROR(COUNTIFS(QA_Detail!$B$2:$B$988,"*",QA_Detail!$G$2:$G$988,"Table-Comparison and Sorting",QA_Detail!$P$2:$P$988,"Y")/D33,"-")</f>
        <v>0.6</v>
      </c>
      <c r="R33" s="7" t="n">
        <f aca="false">COUNTIFS(QA_Detail!$B$2:$B$988,"*",QA_Detail!$G$2:$G$988,"Table-Comparison and Sorting",QA_Detail!$N$2:$N$988,"Factual/Numerical")</f>
        <v>9</v>
      </c>
      <c r="S33" s="7" t="n">
        <f aca="false">COUNTIFS(QA_Detail!$B$2:$B$988,"*",QA_Detail!$G$2:$G$988,"Table-Comparison and Sorting",QA_Detail!$N$2:$N$988,"Reasoning")</f>
        <v>0</v>
      </c>
      <c r="T33" s="7" t="n">
        <f aca="false">COUNTIFS(QA_Detail!$B$2:$B$988,"*",QA_Detail!$G$2:$G$988,"Table-Comparison and Sorting",QA_Detail!$N$2:$N$988,"Temporal")</f>
        <v>1</v>
      </c>
      <c r="U33" s="7" t="n">
        <f aca="false">COUNTIFS(QA_Detail!$B$2:$B$988,"*",QA_Detail!$G$2:$G$988,"Table-Comparison and Sorting",QA_Detail!$N$2:$N$988,"Calculation")</f>
        <v>0</v>
      </c>
      <c r="V33" s="7" t="n">
        <f aca="false">COUNTIFS(QA_Detail!$B$2:$B$988,"*",QA_Detail!$G$2:$G$988,"Table-Comparison and Sorting",QA_Detail!$N$2:$N$988,"Incomplete")</f>
        <v>1</v>
      </c>
      <c r="W33" s="7" t="n">
        <f aca="false">COUNTIFS(QA_Detail!$B$2:$B$988,"*",QA_Detail!$G$2:$G$988,"Table-Comparison and Sorting",QA_Detail!$N$2:$N$988,"Unit")</f>
        <v>0</v>
      </c>
      <c r="X33" s="7" t="n">
        <f aca="false">COUNTIFS(QA_Detail!$B$2:$B$988,"*",QA_Detail!$G$2:$G$988,"Table-Comparison and Sorting",QA_Detail!$N$2:$N$988,"Instruction-following")</f>
        <v>2</v>
      </c>
      <c r="Y33" s="7" t="n">
        <f aca="false">COUNTIFS(QA_Detail!$B$2:$B$988,"*",QA_Detail!$G$2:$G$988,"Table-Comparison and Sorting",QA_Detail!$N$2:$N$988,"Typo/Grammar")</f>
        <v>0</v>
      </c>
      <c r="Z33" s="7" t="n">
        <f aca="false">COUNTIFS(QA_Detail!$B$2:$B$988,"*",QA_Detail!$G$2:$G$988,"Table-Comparison and Sorting",QA_Detail!$N$2:$N$988,"Format")</f>
        <v>1</v>
      </c>
      <c r="AA33" s="7" t="n">
        <f aca="false">COUNTIFS(QA_Detail!$B$2:$B$988,"*",QA_Detail!$G$2:$G$988,"Table-Comparison and Sorting",QA_Detail!$N$2:$N$988,"Hallucination")</f>
        <v>1</v>
      </c>
    </row>
    <row r="35" customFormat="false" ht="15" hidden="false" customHeight="false" outlineLevel="0" collapsed="false">
      <c r="A35" s="14" t="s">
        <v>6590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8" min="2" style="0" width="17"/>
  </cols>
  <sheetData>
    <row r="1" customFormat="false" ht="17.35" hidden="false" customHeight="false" outlineLevel="0" collapsed="false">
      <c r="A1" s="1" t="s">
        <v>6591</v>
      </c>
    </row>
    <row r="2" customFormat="false" ht="15" hidden="false" customHeight="false" outlineLevel="0" collapsed="false">
      <c r="A2" s="4" t="s">
        <v>6592</v>
      </c>
    </row>
    <row r="4" customFormat="false" ht="15" hidden="false" customHeight="false" outlineLevel="0" collapsed="false">
      <c r="A4" s="12" t="s">
        <v>37</v>
      </c>
    </row>
    <row r="5" customFormat="false" ht="31.5" hidden="false" customHeight="true" outlineLevel="0" collapsed="false">
      <c r="A5" s="6" t="s">
        <v>73</v>
      </c>
      <c r="B5" s="6" t="s">
        <v>129</v>
      </c>
      <c r="C5" s="6" t="s">
        <v>197</v>
      </c>
      <c r="D5" s="6" t="s">
        <v>141</v>
      </c>
      <c r="E5" s="6" t="s">
        <v>152</v>
      </c>
      <c r="F5" s="6" t="s">
        <v>307</v>
      </c>
      <c r="G5" s="6" t="s">
        <v>136</v>
      </c>
      <c r="H5" s="6" t="s">
        <v>6593</v>
      </c>
    </row>
    <row r="6" customFormat="false" ht="15" hidden="false" customHeight="false" outlineLevel="0" collapsed="false">
      <c r="A6" s="21" t="s">
        <v>81</v>
      </c>
      <c r="B6" s="7" t="n">
        <f aca="false">COUNTIFS(QA_Detail!$B$2:$B$988,"InternVL",QA_Detail!$G$2:$G$988,"Text-Text Inference",QA_Detail!$Y$2:$Y$988,1)</f>
        <v>15</v>
      </c>
      <c r="C6" s="7" t="n">
        <f aca="false">COUNTIFS(QA_Detail!$B$2:$B$988,"InternVL",QA_Detail!$G$2:$G$988,"Chart-Information Extraction",QA_Detail!$Y$2:$Y$988,1)</f>
        <v>18</v>
      </c>
      <c r="D6" s="7" t="n">
        <f aca="false">COUNTIFS(QA_Detail!$B$2:$B$988,"InternVL",QA_Detail!$G$2:$G$988,"Chart-Numerical Calculation",QA_Detail!$Y$2:$Y$988,1)</f>
        <v>10</v>
      </c>
      <c r="E6" s="7" t="n">
        <f aca="false">COUNTIFS(QA_Detail!$B$2:$B$988,"InternVL",QA_Detail!$G$2:$G$988,"Chart-Time-Sensitive",QA_Detail!$Y$2:$Y$988,1)</f>
        <v>8</v>
      </c>
      <c r="F6" s="7" t="n">
        <f aca="false">COUNTIFS(QA_Detail!$B$2:$B$988,"InternVL",QA_Detail!$G$2:$G$988,"Table-Numerical Calculation",QA_Detail!$Y$2:$Y$988,1)</f>
        <v>3</v>
      </c>
      <c r="G6" s="7" t="n">
        <f aca="false">COUNTIFS(QA_Detail!$B$2:$B$988,"InternVL",QA_Detail!$G$2:$G$988,"Table-Comparison and Sorting",QA_Detail!$Y$2:$Y$988,1)</f>
        <v>1</v>
      </c>
      <c r="H6" s="21" t="n">
        <f aca="false">SUM(B6:G6)</f>
        <v>55</v>
      </c>
    </row>
    <row r="7" customFormat="false" ht="15" hidden="false" customHeight="false" outlineLevel="0" collapsed="false">
      <c r="A7" s="21" t="s">
        <v>82</v>
      </c>
      <c r="B7" s="7" t="n">
        <f aca="false">COUNTIFS(QA_Detail!$B$2:$B$988,"InternVL",QA_Detail!$G$2:$G$988,"Text-Text Inference",QA_Detail!$Z$2:$Z$988,1)</f>
        <v>76</v>
      </c>
      <c r="C7" s="7" t="n">
        <f aca="false">COUNTIFS(QA_Detail!$B$2:$B$988,"InternVL",QA_Detail!$G$2:$G$988,"Chart-Information Extraction",QA_Detail!$Z$2:$Z$988,1)</f>
        <v>61</v>
      </c>
      <c r="D7" s="7" t="n">
        <f aca="false">COUNTIFS(QA_Detail!$B$2:$B$988,"InternVL",QA_Detail!$G$2:$G$988,"Chart-Numerical Calculation",QA_Detail!$Z$2:$Z$988,1)</f>
        <v>70</v>
      </c>
      <c r="E7" s="7" t="n">
        <f aca="false">COUNTIFS(QA_Detail!$B$2:$B$988,"InternVL",QA_Detail!$G$2:$G$988,"Chart-Time-Sensitive",QA_Detail!$Z$2:$Z$988,1)</f>
        <v>41</v>
      </c>
      <c r="F7" s="7" t="n">
        <f aca="false">COUNTIFS(QA_Detail!$B$2:$B$988,"InternVL",QA_Detail!$G$2:$G$988,"Table-Numerical Calculation",QA_Detail!$Z$2:$Z$988,1)</f>
        <v>14</v>
      </c>
      <c r="G7" s="7" t="n">
        <f aca="false">COUNTIFS(QA_Detail!$B$2:$B$988,"InternVL",QA_Detail!$G$2:$G$988,"Table-Comparison and Sorting",QA_Detail!$Z$2:$Z$988,1)</f>
        <v>11</v>
      </c>
      <c r="H7" s="21" t="n">
        <f aca="false">SUM(B7:G7)</f>
        <v>273</v>
      </c>
    </row>
    <row r="8" customFormat="false" ht="15" hidden="false" customHeight="false" outlineLevel="0" collapsed="false">
      <c r="A8" s="21" t="s">
        <v>83</v>
      </c>
      <c r="B8" s="7" t="n">
        <f aca="false">COUNTIFS(QA_Detail!$B$2:$B$988,"InternVL",QA_Detail!$G$2:$G$988,"Text-Text Inference",QA_Detail!$AA$2:$AA$988,1)</f>
        <v>3</v>
      </c>
      <c r="C8" s="7" t="n">
        <f aca="false">COUNTIFS(QA_Detail!$B$2:$B$988,"InternVL",QA_Detail!$G$2:$G$988,"Chart-Information Extraction",QA_Detail!$AA$2:$AA$988,1)</f>
        <v>1</v>
      </c>
      <c r="D8" s="7" t="n">
        <f aca="false">COUNTIFS(QA_Detail!$B$2:$B$988,"InternVL",QA_Detail!$G$2:$G$988,"Chart-Numerical Calculation",QA_Detail!$AA$2:$AA$988,1)</f>
        <v>19</v>
      </c>
      <c r="E8" s="7" t="n">
        <f aca="false">COUNTIFS(QA_Detail!$B$2:$B$988,"InternVL",QA_Detail!$G$2:$G$988,"Chart-Time-Sensitive",QA_Detail!$AA$2:$AA$988,1)</f>
        <v>3</v>
      </c>
      <c r="F8" s="7" t="n">
        <f aca="false">COUNTIFS(QA_Detail!$B$2:$B$988,"InternVL",QA_Detail!$G$2:$G$988,"Table-Numerical Calculation",QA_Detail!$AA$2:$AA$988,1)</f>
        <v>4</v>
      </c>
      <c r="G8" s="7" t="n">
        <f aca="false">COUNTIFS(QA_Detail!$B$2:$B$988,"InternVL",QA_Detail!$G$2:$G$988,"Table-Comparison and Sorting",QA_Detail!$AA$2:$AA$988,1)</f>
        <v>0</v>
      </c>
      <c r="H8" s="21" t="n">
        <f aca="false">SUM(B8:G8)</f>
        <v>30</v>
      </c>
    </row>
    <row r="9" customFormat="false" ht="15" hidden="false" customHeight="false" outlineLevel="0" collapsed="false">
      <c r="A9" s="21" t="s">
        <v>84</v>
      </c>
      <c r="B9" s="7" t="n">
        <f aca="false">COUNTIFS(QA_Detail!$B$2:$B$988,"InternVL",QA_Detail!$G$2:$G$988,"Text-Text Inference",QA_Detail!$AB$2:$AB$988,1)</f>
        <v>36</v>
      </c>
      <c r="C9" s="7" t="n">
        <f aca="false">COUNTIFS(QA_Detail!$B$2:$B$988,"InternVL",QA_Detail!$G$2:$G$988,"Chart-Information Extraction",QA_Detail!$AB$2:$AB$988,1)</f>
        <v>20</v>
      </c>
      <c r="D9" s="7" t="n">
        <f aca="false">COUNTIFS(QA_Detail!$B$2:$B$988,"InternVL",QA_Detail!$G$2:$G$988,"Chart-Numerical Calculation",QA_Detail!$AB$2:$AB$988,1)</f>
        <v>30</v>
      </c>
      <c r="E9" s="7" t="n">
        <f aca="false">COUNTIFS(QA_Detail!$B$2:$B$988,"InternVL",QA_Detail!$G$2:$G$988,"Chart-Time-Sensitive",QA_Detail!$AB$2:$AB$988,1)</f>
        <v>17</v>
      </c>
      <c r="F9" s="7" t="n">
        <f aca="false">COUNTIFS(QA_Detail!$B$2:$B$988,"InternVL",QA_Detail!$G$2:$G$988,"Table-Numerical Calculation",QA_Detail!$AB$2:$AB$988,1)</f>
        <v>3</v>
      </c>
      <c r="G9" s="7" t="n">
        <f aca="false">COUNTIFS(QA_Detail!$B$2:$B$988,"InternVL",QA_Detail!$G$2:$G$988,"Table-Comparison and Sorting",QA_Detail!$AB$2:$AB$988,1)</f>
        <v>1</v>
      </c>
      <c r="H9" s="21" t="n">
        <f aca="false">SUM(B9:G9)</f>
        <v>107</v>
      </c>
    </row>
    <row r="10" customFormat="false" ht="15" hidden="false" customHeight="false" outlineLevel="0" collapsed="false">
      <c r="A10" s="21" t="s">
        <v>85</v>
      </c>
      <c r="B10" s="7" t="n">
        <f aca="false">COUNTIFS(QA_Detail!$B$2:$B$988,"InternVL",QA_Detail!$G$2:$G$988,"Text-Text Inference",QA_Detail!$AC$2:$AC$988,1)</f>
        <v>37</v>
      </c>
      <c r="C10" s="7" t="n">
        <f aca="false">COUNTIFS(QA_Detail!$B$2:$B$988,"InternVL",QA_Detail!$G$2:$G$988,"Chart-Information Extraction",QA_Detail!$AC$2:$AC$988,1)</f>
        <v>21</v>
      </c>
      <c r="D10" s="7" t="n">
        <f aca="false">COUNTIFS(QA_Detail!$B$2:$B$988,"InternVL",QA_Detail!$G$2:$G$988,"Chart-Numerical Calculation",QA_Detail!$AC$2:$AC$988,1)</f>
        <v>30</v>
      </c>
      <c r="E10" s="7" t="n">
        <f aca="false">COUNTIFS(QA_Detail!$B$2:$B$988,"InternVL",QA_Detail!$G$2:$G$988,"Chart-Time-Sensitive",QA_Detail!$AC$2:$AC$988,1)</f>
        <v>27</v>
      </c>
      <c r="F10" s="7" t="n">
        <f aca="false">COUNTIFS(QA_Detail!$B$2:$B$988,"InternVL",QA_Detail!$G$2:$G$988,"Table-Numerical Calculation",QA_Detail!$AC$2:$AC$988,1)</f>
        <v>4</v>
      </c>
      <c r="G10" s="7" t="n">
        <f aca="false">COUNTIFS(QA_Detail!$B$2:$B$988,"InternVL",QA_Detail!$G$2:$G$988,"Table-Comparison and Sorting",QA_Detail!$AC$2:$AC$988,1)</f>
        <v>4</v>
      </c>
      <c r="H10" s="21" t="n">
        <f aca="false">SUM(B10:G10)</f>
        <v>123</v>
      </c>
    </row>
    <row r="11" customFormat="false" ht="15" hidden="false" customHeight="false" outlineLevel="0" collapsed="false">
      <c r="A11" s="21" t="s">
        <v>86</v>
      </c>
      <c r="B11" s="7" t="n">
        <f aca="false">COUNTIFS(QA_Detail!$B$2:$B$988,"InternVL",QA_Detail!$G$2:$G$988,"Text-Text Inference",QA_Detail!$AD$2:$AD$988,1)</f>
        <v>17</v>
      </c>
      <c r="C11" s="7" t="n">
        <f aca="false">COUNTIFS(QA_Detail!$B$2:$B$988,"InternVL",QA_Detail!$G$2:$G$988,"Chart-Information Extraction",QA_Detail!$AD$2:$AD$988,1)</f>
        <v>12</v>
      </c>
      <c r="D11" s="7" t="n">
        <f aca="false">COUNTIFS(QA_Detail!$B$2:$B$988,"InternVL",QA_Detail!$G$2:$G$988,"Chart-Numerical Calculation",QA_Detail!$AD$2:$AD$988,1)</f>
        <v>16</v>
      </c>
      <c r="E11" s="7" t="n">
        <f aca="false">COUNTIFS(QA_Detail!$B$2:$B$988,"InternVL",QA_Detail!$G$2:$G$988,"Chart-Time-Sensitive",QA_Detail!$AD$2:$AD$988,1)</f>
        <v>13</v>
      </c>
      <c r="F11" s="7" t="n">
        <f aca="false">COUNTIFS(QA_Detail!$B$2:$B$988,"InternVL",QA_Detail!$G$2:$G$988,"Table-Numerical Calculation",QA_Detail!$AD$2:$AD$988,1)</f>
        <v>3</v>
      </c>
      <c r="G11" s="7" t="n">
        <f aca="false">COUNTIFS(QA_Detail!$B$2:$B$988,"InternVL",QA_Detail!$G$2:$G$988,"Table-Comparison and Sorting",QA_Detail!$AD$2:$AD$988,1)</f>
        <v>0</v>
      </c>
      <c r="H11" s="21" t="n">
        <f aca="false">SUM(B11:G11)</f>
        <v>61</v>
      </c>
    </row>
    <row r="12" customFormat="false" ht="15" hidden="false" customHeight="false" outlineLevel="0" collapsed="false">
      <c r="A12" s="21" t="s">
        <v>87</v>
      </c>
      <c r="B12" s="7" t="n">
        <f aca="false">COUNTIFS(QA_Detail!$B$2:$B$988,"InternVL",QA_Detail!$G$2:$G$988,"Text-Text Inference",QA_Detail!$AE$2:$AE$988,1)</f>
        <v>14</v>
      </c>
      <c r="C12" s="7" t="n">
        <f aca="false">COUNTIFS(QA_Detail!$B$2:$B$988,"InternVL",QA_Detail!$G$2:$G$988,"Chart-Information Extraction",QA_Detail!$AE$2:$AE$988,1)</f>
        <v>13</v>
      </c>
      <c r="D12" s="7" t="n">
        <f aca="false">COUNTIFS(QA_Detail!$B$2:$B$988,"InternVL",QA_Detail!$G$2:$G$988,"Chart-Numerical Calculation",QA_Detail!$AE$2:$AE$988,1)</f>
        <v>13</v>
      </c>
      <c r="E12" s="7" t="n">
        <f aca="false">COUNTIFS(QA_Detail!$B$2:$B$988,"InternVL",QA_Detail!$G$2:$G$988,"Chart-Time-Sensitive",QA_Detail!$AE$2:$AE$988,1)</f>
        <v>11</v>
      </c>
      <c r="F12" s="7" t="n">
        <f aca="false">COUNTIFS(QA_Detail!$B$2:$B$988,"InternVL",QA_Detail!$G$2:$G$988,"Table-Numerical Calculation",QA_Detail!$AE$2:$AE$988,1)</f>
        <v>2</v>
      </c>
      <c r="G12" s="7" t="n">
        <f aca="false">COUNTIFS(QA_Detail!$B$2:$B$988,"InternVL",QA_Detail!$G$2:$G$988,"Table-Comparison and Sorting",QA_Detail!$AE$2:$AE$988,1)</f>
        <v>1</v>
      </c>
      <c r="H12" s="21" t="n">
        <f aca="false">SUM(B12:G12)</f>
        <v>54</v>
      </c>
    </row>
    <row r="13" customFormat="false" ht="15" hidden="false" customHeight="false" outlineLevel="0" collapsed="false">
      <c r="A13" s="21" t="s">
        <v>88</v>
      </c>
      <c r="B13" s="7" t="n">
        <f aca="false">COUNTIFS(QA_Detail!$B$2:$B$988,"InternVL",QA_Detail!$G$2:$G$988,"Text-Text Inference",QA_Detail!$AF$2:$AF$988,1)</f>
        <v>39</v>
      </c>
      <c r="C13" s="7" t="n">
        <f aca="false">COUNTIFS(QA_Detail!$B$2:$B$988,"InternVL",QA_Detail!$G$2:$G$988,"Chart-Information Extraction",QA_Detail!$AF$2:$AF$988,1)</f>
        <v>73</v>
      </c>
      <c r="D13" s="7" t="n">
        <f aca="false">COUNTIFS(QA_Detail!$B$2:$B$988,"InternVL",QA_Detail!$G$2:$G$988,"Chart-Numerical Calculation",QA_Detail!$AF$2:$AF$988,1)</f>
        <v>109</v>
      </c>
      <c r="E13" s="7" t="n">
        <f aca="false">COUNTIFS(QA_Detail!$B$2:$B$988,"InternVL",QA_Detail!$G$2:$G$988,"Chart-Time-Sensitive",QA_Detail!$AF$2:$AF$988,1)</f>
        <v>41</v>
      </c>
      <c r="F13" s="7" t="n">
        <f aca="false">COUNTIFS(QA_Detail!$B$2:$B$988,"InternVL",QA_Detail!$G$2:$G$988,"Table-Numerical Calculation",QA_Detail!$AF$2:$AF$988,1)</f>
        <v>13</v>
      </c>
      <c r="G13" s="7" t="n">
        <f aca="false">COUNTIFS(QA_Detail!$B$2:$B$988,"InternVL",QA_Detail!$G$2:$G$988,"Table-Comparison and Sorting",QA_Detail!$AF$2:$AF$988,1)</f>
        <v>4</v>
      </c>
      <c r="H13" s="21" t="n">
        <f aca="false">SUM(B13:G13)</f>
        <v>279</v>
      </c>
    </row>
    <row r="14" customFormat="false" ht="15" hidden="false" customHeight="false" outlineLevel="0" collapsed="false">
      <c r="A14" s="21" t="s">
        <v>89</v>
      </c>
      <c r="B14" s="7" t="n">
        <f aca="false">COUNTIFS(QA_Detail!$B$2:$B$988,"InternVL",QA_Detail!$G$2:$G$988,"Text-Text Inference",QA_Detail!$AG$2:$AG$988,1)</f>
        <v>11</v>
      </c>
      <c r="C14" s="7" t="n">
        <f aca="false">COUNTIFS(QA_Detail!$B$2:$B$988,"InternVL",QA_Detail!$G$2:$G$988,"Chart-Information Extraction",QA_Detail!$AG$2:$AG$988,1)</f>
        <v>8</v>
      </c>
      <c r="D14" s="7" t="n">
        <f aca="false">COUNTIFS(QA_Detail!$B$2:$B$988,"InternVL",QA_Detail!$G$2:$G$988,"Chart-Numerical Calculation",QA_Detail!$AG$2:$AG$988,1)</f>
        <v>7</v>
      </c>
      <c r="E14" s="7" t="n">
        <f aca="false">COUNTIFS(QA_Detail!$B$2:$B$988,"InternVL",QA_Detail!$G$2:$G$988,"Chart-Time-Sensitive",QA_Detail!$AG$2:$AG$988,1)</f>
        <v>3</v>
      </c>
      <c r="F14" s="7" t="n">
        <f aca="false">COUNTIFS(QA_Detail!$B$2:$B$988,"InternVL",QA_Detail!$G$2:$G$988,"Table-Numerical Calculation",QA_Detail!$AG$2:$AG$988,1)</f>
        <v>4</v>
      </c>
      <c r="G14" s="7" t="n">
        <f aca="false">COUNTIFS(QA_Detail!$B$2:$B$988,"InternVL",QA_Detail!$G$2:$G$988,"Table-Comparison and Sorting",QA_Detail!$AG$2:$AG$988,1)</f>
        <v>2</v>
      </c>
      <c r="H14" s="21" t="n">
        <f aca="false">SUM(B14:G14)</f>
        <v>35</v>
      </c>
    </row>
    <row r="15" customFormat="false" ht="15" hidden="false" customHeight="false" outlineLevel="0" collapsed="false">
      <c r="A15" s="21" t="s">
        <v>90</v>
      </c>
      <c r="B15" s="7" t="n">
        <f aca="false">COUNTIFS(QA_Detail!$B$2:$B$988,"InternVL",QA_Detail!$G$2:$G$988,"Text-Text Inference",QA_Detail!$AH$2:$AH$988,1)</f>
        <v>61</v>
      </c>
      <c r="C15" s="7" t="n">
        <f aca="false">COUNTIFS(QA_Detail!$B$2:$B$988,"InternVL",QA_Detail!$G$2:$G$988,"Chart-Information Extraction",QA_Detail!$AH$2:$AH$988,1)</f>
        <v>49</v>
      </c>
      <c r="D15" s="7" t="n">
        <f aca="false">COUNTIFS(QA_Detail!$B$2:$B$988,"InternVL",QA_Detail!$G$2:$G$988,"Chart-Numerical Calculation",QA_Detail!$AH$2:$AH$988,1)</f>
        <v>50</v>
      </c>
      <c r="E15" s="7" t="n">
        <f aca="false">COUNTIFS(QA_Detail!$B$2:$B$988,"InternVL",QA_Detail!$G$2:$G$988,"Chart-Time-Sensitive",QA_Detail!$AH$2:$AH$988,1)</f>
        <v>22</v>
      </c>
      <c r="F15" s="7" t="n">
        <f aca="false">COUNTIFS(QA_Detail!$B$2:$B$988,"InternVL",QA_Detail!$G$2:$G$988,"Table-Numerical Calculation",QA_Detail!$AH$2:$AH$988,1)</f>
        <v>11</v>
      </c>
      <c r="G15" s="7" t="n">
        <f aca="false">COUNTIFS(QA_Detail!$B$2:$B$988,"InternVL",QA_Detail!$G$2:$G$988,"Table-Comparison and Sorting",QA_Detail!$AH$2:$AH$988,1)</f>
        <v>5</v>
      </c>
      <c r="H15" s="21" t="n">
        <f aca="false">SUM(B15:G15)</f>
        <v>198</v>
      </c>
    </row>
    <row r="16" customFormat="false" ht="15" hidden="false" customHeight="false" outlineLevel="0" collapsed="false">
      <c r="A16" s="5" t="s">
        <v>6594</v>
      </c>
      <c r="B16" s="5" t="n">
        <f aca="false">COUNTIFS(QA_Detail!$B$2:$B$988,"InternVL",QA_Detail!$G$2:$G$988,"Text-Text Inference")</f>
        <v>149</v>
      </c>
      <c r="C16" s="5" t="n">
        <f aca="false">COUNTIFS(QA_Detail!$B$2:$B$988,"InternVL",QA_Detail!$G$2:$G$988,"Chart-Information Extraction")</f>
        <v>113</v>
      </c>
      <c r="D16" s="5" t="n">
        <f aca="false">COUNTIFS(QA_Detail!$B$2:$B$988,"InternVL",QA_Detail!$G$2:$G$988,"Chart-Numerical Calculation")</f>
        <v>128</v>
      </c>
      <c r="E16" s="5" t="n">
        <f aca="false">COUNTIFS(QA_Detail!$B$2:$B$988,"InternVL",QA_Detail!$G$2:$G$988,"Chart-Time-Sensitive")</f>
        <v>66</v>
      </c>
      <c r="F16" s="5" t="n">
        <f aca="false">COUNTIFS(QA_Detail!$B$2:$B$988,"InternVL",QA_Detail!$G$2:$G$988,"Table-Numerical Calculation")</f>
        <v>26</v>
      </c>
      <c r="G16" s="5" t="n">
        <f aca="false">COUNTIFS(QA_Detail!$B$2:$B$988,"InternVL",QA_Detail!$G$2:$G$988,"Table-Comparison and Sorting")</f>
        <v>13</v>
      </c>
    </row>
    <row r="19" customFormat="false" ht="31.5" hidden="false" customHeight="true" outlineLevel="0" collapsed="false">
      <c r="A19" s="12" t="s">
        <v>38</v>
      </c>
    </row>
    <row r="20" customFormat="false" ht="39.55" hidden="false" customHeight="false" outlineLevel="0" collapsed="false">
      <c r="A20" s="6" t="s">
        <v>73</v>
      </c>
      <c r="B20" s="6" t="s">
        <v>129</v>
      </c>
      <c r="C20" s="6" t="s">
        <v>197</v>
      </c>
      <c r="D20" s="6" t="s">
        <v>141</v>
      </c>
      <c r="E20" s="6" t="s">
        <v>152</v>
      </c>
      <c r="F20" s="6" t="s">
        <v>307</v>
      </c>
      <c r="G20" s="6" t="s">
        <v>136</v>
      </c>
      <c r="H20" s="6" t="s">
        <v>6593</v>
      </c>
    </row>
    <row r="21" customFormat="false" ht="15" hidden="false" customHeight="false" outlineLevel="0" collapsed="false">
      <c r="A21" s="21" t="s">
        <v>81</v>
      </c>
      <c r="B21" s="7" t="n">
        <f aca="false">COUNTIFS(QA_Detail!$B$2:$B$988,"Qwen2.5-VL",QA_Detail!$G$2:$G$988,"Text-Text Inference",QA_Detail!$Y$2:$Y$988,1)</f>
        <v>6</v>
      </c>
      <c r="C21" s="7" t="n">
        <f aca="false">COUNTIFS(QA_Detail!$B$2:$B$988,"Qwen2.5-VL",QA_Detail!$G$2:$G$988,"Chart-Information Extraction",QA_Detail!$Y$2:$Y$988,1)</f>
        <v>10</v>
      </c>
      <c r="D21" s="7" t="n">
        <f aca="false">COUNTIFS(QA_Detail!$B$2:$B$988,"Qwen2.5-VL",QA_Detail!$G$2:$G$988,"Chart-Numerical Calculation",QA_Detail!$Y$2:$Y$988,1)</f>
        <v>3</v>
      </c>
      <c r="E21" s="7" t="n">
        <f aca="false">COUNTIFS(QA_Detail!$B$2:$B$988,"Qwen2.5-VL",QA_Detail!$G$2:$G$988,"Chart-Time-Sensitive",QA_Detail!$Y$2:$Y$988,1)</f>
        <v>3</v>
      </c>
      <c r="F21" s="7" t="n">
        <f aca="false">COUNTIFS(QA_Detail!$B$2:$B$988,"Qwen2.5-VL",QA_Detail!$G$2:$G$988,"Table-Numerical Calculation",QA_Detail!$Y$2:$Y$988,1)</f>
        <v>1</v>
      </c>
      <c r="G21" s="7" t="n">
        <f aca="false">COUNTIFS(QA_Detail!$B$2:$B$988,"Qwen2.5-VL",QA_Detail!$G$2:$G$988,"Table-Comparison and Sorting",QA_Detail!$Y$2:$Y$988,1)</f>
        <v>0</v>
      </c>
      <c r="H21" s="21" t="n">
        <f aca="false">SUM(B21:G21)</f>
        <v>23</v>
      </c>
    </row>
    <row r="22" customFormat="false" ht="15" hidden="false" customHeight="false" outlineLevel="0" collapsed="false">
      <c r="A22" s="21" t="s">
        <v>82</v>
      </c>
      <c r="B22" s="7" t="n">
        <f aca="false">COUNTIFS(QA_Detail!$B$2:$B$988,"Qwen2.5-VL",QA_Detail!$G$2:$G$988,"Text-Text Inference",QA_Detail!$Z$2:$Z$988,1)</f>
        <v>27</v>
      </c>
      <c r="C22" s="7" t="n">
        <f aca="false">COUNTIFS(QA_Detail!$B$2:$B$988,"Qwen2.5-VL",QA_Detail!$G$2:$G$988,"Chart-Information Extraction",QA_Detail!$Z$2:$Z$988,1)</f>
        <v>41</v>
      </c>
      <c r="D22" s="7" t="n">
        <f aca="false">COUNTIFS(QA_Detail!$B$2:$B$988,"Qwen2.5-VL",QA_Detail!$G$2:$G$988,"Chart-Numerical Calculation",QA_Detail!$Z$2:$Z$988,1)</f>
        <v>32</v>
      </c>
      <c r="E22" s="7" t="n">
        <f aca="false">COUNTIFS(QA_Detail!$B$2:$B$988,"Qwen2.5-VL",QA_Detail!$G$2:$G$988,"Chart-Time-Sensitive",QA_Detail!$Z$2:$Z$988,1)</f>
        <v>5</v>
      </c>
      <c r="F22" s="7" t="n">
        <f aca="false">COUNTIFS(QA_Detail!$B$2:$B$988,"Qwen2.5-VL",QA_Detail!$G$2:$G$988,"Table-Numerical Calculation",QA_Detail!$Z$2:$Z$988,1)</f>
        <v>5</v>
      </c>
      <c r="G22" s="7" t="n">
        <f aca="false">COUNTIFS(QA_Detail!$B$2:$B$988,"Qwen2.5-VL",QA_Detail!$G$2:$G$988,"Table-Comparison and Sorting",QA_Detail!$Z$2:$Z$988,1)</f>
        <v>0</v>
      </c>
      <c r="H22" s="21" t="n">
        <f aca="false">SUM(B22:G22)</f>
        <v>110</v>
      </c>
    </row>
    <row r="23" customFormat="false" ht="15" hidden="false" customHeight="false" outlineLevel="0" collapsed="false">
      <c r="A23" s="21" t="s">
        <v>83</v>
      </c>
      <c r="B23" s="7" t="n">
        <f aca="false">COUNTIFS(QA_Detail!$B$2:$B$988,"Qwen2.5-VL",QA_Detail!$G$2:$G$988,"Text-Text Inference",QA_Detail!$AA$2:$AA$988,1)</f>
        <v>0</v>
      </c>
      <c r="C23" s="7" t="n">
        <f aca="false">COUNTIFS(QA_Detail!$B$2:$B$988,"Qwen2.5-VL",QA_Detail!$G$2:$G$988,"Chart-Information Extraction",QA_Detail!$AA$2:$AA$988,1)</f>
        <v>8</v>
      </c>
      <c r="D23" s="7" t="n">
        <f aca="false">COUNTIFS(QA_Detail!$B$2:$B$988,"Qwen2.5-VL",QA_Detail!$G$2:$G$988,"Chart-Numerical Calculation",QA_Detail!$AA$2:$AA$988,1)</f>
        <v>6</v>
      </c>
      <c r="E23" s="7" t="n">
        <f aca="false">COUNTIFS(QA_Detail!$B$2:$B$988,"Qwen2.5-VL",QA_Detail!$G$2:$G$988,"Chart-Time-Sensitive",QA_Detail!$AA$2:$AA$988,1)</f>
        <v>0</v>
      </c>
      <c r="F23" s="7" t="n">
        <f aca="false">COUNTIFS(QA_Detail!$B$2:$B$988,"Qwen2.5-VL",QA_Detail!$G$2:$G$988,"Table-Numerical Calculation",QA_Detail!$AA$2:$AA$988,1)</f>
        <v>2</v>
      </c>
      <c r="G23" s="7" t="n">
        <f aca="false">COUNTIFS(QA_Detail!$B$2:$B$988,"Qwen2.5-VL",QA_Detail!$G$2:$G$988,"Table-Comparison and Sorting",QA_Detail!$AA$2:$AA$988,1)</f>
        <v>0</v>
      </c>
      <c r="H23" s="21" t="n">
        <f aca="false">SUM(B23:G23)</f>
        <v>16</v>
      </c>
    </row>
    <row r="24" customFormat="false" ht="15" hidden="false" customHeight="false" outlineLevel="0" collapsed="false">
      <c r="A24" s="21" t="s">
        <v>84</v>
      </c>
      <c r="B24" s="7" t="n">
        <f aca="false">COUNTIFS(QA_Detail!$B$2:$B$988,"Qwen2.5-VL",QA_Detail!$G$2:$G$988,"Text-Text Inference",QA_Detail!$AB$2:$AB$988,1)</f>
        <v>13</v>
      </c>
      <c r="C24" s="7" t="n">
        <f aca="false">COUNTIFS(QA_Detail!$B$2:$B$988,"Qwen2.5-VL",QA_Detail!$G$2:$G$988,"Chart-Information Extraction",QA_Detail!$AB$2:$AB$988,1)</f>
        <v>20</v>
      </c>
      <c r="D24" s="7" t="n">
        <f aca="false">COUNTIFS(QA_Detail!$B$2:$B$988,"Qwen2.5-VL",QA_Detail!$G$2:$G$988,"Chart-Numerical Calculation",QA_Detail!$AB$2:$AB$988,1)</f>
        <v>14</v>
      </c>
      <c r="E24" s="7" t="n">
        <f aca="false">COUNTIFS(QA_Detail!$B$2:$B$988,"Qwen2.5-VL",QA_Detail!$G$2:$G$988,"Chart-Time-Sensitive",QA_Detail!$AB$2:$AB$988,1)</f>
        <v>3</v>
      </c>
      <c r="F24" s="7" t="n">
        <f aca="false">COUNTIFS(QA_Detail!$B$2:$B$988,"Qwen2.5-VL",QA_Detail!$G$2:$G$988,"Table-Numerical Calculation",QA_Detail!$AB$2:$AB$988,1)</f>
        <v>1</v>
      </c>
      <c r="G24" s="7" t="n">
        <f aca="false">COUNTIFS(QA_Detail!$B$2:$B$988,"Qwen2.5-VL",QA_Detail!$G$2:$G$988,"Table-Comparison and Sorting",QA_Detail!$AB$2:$AB$988,1)</f>
        <v>1</v>
      </c>
      <c r="H24" s="21" t="n">
        <f aca="false">SUM(B24:G24)</f>
        <v>52</v>
      </c>
    </row>
    <row r="25" customFormat="false" ht="15" hidden="false" customHeight="false" outlineLevel="0" collapsed="false">
      <c r="A25" s="21" t="s">
        <v>85</v>
      </c>
      <c r="B25" s="7" t="n">
        <f aca="false">COUNTIFS(QA_Detail!$B$2:$B$988,"Qwen2.5-VL",QA_Detail!$G$2:$G$988,"Text-Text Inference",QA_Detail!$AC$2:$AC$988,1)</f>
        <v>7</v>
      </c>
      <c r="C25" s="7" t="n">
        <f aca="false">COUNTIFS(QA_Detail!$B$2:$B$988,"Qwen2.5-VL",QA_Detail!$G$2:$G$988,"Chart-Information Extraction",QA_Detail!$AC$2:$AC$988,1)</f>
        <v>10</v>
      </c>
      <c r="D25" s="7" t="n">
        <f aca="false">COUNTIFS(QA_Detail!$B$2:$B$988,"Qwen2.5-VL",QA_Detail!$G$2:$G$988,"Chart-Numerical Calculation",QA_Detail!$AC$2:$AC$988,1)</f>
        <v>13</v>
      </c>
      <c r="E25" s="7" t="n">
        <f aca="false">COUNTIFS(QA_Detail!$B$2:$B$988,"Qwen2.5-VL",QA_Detail!$G$2:$G$988,"Chart-Time-Sensitive",QA_Detail!$AC$2:$AC$988,1)</f>
        <v>0</v>
      </c>
      <c r="F25" s="7" t="n">
        <f aca="false">COUNTIFS(QA_Detail!$B$2:$B$988,"Qwen2.5-VL",QA_Detail!$G$2:$G$988,"Table-Numerical Calculation",QA_Detail!$AC$2:$AC$988,1)</f>
        <v>5</v>
      </c>
      <c r="G25" s="7" t="n">
        <f aca="false">COUNTIFS(QA_Detail!$B$2:$B$988,"Qwen2.5-VL",QA_Detail!$G$2:$G$988,"Table-Comparison and Sorting",QA_Detail!$AC$2:$AC$988,1)</f>
        <v>0</v>
      </c>
      <c r="H25" s="21" t="n">
        <f aca="false">SUM(B25:G25)</f>
        <v>35</v>
      </c>
    </row>
    <row r="26" customFormat="false" ht="15" hidden="false" customHeight="false" outlineLevel="0" collapsed="false">
      <c r="A26" s="21" t="s">
        <v>86</v>
      </c>
      <c r="B26" s="7" t="n">
        <f aca="false">COUNTIFS(QA_Detail!$B$2:$B$988,"Qwen2.5-VL",QA_Detail!$G$2:$G$988,"Text-Text Inference",QA_Detail!$AD$2:$AD$988,1)</f>
        <v>9</v>
      </c>
      <c r="C26" s="7" t="n">
        <f aca="false">COUNTIFS(QA_Detail!$B$2:$B$988,"Qwen2.5-VL",QA_Detail!$G$2:$G$988,"Chart-Information Extraction",QA_Detail!$AD$2:$AD$988,1)</f>
        <v>18</v>
      </c>
      <c r="D26" s="7" t="n">
        <f aca="false">COUNTIFS(QA_Detail!$B$2:$B$988,"Qwen2.5-VL",QA_Detail!$G$2:$G$988,"Chart-Numerical Calculation",QA_Detail!$AD$2:$AD$988,1)</f>
        <v>13</v>
      </c>
      <c r="E26" s="7" t="n">
        <f aca="false">COUNTIFS(QA_Detail!$B$2:$B$988,"Qwen2.5-VL",QA_Detail!$G$2:$G$988,"Chart-Time-Sensitive",QA_Detail!$AD$2:$AD$988,1)</f>
        <v>0</v>
      </c>
      <c r="F26" s="7" t="n">
        <f aca="false">COUNTIFS(QA_Detail!$B$2:$B$988,"Qwen2.5-VL",QA_Detail!$G$2:$G$988,"Table-Numerical Calculation",QA_Detail!$AD$2:$AD$988,1)</f>
        <v>3</v>
      </c>
      <c r="G26" s="7" t="n">
        <f aca="false">COUNTIFS(QA_Detail!$B$2:$B$988,"Qwen2.5-VL",QA_Detail!$G$2:$G$988,"Table-Comparison and Sorting",QA_Detail!$AD$2:$AD$988,1)</f>
        <v>0</v>
      </c>
      <c r="H26" s="21" t="n">
        <f aca="false">SUM(B26:G26)</f>
        <v>43</v>
      </c>
    </row>
    <row r="27" customFormat="false" ht="15" hidden="false" customHeight="false" outlineLevel="0" collapsed="false">
      <c r="A27" s="21" t="s">
        <v>87</v>
      </c>
      <c r="B27" s="7" t="n">
        <f aca="false">COUNTIFS(QA_Detail!$B$2:$B$988,"Qwen2.5-VL",QA_Detail!$G$2:$G$988,"Text-Text Inference",QA_Detail!$AE$2:$AE$988,1)</f>
        <v>13</v>
      </c>
      <c r="C27" s="7" t="n">
        <f aca="false">COUNTIFS(QA_Detail!$B$2:$B$988,"Qwen2.5-VL",QA_Detail!$G$2:$G$988,"Chart-Information Extraction",QA_Detail!$AE$2:$AE$988,1)</f>
        <v>23</v>
      </c>
      <c r="D27" s="7" t="n">
        <f aca="false">COUNTIFS(QA_Detail!$B$2:$B$988,"Qwen2.5-VL",QA_Detail!$G$2:$G$988,"Chart-Numerical Calculation",QA_Detail!$AE$2:$AE$988,1)</f>
        <v>16</v>
      </c>
      <c r="E27" s="7" t="n">
        <f aca="false">COUNTIFS(QA_Detail!$B$2:$B$988,"Qwen2.5-VL",QA_Detail!$G$2:$G$988,"Chart-Time-Sensitive",QA_Detail!$AE$2:$AE$988,1)</f>
        <v>5</v>
      </c>
      <c r="F27" s="7" t="n">
        <f aca="false">COUNTIFS(QA_Detail!$B$2:$B$988,"Qwen2.5-VL",QA_Detail!$G$2:$G$988,"Table-Numerical Calculation",QA_Detail!$AE$2:$AE$988,1)</f>
        <v>4</v>
      </c>
      <c r="G27" s="7" t="n">
        <f aca="false">COUNTIFS(QA_Detail!$B$2:$B$988,"Qwen2.5-VL",QA_Detail!$G$2:$G$988,"Table-Comparison and Sorting",QA_Detail!$AE$2:$AE$988,1)</f>
        <v>1</v>
      </c>
      <c r="H27" s="21" t="n">
        <f aca="false">SUM(B27:G27)</f>
        <v>62</v>
      </c>
    </row>
    <row r="28" customFormat="false" ht="15" hidden="false" customHeight="false" outlineLevel="0" collapsed="false">
      <c r="A28" s="21" t="s">
        <v>88</v>
      </c>
      <c r="B28" s="7" t="n">
        <f aca="false">COUNTIFS(QA_Detail!$B$2:$B$988,"Qwen2.5-VL",QA_Detail!$G$2:$G$988,"Text-Text Inference",QA_Detail!$AF$2:$AF$988,1)</f>
        <v>24</v>
      </c>
      <c r="C28" s="7" t="n">
        <f aca="false">COUNTIFS(QA_Detail!$B$2:$B$988,"Qwen2.5-VL",QA_Detail!$G$2:$G$988,"Chart-Information Extraction",QA_Detail!$AF$2:$AF$988,1)</f>
        <v>118</v>
      </c>
      <c r="D28" s="7" t="n">
        <f aca="false">COUNTIFS(QA_Detail!$B$2:$B$988,"Qwen2.5-VL",QA_Detail!$G$2:$G$988,"Chart-Numerical Calculation",QA_Detail!$AF$2:$AF$988,1)</f>
        <v>123</v>
      </c>
      <c r="E28" s="7" t="n">
        <f aca="false">COUNTIFS(QA_Detail!$B$2:$B$988,"Qwen2.5-VL",QA_Detail!$G$2:$G$988,"Chart-Time-Sensitive",QA_Detail!$AF$2:$AF$988,1)</f>
        <v>10</v>
      </c>
      <c r="F28" s="7" t="n">
        <f aca="false">COUNTIFS(QA_Detail!$B$2:$B$988,"Qwen2.5-VL",QA_Detail!$G$2:$G$988,"Table-Numerical Calculation",QA_Detail!$AF$2:$AF$988,1)</f>
        <v>20</v>
      </c>
      <c r="G28" s="7" t="n">
        <f aca="false">COUNTIFS(QA_Detail!$B$2:$B$988,"Qwen2.5-VL",QA_Detail!$G$2:$G$988,"Table-Comparison and Sorting",QA_Detail!$AF$2:$AF$988,1)</f>
        <v>1</v>
      </c>
      <c r="H28" s="21" t="n">
        <f aca="false">SUM(B28:G28)</f>
        <v>296</v>
      </c>
    </row>
    <row r="29" customFormat="false" ht="15" hidden="false" customHeight="false" outlineLevel="0" collapsed="false">
      <c r="A29" s="21" t="s">
        <v>89</v>
      </c>
      <c r="B29" s="7" t="n">
        <f aca="false">COUNTIFS(QA_Detail!$B$2:$B$988,"Qwen2.5-VL",QA_Detail!$G$2:$G$988,"Text-Text Inference",QA_Detail!$AG$2:$AG$988,1)</f>
        <v>9</v>
      </c>
      <c r="C29" s="7" t="n">
        <f aca="false">COUNTIFS(QA_Detail!$B$2:$B$988,"Qwen2.5-VL",QA_Detail!$G$2:$G$988,"Chart-Information Extraction",QA_Detail!$AG$2:$AG$988,1)</f>
        <v>9</v>
      </c>
      <c r="D29" s="7" t="n">
        <f aca="false">COUNTIFS(QA_Detail!$B$2:$B$988,"Qwen2.5-VL",QA_Detail!$G$2:$G$988,"Chart-Numerical Calculation",QA_Detail!$AG$2:$AG$988,1)</f>
        <v>10</v>
      </c>
      <c r="E29" s="7" t="n">
        <f aca="false">COUNTIFS(QA_Detail!$B$2:$B$988,"Qwen2.5-VL",QA_Detail!$G$2:$G$988,"Chart-Time-Sensitive",QA_Detail!$AG$2:$AG$988,1)</f>
        <v>1</v>
      </c>
      <c r="F29" s="7" t="n">
        <f aca="false">COUNTIFS(QA_Detail!$B$2:$B$988,"Qwen2.5-VL",QA_Detail!$G$2:$G$988,"Table-Numerical Calculation",QA_Detail!$AG$2:$AG$988,1)</f>
        <v>4</v>
      </c>
      <c r="G29" s="7" t="n">
        <f aca="false">COUNTIFS(QA_Detail!$B$2:$B$988,"Qwen2.5-VL",QA_Detail!$G$2:$G$988,"Table-Comparison and Sorting",QA_Detail!$AG$2:$AG$988,1)</f>
        <v>1</v>
      </c>
      <c r="H29" s="21" t="n">
        <f aca="false">SUM(B29:G29)</f>
        <v>34</v>
      </c>
    </row>
    <row r="30" customFormat="false" ht="15" hidden="false" customHeight="false" outlineLevel="0" collapsed="false">
      <c r="A30" s="21" t="s">
        <v>90</v>
      </c>
      <c r="B30" s="7" t="n">
        <f aca="false">COUNTIFS(QA_Detail!$B$2:$B$988,"Qwen2.5-VL",QA_Detail!$G$2:$G$988,"Text-Text Inference",QA_Detail!$AH$2:$AH$988,1)</f>
        <v>30</v>
      </c>
      <c r="C30" s="7" t="n">
        <f aca="false">COUNTIFS(QA_Detail!$B$2:$B$988,"Qwen2.5-VL",QA_Detail!$G$2:$G$988,"Chart-Information Extraction",QA_Detail!$AH$2:$AH$988,1)</f>
        <v>29</v>
      </c>
      <c r="D30" s="7" t="n">
        <f aca="false">COUNTIFS(QA_Detail!$B$2:$B$988,"Qwen2.5-VL",QA_Detail!$G$2:$G$988,"Chart-Numerical Calculation",QA_Detail!$AH$2:$AH$988,1)</f>
        <v>32</v>
      </c>
      <c r="E30" s="7" t="n">
        <f aca="false">COUNTIFS(QA_Detail!$B$2:$B$988,"Qwen2.5-VL",QA_Detail!$G$2:$G$988,"Chart-Time-Sensitive",QA_Detail!$AH$2:$AH$988,1)</f>
        <v>4</v>
      </c>
      <c r="F30" s="7" t="n">
        <f aca="false">COUNTIFS(QA_Detail!$B$2:$B$988,"Qwen2.5-VL",QA_Detail!$G$2:$G$988,"Table-Numerical Calculation",QA_Detail!$AH$2:$AH$988,1)</f>
        <v>4</v>
      </c>
      <c r="G30" s="7" t="n">
        <f aca="false">COUNTIFS(QA_Detail!$B$2:$B$988,"Qwen2.5-VL",QA_Detail!$G$2:$G$988,"Table-Comparison and Sorting",QA_Detail!$AH$2:$AH$988,1)</f>
        <v>1</v>
      </c>
      <c r="H30" s="21" t="n">
        <f aca="false">SUM(B30:G30)</f>
        <v>100</v>
      </c>
    </row>
    <row r="31" customFormat="false" ht="15" hidden="false" customHeight="false" outlineLevel="0" collapsed="false">
      <c r="A31" s="5" t="s">
        <v>6594</v>
      </c>
      <c r="B31" s="5" t="n">
        <f aca="false">COUNTIFS(QA_Detail!$B$2:$B$988,"Qwen2.5-VL",QA_Detail!$G$2:$G$988,"Text-Text Inference")</f>
        <v>163</v>
      </c>
      <c r="C31" s="5" t="n">
        <f aca="false">COUNTIFS(QA_Detail!$B$2:$B$988,"Qwen2.5-VL",QA_Detail!$G$2:$G$988,"Chart-Information Extraction")</f>
        <v>155</v>
      </c>
      <c r="D31" s="5" t="n">
        <f aca="false">COUNTIFS(QA_Detail!$B$2:$B$988,"Qwen2.5-VL",QA_Detail!$G$2:$G$988,"Chart-Numerical Calculation")</f>
        <v>131</v>
      </c>
      <c r="E31" s="5" t="n">
        <f aca="false">COUNTIFS(QA_Detail!$B$2:$B$988,"Qwen2.5-VL",QA_Detail!$G$2:$G$988,"Chart-Time-Sensitive")</f>
        <v>17</v>
      </c>
      <c r="F31" s="5" t="n">
        <f aca="false">COUNTIFS(QA_Detail!$B$2:$B$988,"Qwen2.5-VL",QA_Detail!$G$2:$G$988,"Table-Numerical Calculation")</f>
        <v>24</v>
      </c>
      <c r="G31" s="5" t="n">
        <f aca="false">COUNTIFS(QA_Detail!$B$2:$B$988,"Qwen2.5-VL",QA_Detail!$G$2:$G$988,"Table-Comparison and Sorting")</f>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3"/>
    <col collapsed="false" customWidth="true" hidden="false" outlineLevel="0" max="4" min="4" style="0" width="11"/>
    <col collapsed="false" customWidth="true" hidden="false" outlineLevel="0" max="5" min="5" style="0" width="26"/>
    <col collapsed="false" customWidth="true" hidden="false" outlineLevel="0" max="7" min="6" style="0" width="45"/>
    <col collapsed="false" customWidth="true" hidden="false" outlineLevel="0" max="8" min="8" style="0" width="28"/>
    <col collapsed="false" customWidth="true" hidden="false" outlineLevel="0" max="9" min="9" style="0" width="30"/>
    <col collapsed="false" customWidth="true" hidden="false" outlineLevel="0" max="10" min="10" style="0" width="40"/>
    <col collapsed="false" customWidth="true" hidden="false" outlineLevel="0" max="11" min="11" style="0" width="45"/>
  </cols>
  <sheetData>
    <row r="1" customFormat="false" ht="17.35" hidden="false" customHeight="false" outlineLevel="0" collapsed="false">
      <c r="A1" s="1" t="s">
        <v>6595</v>
      </c>
    </row>
    <row r="2" customFormat="false" ht="15" hidden="false" customHeight="false" outlineLevel="0" collapsed="false">
      <c r="A2" s="4" t="s">
        <v>6596</v>
      </c>
    </row>
    <row r="4" customFormat="false" ht="15" hidden="false" customHeight="false" outlineLevel="0" collapsed="false">
      <c r="A4" s="6" t="s">
        <v>6597</v>
      </c>
      <c r="B4" s="6" t="s">
        <v>37</v>
      </c>
      <c r="C4" s="6" t="s">
        <v>38</v>
      </c>
      <c r="D4" s="6" t="s">
        <v>39</v>
      </c>
      <c r="E4" s="6" t="s">
        <v>6598</v>
      </c>
    </row>
    <row r="5" customFormat="false" ht="15" hidden="false" customHeight="false" outlineLevel="0" collapsed="false">
      <c r="A5" s="21" t="s">
        <v>405</v>
      </c>
      <c r="B5" s="7" t="n">
        <f aca="false">COUNTIFS(QA_Detail!$B$2:$B$988,"InternVL",QA_Detail!$S$2:$S$988,"Metric/topic not on page")</f>
        <v>19</v>
      </c>
      <c r="C5" s="7" t="n">
        <f aca="false">COUNTIFS(QA_Detail!$B$2:$B$988,"Qwen2.5-VL",QA_Detail!$S$2:$S$988,"Metric/topic not on page")</f>
        <v>19</v>
      </c>
      <c r="D5" s="7" t="n">
        <f aca="false">COUNTIFS(QA_Detail!$B$2:$B$988,"*",QA_Detail!$S$2:$S$988,"Metric/topic not on page")</f>
        <v>38</v>
      </c>
      <c r="E5" s="11" t="n">
        <f aca="false">IFERROR(D5/$D$10,0)</f>
        <v>0.493506493506494</v>
      </c>
    </row>
    <row r="6" customFormat="false" ht="15" hidden="false" customHeight="false" outlineLevel="0" collapsed="false">
      <c r="A6" s="21" t="s">
        <v>1166</v>
      </c>
      <c r="B6" s="7" t="n">
        <f aca="false">COUNTIFS(QA_Detail!$B$2:$B$988,"InternVL",QA_Detail!$S$2:$S$988,"Entity/region not on page")</f>
        <v>6</v>
      </c>
      <c r="C6" s="7" t="n">
        <f aca="false">COUNTIFS(QA_Detail!$B$2:$B$988,"Qwen2.5-VL",QA_Detail!$S$2:$S$988,"Entity/region not on page")</f>
        <v>1</v>
      </c>
      <c r="D6" s="7" t="n">
        <f aca="false">COUNTIFS(QA_Detail!$B$2:$B$988,"*",QA_Detail!$S$2:$S$988,"Entity/region not on page")</f>
        <v>7</v>
      </c>
      <c r="E6" s="11" t="n">
        <f aca="false">IFERROR(D6/$D$10,0)</f>
        <v>0.0909090909090909</v>
      </c>
    </row>
    <row r="7" customFormat="false" ht="15" hidden="false" customHeight="false" outlineLevel="0" collapsed="false">
      <c r="A7" s="21" t="s">
        <v>326</v>
      </c>
      <c r="B7" s="7" t="n">
        <f aca="false">COUNTIFS(QA_Detail!$B$2:$B$988,"InternVL",QA_Detail!$S$2:$S$988,"Period/time comparison not on page")</f>
        <v>10</v>
      </c>
      <c r="C7" s="7" t="n">
        <f aca="false">COUNTIFS(QA_Detail!$B$2:$B$988,"Qwen2.5-VL",QA_Detail!$S$2:$S$988,"Period/time comparison not on page")</f>
        <v>2</v>
      </c>
      <c r="D7" s="7" t="n">
        <f aca="false">COUNTIFS(QA_Detail!$B$2:$B$988,"*",QA_Detail!$S$2:$S$988,"Period/time comparison not on page")</f>
        <v>12</v>
      </c>
      <c r="E7" s="11" t="n">
        <f aca="false">IFERROR(D7/$D$10,0)</f>
        <v>0.155844155844156</v>
      </c>
    </row>
    <row r="8" customFormat="false" ht="15" hidden="false" customHeight="false" outlineLevel="0" collapsed="false">
      <c r="A8" s="21" t="s">
        <v>341</v>
      </c>
      <c r="B8" s="7" t="n">
        <f aca="false">COUNTIFS(QA_Detail!$B$2:$B$988,"InternVL",QA_Detail!$S$2:$S$988,"Garbled/unintelligible question")</f>
        <v>13</v>
      </c>
      <c r="C8" s="7" t="n">
        <f aca="false">COUNTIFS(QA_Detail!$B$2:$B$988,"Qwen2.5-VL",QA_Detail!$S$2:$S$988,"Garbled/unintelligible question")</f>
        <v>0</v>
      </c>
      <c r="D8" s="7" t="n">
        <f aca="false">COUNTIFS(QA_Detail!$B$2:$B$988,"*",QA_Detail!$S$2:$S$988,"Garbled/unintelligible question")</f>
        <v>13</v>
      </c>
      <c r="E8" s="11" t="n">
        <f aca="false">IFERROR(D8/$D$10,0)</f>
        <v>0.168831168831169</v>
      </c>
    </row>
    <row r="9" customFormat="false" ht="15" hidden="false" customHeight="false" outlineLevel="0" collapsed="false">
      <c r="A9" s="21" t="s">
        <v>398</v>
      </c>
      <c r="B9" s="7" t="n">
        <f aca="false">COUNTIFS(QA_Detail!$B$2:$B$988,"InternVL",QA_Detail!$S$2:$S$988,"False premise / speculation")</f>
        <v>6</v>
      </c>
      <c r="C9" s="7" t="n">
        <f aca="false">COUNTIFS(QA_Detail!$B$2:$B$988,"Qwen2.5-VL",QA_Detail!$S$2:$S$988,"False premise / speculation")</f>
        <v>1</v>
      </c>
      <c r="D9" s="7" t="n">
        <f aca="false">COUNTIFS(QA_Detail!$B$2:$B$988,"*",QA_Detail!$S$2:$S$988,"False premise / speculation")</f>
        <v>7</v>
      </c>
      <c r="E9" s="11" t="n">
        <f aca="false">IFERROR(D9/$D$10,0)</f>
        <v>0.0909090909090909</v>
      </c>
    </row>
    <row r="10" customFormat="false" ht="15" hidden="false" customHeight="false" outlineLevel="0" collapsed="false">
      <c r="A10" s="21" t="s">
        <v>6599</v>
      </c>
      <c r="B10" s="21" t="n">
        <f aca="false">SUM(B5:B9)</f>
        <v>54</v>
      </c>
      <c r="C10" s="21" t="n">
        <f aca="false">SUM(C5:C9)</f>
        <v>23</v>
      </c>
      <c r="D10" s="21" t="n">
        <f aca="false">SUM(D5:D9)</f>
        <v>77</v>
      </c>
    </row>
    <row r="13" customFormat="false" ht="15" hidden="false" customHeight="false" outlineLevel="0" collapsed="false">
      <c r="A13" s="6" t="s">
        <v>6600</v>
      </c>
      <c r="B13" s="6" t="s">
        <v>37</v>
      </c>
      <c r="C13" s="6" t="s">
        <v>38</v>
      </c>
      <c r="D13" s="6" t="s">
        <v>39</v>
      </c>
      <c r="E13" s="6" t="s">
        <v>6598</v>
      </c>
    </row>
    <row r="14" customFormat="false" ht="15" hidden="false" customHeight="false" outlineLevel="0" collapsed="false">
      <c r="A14" s="21" t="s">
        <v>390</v>
      </c>
      <c r="B14" s="7" t="n">
        <f aca="false">COUNTIFS(QA_Detail!$B$2:$B$988,"InternVL",QA_Detail!$T$2:$T$988,"Borrowed value from another metric on the page")</f>
        <v>26</v>
      </c>
      <c r="C14" s="7" t="n">
        <f aca="false">COUNTIFS(QA_Detail!$B$2:$B$988,"Qwen2.5-VL",QA_Detail!$T$2:$T$988,"Borrowed value from another metric on the page")</f>
        <v>14</v>
      </c>
      <c r="D14" s="7" t="n">
        <f aca="false">COUNTIFS(QA_Detail!$B$2:$B$988,"*",QA_Detail!$T$2:$T$988,"Borrowed value from another metric on the page")</f>
        <v>40</v>
      </c>
      <c r="E14" s="11" t="n">
        <f aca="false">IFERROR(D14/$D$10,0)</f>
        <v>0.519480519480519</v>
      </c>
    </row>
    <row r="15" customFormat="false" ht="15" hidden="false" customHeight="false" outlineLevel="0" collapsed="false">
      <c r="A15" s="21" t="s">
        <v>327</v>
      </c>
      <c r="B15" s="7" t="n">
        <f aca="false">COUNTIFS(QA_Detail!$B$2:$B$988,"InternVL",QA_Detail!$T$2:$T$988,"Fabricated value/claim (not on page)")</f>
        <v>21</v>
      </c>
      <c r="C15" s="7" t="n">
        <f aca="false">COUNTIFS(QA_Detail!$B$2:$B$988,"Qwen2.5-VL",QA_Detail!$T$2:$T$988,"Fabricated value/claim (not on page)")</f>
        <v>3</v>
      </c>
      <c r="D15" s="7" t="n">
        <f aca="false">COUNTIFS(QA_Detail!$B$2:$B$988,"*",QA_Detail!$T$2:$T$988,"Fabricated value/claim (not on page)")</f>
        <v>24</v>
      </c>
      <c r="E15" s="11" t="n">
        <f aca="false">IFERROR(D15/$D$10,0)</f>
        <v>0.311688311688312</v>
      </c>
    </row>
    <row r="16" customFormat="false" ht="15" hidden="false" customHeight="false" outlineLevel="0" collapsed="false">
      <c r="A16" s="21" t="s">
        <v>342</v>
      </c>
      <c r="B16" s="7" t="n">
        <f aca="false">COUNTIFS(QA_Detail!$B$2:$B$988,"InternVL",QA_Detail!$T$2:$T$988,"Non-answer (no factual content)")</f>
        <v>7</v>
      </c>
      <c r="C16" s="7" t="n">
        <f aca="false">COUNTIFS(QA_Detail!$B$2:$B$988,"Qwen2.5-VL",QA_Detail!$T$2:$T$988,"Non-answer (no factual content)")</f>
        <v>6</v>
      </c>
      <c r="D16" s="7" t="n">
        <f aca="false">COUNTIFS(QA_Detail!$B$2:$B$988,"*",QA_Detail!$T$2:$T$988,"Non-answer (no factual content)")</f>
        <v>13</v>
      </c>
      <c r="E16" s="11" t="n">
        <f aca="false">IFERROR(D16/$D$10,0)</f>
        <v>0.168831168831169</v>
      </c>
    </row>
    <row r="19" customFormat="false" ht="26.85" hidden="false" customHeight="false" outlineLevel="0" collapsed="false">
      <c r="A19" s="6" t="s">
        <v>6601</v>
      </c>
      <c r="B19" s="6" t="s">
        <v>37</v>
      </c>
      <c r="C19" s="6" t="s">
        <v>38</v>
      </c>
      <c r="D19" s="6" t="s">
        <v>39</v>
      </c>
      <c r="E19" s="6" t="s">
        <v>6602</v>
      </c>
    </row>
    <row r="20" customFormat="false" ht="15" hidden="false" customHeight="false" outlineLevel="0" collapsed="false">
      <c r="A20" s="21" t="s">
        <v>129</v>
      </c>
      <c r="B20" s="7" t="n">
        <f aca="false">COUNTIFS(QA_Detail!$B$2:$B$988,"InternVL",QA_Detail!$G$2:$G$988,"Text-Text Inference",QA_Detail!$L$2:$L$988,"DISCARD")</f>
        <v>15</v>
      </c>
      <c r="C20" s="7" t="n">
        <f aca="false">COUNTIFS(QA_Detail!$B$2:$B$988,"Qwen2.5-VL",QA_Detail!$G$2:$G$988,"Text-Text Inference",QA_Detail!$L$2:$L$988,"DISCARD")</f>
        <v>6</v>
      </c>
      <c r="D20" s="7" t="n">
        <f aca="false">COUNTIFS(QA_Detail!$B$2:$B$988,"*",QA_Detail!$G$2:$G$988,"Text-Text Inference",QA_Detail!$L$2:$L$988,"DISCARD")</f>
        <v>21</v>
      </c>
      <c r="E20" s="11" t="n">
        <f aca="false">IFERROR(D20/COUNTIFS(QA_Detail!$G$2:$G$988,"Text-Text Inference"),0)</f>
        <v>0.0673076923076923</v>
      </c>
    </row>
    <row r="21" customFormat="false" ht="15" hidden="false" customHeight="false" outlineLevel="0" collapsed="false">
      <c r="A21" s="21" t="s">
        <v>197</v>
      </c>
      <c r="B21" s="7" t="n">
        <f aca="false">COUNTIFS(QA_Detail!$B$2:$B$988,"InternVL",QA_Detail!$G$2:$G$988,"Chart-Information Extraction",QA_Detail!$L$2:$L$988,"DISCARD")</f>
        <v>17</v>
      </c>
      <c r="C21" s="7" t="n">
        <f aca="false">COUNTIFS(QA_Detail!$B$2:$B$988,"Qwen2.5-VL",QA_Detail!$G$2:$G$988,"Chart-Information Extraction",QA_Detail!$L$2:$L$988,"DISCARD")</f>
        <v>10</v>
      </c>
      <c r="D21" s="7" t="n">
        <f aca="false">COUNTIFS(QA_Detail!$B$2:$B$988,"*",QA_Detail!$G$2:$G$988,"Chart-Information Extraction",QA_Detail!$L$2:$L$988,"DISCARD")</f>
        <v>27</v>
      </c>
      <c r="E21" s="11" t="n">
        <f aca="false">IFERROR(D21/COUNTIFS(QA_Detail!$G$2:$G$988,"Chart-Information Extraction"),0)</f>
        <v>0.100746268656716</v>
      </c>
    </row>
    <row r="22" customFormat="false" ht="15" hidden="false" customHeight="false" outlineLevel="0" collapsed="false">
      <c r="A22" s="21" t="s">
        <v>141</v>
      </c>
      <c r="B22" s="7" t="n">
        <f aca="false">COUNTIFS(QA_Detail!$B$2:$B$988,"InternVL",QA_Detail!$G$2:$G$988,"Chart-Numerical Calculation",QA_Detail!$L$2:$L$988,"DISCARD")</f>
        <v>10</v>
      </c>
      <c r="C22" s="7" t="n">
        <f aca="false">COUNTIFS(QA_Detail!$B$2:$B$988,"Qwen2.5-VL",QA_Detail!$G$2:$G$988,"Chart-Numerical Calculation",QA_Detail!$L$2:$L$988,"DISCARD")</f>
        <v>3</v>
      </c>
      <c r="D22" s="7" t="n">
        <f aca="false">COUNTIFS(QA_Detail!$B$2:$B$988,"*",QA_Detail!$G$2:$G$988,"Chart-Numerical Calculation",QA_Detail!$L$2:$L$988,"DISCARD")</f>
        <v>13</v>
      </c>
      <c r="E22" s="11" t="n">
        <f aca="false">IFERROR(D22/COUNTIFS(QA_Detail!$G$2:$G$988,"Chart-Numerical Calculation"),0)</f>
        <v>0.0501930501930502</v>
      </c>
    </row>
    <row r="23" customFormat="false" ht="15" hidden="false" customHeight="false" outlineLevel="0" collapsed="false">
      <c r="A23" s="21" t="s">
        <v>152</v>
      </c>
      <c r="B23" s="7" t="n">
        <f aca="false">COUNTIFS(QA_Detail!$B$2:$B$988,"InternVL",QA_Detail!$G$2:$G$988,"Chart-Time-Sensitive",QA_Detail!$L$2:$L$988,"DISCARD")</f>
        <v>8</v>
      </c>
      <c r="C23" s="7" t="n">
        <f aca="false">COUNTIFS(QA_Detail!$B$2:$B$988,"Qwen2.5-VL",QA_Detail!$G$2:$G$988,"Chart-Time-Sensitive",QA_Detail!$L$2:$L$988,"DISCARD")</f>
        <v>3</v>
      </c>
      <c r="D23" s="7" t="n">
        <f aca="false">COUNTIFS(QA_Detail!$B$2:$B$988,"*",QA_Detail!$G$2:$G$988,"Chart-Time-Sensitive",QA_Detail!$L$2:$L$988,"DISCARD")</f>
        <v>11</v>
      </c>
      <c r="E23" s="11" t="n">
        <f aca="false">IFERROR(D23/COUNTIFS(QA_Detail!$G$2:$G$988,"Chart-Time-Sensitive"),0)</f>
        <v>0.132530120481928</v>
      </c>
    </row>
    <row r="24" customFormat="false" ht="15" hidden="false" customHeight="false" outlineLevel="0" collapsed="false">
      <c r="A24" s="21" t="s">
        <v>307</v>
      </c>
      <c r="B24" s="7" t="n">
        <f aca="false">COUNTIFS(QA_Detail!$B$2:$B$988,"InternVL",QA_Detail!$G$2:$G$988,"Table-Numerical Calculation",QA_Detail!$L$2:$L$988,"DISCARD")</f>
        <v>3</v>
      </c>
      <c r="C24" s="7" t="n">
        <f aca="false">COUNTIFS(QA_Detail!$B$2:$B$988,"Qwen2.5-VL",QA_Detail!$G$2:$G$988,"Table-Numerical Calculation",QA_Detail!$L$2:$L$988,"DISCARD")</f>
        <v>1</v>
      </c>
      <c r="D24" s="7" t="n">
        <f aca="false">COUNTIFS(QA_Detail!$B$2:$B$988,"*",QA_Detail!$G$2:$G$988,"Table-Numerical Calculation",QA_Detail!$L$2:$L$988,"DISCARD")</f>
        <v>4</v>
      </c>
      <c r="E24" s="11" t="n">
        <f aca="false">IFERROR(D24/COUNTIFS(QA_Detail!$G$2:$G$988,"Table-Numerical Calculation"),0)</f>
        <v>0.08</v>
      </c>
    </row>
    <row r="25" customFormat="false" ht="15" hidden="false" customHeight="false" outlineLevel="0" collapsed="false">
      <c r="A25" s="21" t="s">
        <v>136</v>
      </c>
      <c r="B25" s="7" t="n">
        <f aca="false">COUNTIFS(QA_Detail!$B$2:$B$988,"InternVL",QA_Detail!$G$2:$G$988,"Table-Comparison and Sorting",QA_Detail!$L$2:$L$988,"DISCARD")</f>
        <v>1</v>
      </c>
      <c r="C25" s="7" t="n">
        <f aca="false">COUNTIFS(QA_Detail!$B$2:$B$988,"Qwen2.5-VL",QA_Detail!$G$2:$G$988,"Table-Comparison and Sorting",QA_Detail!$L$2:$L$988,"DISCARD")</f>
        <v>0</v>
      </c>
      <c r="D25" s="7" t="n">
        <f aca="false">COUNTIFS(QA_Detail!$B$2:$B$988,"*",QA_Detail!$G$2:$G$988,"Table-Comparison and Sorting",QA_Detail!$L$2:$L$988,"DISCARD")</f>
        <v>1</v>
      </c>
      <c r="E25" s="11" t="n">
        <f aca="false">IFERROR(D25/COUNTIFS(QA_Detail!$G$2:$G$988,"Table-Comparison and Sorting"),0)</f>
        <v>0.0666666666666667</v>
      </c>
    </row>
    <row r="28" customFormat="false" ht="15" hidden="false" customHeight="false" outlineLevel="0" collapsed="false">
      <c r="A28" s="12" t="s">
        <v>6603</v>
      </c>
    </row>
    <row r="29" customFormat="false" ht="15" hidden="false" customHeight="false" outlineLevel="0" collapsed="false">
      <c r="A29" s="6" t="s">
        <v>93</v>
      </c>
      <c r="B29" s="6" t="s">
        <v>94</v>
      </c>
      <c r="C29" s="6" t="s">
        <v>95</v>
      </c>
      <c r="D29" s="6" t="s">
        <v>96</v>
      </c>
      <c r="E29" s="6" t="s">
        <v>6589</v>
      </c>
      <c r="F29" s="6" t="s">
        <v>101</v>
      </c>
      <c r="G29" s="6" t="s">
        <v>102</v>
      </c>
      <c r="H29" s="6" t="s">
        <v>6597</v>
      </c>
      <c r="I29" s="6" t="s">
        <v>6600</v>
      </c>
      <c r="J29" s="6" t="s">
        <v>6604</v>
      </c>
      <c r="K29" s="6" t="s">
        <v>6605</v>
      </c>
    </row>
    <row r="30" customFormat="false" ht="35.05" hidden="false" customHeight="false" outlineLevel="0" collapsed="false">
      <c r="A30" s="22" t="s">
        <v>322</v>
      </c>
      <c r="B30" s="22" t="s">
        <v>37</v>
      </c>
      <c r="C30" s="22" t="s">
        <v>127</v>
      </c>
      <c r="D30" s="22" t="n">
        <v>44</v>
      </c>
      <c r="E30" s="22" t="s">
        <v>152</v>
      </c>
      <c r="F30" s="23" t="s">
        <v>324</v>
      </c>
      <c r="G30" s="23" t="s">
        <v>325</v>
      </c>
      <c r="H30" s="22" t="s">
        <v>326</v>
      </c>
      <c r="I30" s="22" t="s">
        <v>327</v>
      </c>
      <c r="J30" s="23" t="s">
        <v>328</v>
      </c>
      <c r="K30" s="23" t="s">
        <v>329</v>
      </c>
    </row>
    <row r="31" customFormat="false" ht="35.05" hidden="false" customHeight="false" outlineLevel="0" collapsed="false">
      <c r="A31" s="22" t="s">
        <v>337</v>
      </c>
      <c r="B31" s="22" t="s">
        <v>37</v>
      </c>
      <c r="C31" s="22" t="s">
        <v>127</v>
      </c>
      <c r="D31" s="22" t="n">
        <v>44</v>
      </c>
      <c r="E31" s="22" t="s">
        <v>197</v>
      </c>
      <c r="F31" s="23" t="s">
        <v>338</v>
      </c>
      <c r="G31" s="23" t="s">
        <v>339</v>
      </c>
      <c r="H31" s="22" t="s">
        <v>341</v>
      </c>
      <c r="I31" s="22" t="s">
        <v>342</v>
      </c>
      <c r="J31" s="23" t="s">
        <v>343</v>
      </c>
      <c r="K31" s="23" t="s">
        <v>344</v>
      </c>
    </row>
    <row r="32" customFormat="false" ht="35.05" hidden="false" customHeight="false" outlineLevel="0" collapsed="false">
      <c r="A32" s="22" t="s">
        <v>386</v>
      </c>
      <c r="B32" s="22" t="s">
        <v>37</v>
      </c>
      <c r="C32" s="22" t="s">
        <v>127</v>
      </c>
      <c r="D32" s="22" t="n">
        <v>53</v>
      </c>
      <c r="E32" s="22" t="s">
        <v>307</v>
      </c>
      <c r="F32" s="23" t="s">
        <v>387</v>
      </c>
      <c r="G32" s="23" t="s">
        <v>388</v>
      </c>
      <c r="H32" s="22" t="s">
        <v>326</v>
      </c>
      <c r="I32" s="22" t="s">
        <v>390</v>
      </c>
      <c r="J32" s="23" t="s">
        <v>391</v>
      </c>
      <c r="K32" s="23" t="s">
        <v>392</v>
      </c>
    </row>
    <row r="33" customFormat="false" ht="35.05" hidden="false" customHeight="false" outlineLevel="0" collapsed="false">
      <c r="A33" s="22" t="s">
        <v>393</v>
      </c>
      <c r="B33" s="22" t="s">
        <v>37</v>
      </c>
      <c r="C33" s="22" t="s">
        <v>394</v>
      </c>
      <c r="D33" s="22" t="n">
        <v>9</v>
      </c>
      <c r="E33" s="22" t="s">
        <v>129</v>
      </c>
      <c r="F33" s="23" t="s">
        <v>396</v>
      </c>
      <c r="G33" s="23" t="s">
        <v>397</v>
      </c>
      <c r="H33" s="22" t="s">
        <v>398</v>
      </c>
      <c r="I33" s="22" t="s">
        <v>327</v>
      </c>
      <c r="J33" s="23" t="s">
        <v>399</v>
      </c>
      <c r="K33" s="23" t="s">
        <v>400</v>
      </c>
    </row>
    <row r="34" customFormat="false" ht="46.25" hidden="false" customHeight="false" outlineLevel="0" collapsed="false">
      <c r="A34" s="22" t="s">
        <v>401</v>
      </c>
      <c r="B34" s="22" t="s">
        <v>37</v>
      </c>
      <c r="C34" s="22" t="s">
        <v>394</v>
      </c>
      <c r="D34" s="22" t="n">
        <v>9</v>
      </c>
      <c r="E34" s="22" t="s">
        <v>197</v>
      </c>
      <c r="F34" s="23" t="s">
        <v>402</v>
      </c>
      <c r="G34" s="23" t="s">
        <v>403</v>
      </c>
      <c r="H34" s="22" t="s">
        <v>405</v>
      </c>
      <c r="I34" s="22" t="s">
        <v>327</v>
      </c>
      <c r="J34" s="23" t="s">
        <v>406</v>
      </c>
      <c r="K34" s="23" t="s">
        <v>407</v>
      </c>
    </row>
    <row r="35" customFormat="false" ht="23.85" hidden="false" customHeight="false" outlineLevel="0" collapsed="false">
      <c r="A35" s="22" t="s">
        <v>408</v>
      </c>
      <c r="B35" s="22" t="s">
        <v>37</v>
      </c>
      <c r="C35" s="22" t="s">
        <v>394</v>
      </c>
      <c r="D35" s="22" t="n">
        <v>9</v>
      </c>
      <c r="E35" s="22" t="s">
        <v>141</v>
      </c>
      <c r="F35" s="23" t="s">
        <v>409</v>
      </c>
      <c r="G35" s="23" t="s">
        <v>410</v>
      </c>
      <c r="H35" s="22" t="s">
        <v>341</v>
      </c>
      <c r="I35" s="22" t="s">
        <v>342</v>
      </c>
      <c r="J35" s="23" t="s">
        <v>412</v>
      </c>
      <c r="K35" s="23" t="s">
        <v>413</v>
      </c>
    </row>
    <row r="36" customFormat="false" ht="35.05" hidden="false" customHeight="false" outlineLevel="0" collapsed="false">
      <c r="A36" s="22" t="s">
        <v>561</v>
      </c>
      <c r="B36" s="22" t="s">
        <v>37</v>
      </c>
      <c r="C36" s="22" t="s">
        <v>525</v>
      </c>
      <c r="D36" s="22" t="n">
        <v>35</v>
      </c>
      <c r="E36" s="22" t="s">
        <v>197</v>
      </c>
      <c r="F36" s="23" t="s">
        <v>562</v>
      </c>
      <c r="G36" s="23" t="s">
        <v>563</v>
      </c>
      <c r="H36" s="22" t="s">
        <v>398</v>
      </c>
      <c r="I36" s="22" t="s">
        <v>390</v>
      </c>
      <c r="J36" s="23" t="s">
        <v>564</v>
      </c>
      <c r="K36" s="23" t="s">
        <v>565</v>
      </c>
    </row>
    <row r="37" customFormat="false" ht="46.25" hidden="false" customHeight="false" outlineLevel="0" collapsed="false">
      <c r="A37" s="22" t="s">
        <v>619</v>
      </c>
      <c r="B37" s="22" t="s">
        <v>37</v>
      </c>
      <c r="C37" s="22" t="s">
        <v>525</v>
      </c>
      <c r="D37" s="22" t="n">
        <v>71</v>
      </c>
      <c r="E37" s="22" t="s">
        <v>152</v>
      </c>
      <c r="F37" s="23" t="s">
        <v>620</v>
      </c>
      <c r="G37" s="23" t="s">
        <v>621</v>
      </c>
      <c r="H37" s="22" t="s">
        <v>398</v>
      </c>
      <c r="I37" s="22" t="s">
        <v>327</v>
      </c>
      <c r="J37" s="23" t="s">
        <v>623</v>
      </c>
      <c r="K37" s="23" t="s">
        <v>624</v>
      </c>
    </row>
    <row r="38" customFormat="false" ht="46.25" hidden="false" customHeight="false" outlineLevel="0" collapsed="false">
      <c r="A38" s="22" t="s">
        <v>863</v>
      </c>
      <c r="B38" s="22" t="s">
        <v>37</v>
      </c>
      <c r="C38" s="22" t="s">
        <v>811</v>
      </c>
      <c r="D38" s="22" t="n">
        <v>39</v>
      </c>
      <c r="E38" s="22" t="s">
        <v>152</v>
      </c>
      <c r="F38" s="23" t="s">
        <v>864</v>
      </c>
      <c r="G38" s="23" t="s">
        <v>865</v>
      </c>
      <c r="H38" s="22" t="s">
        <v>326</v>
      </c>
      <c r="I38" s="22" t="s">
        <v>327</v>
      </c>
      <c r="J38" s="23" t="s">
        <v>867</v>
      </c>
      <c r="K38" s="23" t="s">
        <v>868</v>
      </c>
    </row>
    <row r="39" customFormat="false" ht="46.25" hidden="false" customHeight="false" outlineLevel="0" collapsed="false">
      <c r="A39" s="22" t="s">
        <v>980</v>
      </c>
      <c r="B39" s="22" t="s">
        <v>37</v>
      </c>
      <c r="C39" s="22" t="s">
        <v>811</v>
      </c>
      <c r="D39" s="22" t="n">
        <v>57</v>
      </c>
      <c r="E39" s="22" t="s">
        <v>197</v>
      </c>
      <c r="F39" s="23" t="s">
        <v>981</v>
      </c>
      <c r="G39" s="23" t="s">
        <v>982</v>
      </c>
      <c r="H39" s="22" t="s">
        <v>405</v>
      </c>
      <c r="I39" s="22" t="s">
        <v>390</v>
      </c>
      <c r="J39" s="23" t="s">
        <v>983</v>
      </c>
      <c r="K39" s="23" t="s">
        <v>984</v>
      </c>
    </row>
    <row r="40" customFormat="false" ht="35.05" hidden="false" customHeight="false" outlineLevel="0" collapsed="false">
      <c r="A40" s="22" t="s">
        <v>1129</v>
      </c>
      <c r="B40" s="22" t="s">
        <v>37</v>
      </c>
      <c r="C40" s="22" t="s">
        <v>811</v>
      </c>
      <c r="D40" s="22" t="n">
        <v>125</v>
      </c>
      <c r="E40" s="22" t="s">
        <v>129</v>
      </c>
      <c r="F40" s="23" t="s">
        <v>1130</v>
      </c>
      <c r="G40" s="23" t="s">
        <v>1131</v>
      </c>
      <c r="H40" s="22" t="s">
        <v>341</v>
      </c>
      <c r="I40" s="22" t="s">
        <v>390</v>
      </c>
      <c r="J40" s="23" t="s">
        <v>1132</v>
      </c>
      <c r="K40" s="23" t="s">
        <v>1133</v>
      </c>
    </row>
    <row r="41" customFormat="false" ht="46.25" hidden="false" customHeight="false" outlineLevel="0" collapsed="false">
      <c r="A41" s="22" t="s">
        <v>1143</v>
      </c>
      <c r="B41" s="22" t="s">
        <v>37</v>
      </c>
      <c r="C41" s="22" t="s">
        <v>1135</v>
      </c>
      <c r="D41" s="22" t="n">
        <v>13</v>
      </c>
      <c r="E41" s="22" t="s">
        <v>197</v>
      </c>
      <c r="F41" s="23" t="s">
        <v>1144</v>
      </c>
      <c r="G41" s="23" t="s">
        <v>1145</v>
      </c>
      <c r="H41" s="22" t="s">
        <v>405</v>
      </c>
      <c r="I41" s="22" t="s">
        <v>390</v>
      </c>
      <c r="J41" s="23" t="s">
        <v>1147</v>
      </c>
      <c r="K41" s="23" t="s">
        <v>1148</v>
      </c>
    </row>
    <row r="42" customFormat="false" ht="46.25" hidden="false" customHeight="false" outlineLevel="0" collapsed="false">
      <c r="A42" s="22" t="s">
        <v>1163</v>
      </c>
      <c r="B42" s="22" t="s">
        <v>37</v>
      </c>
      <c r="C42" s="22" t="s">
        <v>1135</v>
      </c>
      <c r="D42" s="22" t="n">
        <v>18</v>
      </c>
      <c r="E42" s="22" t="s">
        <v>197</v>
      </c>
      <c r="F42" s="23" t="s">
        <v>1164</v>
      </c>
      <c r="G42" s="23" t="s">
        <v>1165</v>
      </c>
      <c r="H42" s="22" t="s">
        <v>1166</v>
      </c>
      <c r="I42" s="22" t="s">
        <v>390</v>
      </c>
      <c r="J42" s="23" t="s">
        <v>1167</v>
      </c>
      <c r="K42" s="23" t="s">
        <v>1168</v>
      </c>
    </row>
    <row r="43" customFormat="false" ht="46.25" hidden="false" customHeight="false" outlineLevel="0" collapsed="false">
      <c r="A43" s="22" t="s">
        <v>1222</v>
      </c>
      <c r="B43" s="22" t="s">
        <v>37</v>
      </c>
      <c r="C43" s="22" t="s">
        <v>1135</v>
      </c>
      <c r="D43" s="22" t="n">
        <v>40</v>
      </c>
      <c r="E43" s="22" t="s">
        <v>129</v>
      </c>
      <c r="F43" s="23" t="s">
        <v>1224</v>
      </c>
      <c r="G43" s="23" t="s">
        <v>1225</v>
      </c>
      <c r="H43" s="22" t="s">
        <v>341</v>
      </c>
      <c r="I43" s="22" t="s">
        <v>390</v>
      </c>
      <c r="J43" s="23" t="s">
        <v>1226</v>
      </c>
      <c r="K43" s="23" t="s">
        <v>1227</v>
      </c>
    </row>
    <row r="44" customFormat="false" ht="46.25" hidden="false" customHeight="false" outlineLevel="0" collapsed="false">
      <c r="A44" s="22" t="s">
        <v>1280</v>
      </c>
      <c r="B44" s="22" t="s">
        <v>37</v>
      </c>
      <c r="C44" s="22" t="s">
        <v>1135</v>
      </c>
      <c r="D44" s="22" t="n">
        <v>44</v>
      </c>
      <c r="E44" s="22" t="s">
        <v>197</v>
      </c>
      <c r="F44" s="23" t="s">
        <v>1281</v>
      </c>
      <c r="G44" s="23" t="s">
        <v>1282</v>
      </c>
      <c r="H44" s="22" t="s">
        <v>326</v>
      </c>
      <c r="I44" s="22" t="s">
        <v>327</v>
      </c>
      <c r="J44" s="23" t="s">
        <v>1283</v>
      </c>
      <c r="K44" s="23" t="s">
        <v>1284</v>
      </c>
    </row>
    <row r="45" customFormat="false" ht="35.05" hidden="false" customHeight="false" outlineLevel="0" collapsed="false">
      <c r="A45" s="22" t="s">
        <v>1317</v>
      </c>
      <c r="B45" s="22" t="s">
        <v>37</v>
      </c>
      <c r="C45" s="22" t="s">
        <v>1135</v>
      </c>
      <c r="D45" s="22" t="n">
        <v>48</v>
      </c>
      <c r="E45" s="22" t="s">
        <v>197</v>
      </c>
      <c r="F45" s="23" t="s">
        <v>1318</v>
      </c>
      <c r="G45" s="23" t="s">
        <v>1319</v>
      </c>
      <c r="H45" s="22" t="s">
        <v>326</v>
      </c>
      <c r="I45" s="22" t="s">
        <v>327</v>
      </c>
      <c r="J45" s="23" t="s">
        <v>1320</v>
      </c>
      <c r="K45" s="23" t="s">
        <v>1321</v>
      </c>
    </row>
    <row r="46" customFormat="false" ht="68.65" hidden="false" customHeight="false" outlineLevel="0" collapsed="false">
      <c r="A46" s="22" t="s">
        <v>1439</v>
      </c>
      <c r="B46" s="22" t="s">
        <v>37</v>
      </c>
      <c r="C46" s="22" t="s">
        <v>1440</v>
      </c>
      <c r="D46" s="22" t="n">
        <v>31</v>
      </c>
      <c r="E46" s="22" t="s">
        <v>129</v>
      </c>
      <c r="F46" s="23" t="s">
        <v>1442</v>
      </c>
      <c r="G46" s="23" t="s">
        <v>1443</v>
      </c>
      <c r="H46" s="22" t="s">
        <v>405</v>
      </c>
      <c r="I46" s="22" t="s">
        <v>342</v>
      </c>
      <c r="J46" s="23" t="s">
        <v>1444</v>
      </c>
      <c r="K46" s="23" t="s">
        <v>1445</v>
      </c>
    </row>
    <row r="47" customFormat="false" ht="57.45" hidden="false" customHeight="false" outlineLevel="0" collapsed="false">
      <c r="A47" s="22" t="s">
        <v>1446</v>
      </c>
      <c r="B47" s="22" t="s">
        <v>37</v>
      </c>
      <c r="C47" s="22" t="s">
        <v>1440</v>
      </c>
      <c r="D47" s="22" t="n">
        <v>31</v>
      </c>
      <c r="E47" s="22" t="s">
        <v>141</v>
      </c>
      <c r="F47" s="23" t="s">
        <v>1447</v>
      </c>
      <c r="G47" s="23" t="s">
        <v>1448</v>
      </c>
      <c r="H47" s="22" t="s">
        <v>398</v>
      </c>
      <c r="I47" s="22" t="s">
        <v>390</v>
      </c>
      <c r="J47" s="23" t="s">
        <v>1450</v>
      </c>
      <c r="K47" s="23" t="s">
        <v>1451</v>
      </c>
    </row>
    <row r="48" customFormat="false" ht="68.65" hidden="false" customHeight="false" outlineLevel="0" collapsed="false">
      <c r="A48" s="22" t="s">
        <v>1452</v>
      </c>
      <c r="B48" s="22" t="s">
        <v>37</v>
      </c>
      <c r="C48" s="22" t="s">
        <v>1440</v>
      </c>
      <c r="D48" s="22" t="n">
        <v>31</v>
      </c>
      <c r="E48" s="22" t="s">
        <v>152</v>
      </c>
      <c r="F48" s="23" t="s">
        <v>1442</v>
      </c>
      <c r="G48" s="23" t="s">
        <v>1443</v>
      </c>
      <c r="H48" s="22" t="s">
        <v>405</v>
      </c>
      <c r="I48" s="22" t="s">
        <v>342</v>
      </c>
      <c r="J48" s="23" t="s">
        <v>1453</v>
      </c>
      <c r="K48" s="23" t="s">
        <v>1454</v>
      </c>
    </row>
    <row r="49" customFormat="false" ht="57.45" hidden="false" customHeight="false" outlineLevel="0" collapsed="false">
      <c r="A49" s="22" t="s">
        <v>1600</v>
      </c>
      <c r="B49" s="22" t="s">
        <v>37</v>
      </c>
      <c r="C49" s="22" t="s">
        <v>1440</v>
      </c>
      <c r="D49" s="22" t="n">
        <v>53</v>
      </c>
      <c r="E49" s="22" t="s">
        <v>129</v>
      </c>
      <c r="F49" s="23" t="s">
        <v>1601</v>
      </c>
      <c r="G49" s="23" t="s">
        <v>1602</v>
      </c>
      <c r="H49" s="22" t="s">
        <v>398</v>
      </c>
      <c r="I49" s="22" t="s">
        <v>327</v>
      </c>
      <c r="J49" s="23" t="s">
        <v>1603</v>
      </c>
      <c r="K49" s="23" t="s">
        <v>1604</v>
      </c>
    </row>
    <row r="50" customFormat="false" ht="35.05" hidden="false" customHeight="false" outlineLevel="0" collapsed="false">
      <c r="A50" s="22" t="s">
        <v>1605</v>
      </c>
      <c r="B50" s="22" t="s">
        <v>37</v>
      </c>
      <c r="C50" s="22" t="s">
        <v>1440</v>
      </c>
      <c r="D50" s="22" t="n">
        <v>53</v>
      </c>
      <c r="E50" s="22" t="s">
        <v>197</v>
      </c>
      <c r="F50" s="23" t="s">
        <v>1606</v>
      </c>
      <c r="G50" s="23" t="s">
        <v>1607</v>
      </c>
      <c r="H50" s="22" t="s">
        <v>341</v>
      </c>
      <c r="I50" s="22" t="s">
        <v>390</v>
      </c>
      <c r="J50" s="23" t="s">
        <v>1608</v>
      </c>
      <c r="K50" s="23" t="s">
        <v>1609</v>
      </c>
    </row>
    <row r="51" customFormat="false" ht="46.25" hidden="false" customHeight="false" outlineLevel="0" collapsed="false">
      <c r="A51" s="22" t="s">
        <v>1610</v>
      </c>
      <c r="B51" s="22" t="s">
        <v>37</v>
      </c>
      <c r="C51" s="22" t="s">
        <v>1611</v>
      </c>
      <c r="D51" s="22" t="n">
        <v>13</v>
      </c>
      <c r="E51" s="22" t="s">
        <v>307</v>
      </c>
      <c r="F51" s="23" t="s">
        <v>1613</v>
      </c>
      <c r="G51" s="23" t="s">
        <v>1614</v>
      </c>
      <c r="H51" s="22" t="s">
        <v>405</v>
      </c>
      <c r="I51" s="22" t="s">
        <v>390</v>
      </c>
      <c r="J51" s="23" t="s">
        <v>1616</v>
      </c>
      <c r="K51" s="23" t="s">
        <v>1617</v>
      </c>
    </row>
    <row r="52" customFormat="false" ht="35.05" hidden="false" customHeight="false" outlineLevel="0" collapsed="false">
      <c r="A52" s="22" t="s">
        <v>1618</v>
      </c>
      <c r="B52" s="22" t="s">
        <v>37</v>
      </c>
      <c r="C52" s="22" t="s">
        <v>1611</v>
      </c>
      <c r="D52" s="22" t="n">
        <v>13</v>
      </c>
      <c r="E52" s="22" t="s">
        <v>136</v>
      </c>
      <c r="F52" s="23" t="s">
        <v>1619</v>
      </c>
      <c r="G52" s="23" t="s">
        <v>1620</v>
      </c>
      <c r="H52" s="22" t="s">
        <v>405</v>
      </c>
      <c r="I52" s="22" t="s">
        <v>390</v>
      </c>
      <c r="J52" s="23" t="s">
        <v>1621</v>
      </c>
      <c r="K52" s="23" t="s">
        <v>1622</v>
      </c>
    </row>
    <row r="53" customFormat="false" ht="35.05" hidden="false" customHeight="false" outlineLevel="0" collapsed="false">
      <c r="A53" s="22" t="s">
        <v>1623</v>
      </c>
      <c r="B53" s="22" t="s">
        <v>37</v>
      </c>
      <c r="C53" s="22" t="s">
        <v>1611</v>
      </c>
      <c r="D53" s="22" t="n">
        <v>13</v>
      </c>
      <c r="E53" s="22" t="s">
        <v>129</v>
      </c>
      <c r="F53" s="23" t="s">
        <v>1624</v>
      </c>
      <c r="G53" s="23" t="s">
        <v>1625</v>
      </c>
      <c r="H53" s="22" t="s">
        <v>405</v>
      </c>
      <c r="I53" s="22" t="s">
        <v>390</v>
      </c>
      <c r="J53" s="23" t="s">
        <v>1626</v>
      </c>
      <c r="K53" s="23" t="s">
        <v>1627</v>
      </c>
    </row>
    <row r="54" customFormat="false" ht="35.05" hidden="false" customHeight="false" outlineLevel="0" collapsed="false">
      <c r="A54" s="22" t="s">
        <v>1803</v>
      </c>
      <c r="B54" s="22" t="s">
        <v>37</v>
      </c>
      <c r="C54" s="22" t="s">
        <v>1697</v>
      </c>
      <c r="D54" s="22" t="n">
        <v>69</v>
      </c>
      <c r="E54" s="22" t="s">
        <v>129</v>
      </c>
      <c r="F54" s="23" t="s">
        <v>1805</v>
      </c>
      <c r="G54" s="23" t="s">
        <v>1806</v>
      </c>
      <c r="H54" s="22" t="s">
        <v>326</v>
      </c>
      <c r="I54" s="22" t="s">
        <v>390</v>
      </c>
      <c r="J54" s="23" t="s">
        <v>1807</v>
      </c>
      <c r="K54" s="23" t="s">
        <v>1808</v>
      </c>
    </row>
    <row r="55" customFormat="false" ht="46.25" hidden="false" customHeight="false" outlineLevel="0" collapsed="false">
      <c r="A55" s="22" t="s">
        <v>2202</v>
      </c>
      <c r="B55" s="22" t="s">
        <v>37</v>
      </c>
      <c r="C55" s="22" t="s">
        <v>2122</v>
      </c>
      <c r="D55" s="22" t="n">
        <v>39</v>
      </c>
      <c r="E55" s="22" t="s">
        <v>141</v>
      </c>
      <c r="F55" s="23" t="s">
        <v>2203</v>
      </c>
      <c r="G55" s="23" t="s">
        <v>2204</v>
      </c>
      <c r="H55" s="22" t="s">
        <v>341</v>
      </c>
      <c r="I55" s="22" t="s">
        <v>327</v>
      </c>
      <c r="J55" s="23" t="s">
        <v>2205</v>
      </c>
      <c r="K55" s="23" t="s">
        <v>2206</v>
      </c>
    </row>
    <row r="56" customFormat="false" ht="46.25" hidden="false" customHeight="false" outlineLevel="0" collapsed="false">
      <c r="A56" s="22" t="s">
        <v>2283</v>
      </c>
      <c r="B56" s="22" t="s">
        <v>37</v>
      </c>
      <c r="C56" s="22" t="s">
        <v>2122</v>
      </c>
      <c r="D56" s="22" t="n">
        <v>83</v>
      </c>
      <c r="E56" s="22" t="s">
        <v>197</v>
      </c>
      <c r="F56" s="23" t="s">
        <v>2284</v>
      </c>
      <c r="G56" s="23" t="s">
        <v>2285</v>
      </c>
      <c r="H56" s="22" t="s">
        <v>405</v>
      </c>
      <c r="I56" s="22" t="s">
        <v>327</v>
      </c>
      <c r="J56" s="23" t="s">
        <v>2286</v>
      </c>
      <c r="K56" s="23" t="s">
        <v>2287</v>
      </c>
    </row>
    <row r="57" customFormat="false" ht="57.45" hidden="false" customHeight="false" outlineLevel="0" collapsed="false">
      <c r="A57" s="22" t="s">
        <v>2318</v>
      </c>
      <c r="B57" s="22" t="s">
        <v>37</v>
      </c>
      <c r="C57" s="22" t="s">
        <v>2295</v>
      </c>
      <c r="D57" s="22" t="n">
        <v>42</v>
      </c>
      <c r="E57" s="22" t="s">
        <v>141</v>
      </c>
      <c r="F57" s="23" t="s">
        <v>2320</v>
      </c>
      <c r="G57" s="23" t="s">
        <v>2321</v>
      </c>
      <c r="H57" s="22" t="s">
        <v>405</v>
      </c>
      <c r="I57" s="22" t="s">
        <v>390</v>
      </c>
      <c r="J57" s="23" t="s">
        <v>2322</v>
      </c>
      <c r="K57" s="23" t="s">
        <v>2323</v>
      </c>
    </row>
    <row r="58" customFormat="false" ht="35.05" hidden="false" customHeight="false" outlineLevel="0" collapsed="false">
      <c r="A58" s="22" t="s">
        <v>2331</v>
      </c>
      <c r="B58" s="22" t="s">
        <v>37</v>
      </c>
      <c r="C58" s="22" t="s">
        <v>2295</v>
      </c>
      <c r="D58" s="22" t="n">
        <v>42</v>
      </c>
      <c r="E58" s="22" t="s">
        <v>129</v>
      </c>
      <c r="F58" s="23" t="s">
        <v>2332</v>
      </c>
      <c r="G58" s="23" t="s">
        <v>2333</v>
      </c>
      <c r="H58" s="22" t="s">
        <v>405</v>
      </c>
      <c r="I58" s="22" t="s">
        <v>390</v>
      </c>
      <c r="J58" s="23" t="s">
        <v>2334</v>
      </c>
      <c r="K58" s="23" t="s">
        <v>2335</v>
      </c>
    </row>
    <row r="59" customFormat="false" ht="46.25" hidden="false" customHeight="false" outlineLevel="0" collapsed="false">
      <c r="A59" s="22" t="s">
        <v>2403</v>
      </c>
      <c r="B59" s="22" t="s">
        <v>37</v>
      </c>
      <c r="C59" s="22" t="s">
        <v>2295</v>
      </c>
      <c r="D59" s="22" t="n">
        <v>75</v>
      </c>
      <c r="E59" s="22" t="s">
        <v>197</v>
      </c>
      <c r="F59" s="23" t="s">
        <v>2404</v>
      </c>
      <c r="G59" s="23" t="s">
        <v>2405</v>
      </c>
      <c r="H59" s="22" t="s">
        <v>405</v>
      </c>
      <c r="I59" s="22" t="s">
        <v>327</v>
      </c>
      <c r="J59" s="23" t="s">
        <v>2406</v>
      </c>
      <c r="K59" s="23" t="s">
        <v>2407</v>
      </c>
    </row>
    <row r="60" customFormat="false" ht="57.45" hidden="false" customHeight="false" outlineLevel="0" collapsed="false">
      <c r="A60" s="22" t="s">
        <v>2414</v>
      </c>
      <c r="B60" s="22" t="s">
        <v>37</v>
      </c>
      <c r="C60" s="22" t="s">
        <v>2295</v>
      </c>
      <c r="D60" s="22" t="n">
        <v>103</v>
      </c>
      <c r="E60" s="22" t="s">
        <v>129</v>
      </c>
      <c r="F60" s="23" t="s">
        <v>2416</v>
      </c>
      <c r="G60" s="23" t="s">
        <v>2417</v>
      </c>
      <c r="H60" s="22" t="s">
        <v>341</v>
      </c>
      <c r="I60" s="22" t="s">
        <v>327</v>
      </c>
      <c r="J60" s="23" t="s">
        <v>2418</v>
      </c>
      <c r="K60" s="23" t="s">
        <v>2419</v>
      </c>
    </row>
    <row r="61" customFormat="false" ht="46.25" hidden="false" customHeight="false" outlineLevel="0" collapsed="false">
      <c r="A61" s="22" t="s">
        <v>2541</v>
      </c>
      <c r="B61" s="22" t="s">
        <v>37</v>
      </c>
      <c r="C61" s="22" t="s">
        <v>2497</v>
      </c>
      <c r="D61" s="22" t="n">
        <v>46</v>
      </c>
      <c r="E61" s="22" t="s">
        <v>197</v>
      </c>
      <c r="F61" s="23" t="s">
        <v>2543</v>
      </c>
      <c r="G61" s="23" t="s">
        <v>2544</v>
      </c>
      <c r="H61" s="22" t="s">
        <v>1166</v>
      </c>
      <c r="I61" s="22" t="s">
        <v>390</v>
      </c>
      <c r="J61" s="23" t="s">
        <v>2545</v>
      </c>
      <c r="K61" s="23" t="s">
        <v>2546</v>
      </c>
    </row>
    <row r="62" customFormat="false" ht="46.25" hidden="false" customHeight="false" outlineLevel="0" collapsed="false">
      <c r="A62" s="22" t="s">
        <v>2547</v>
      </c>
      <c r="B62" s="22" t="s">
        <v>37</v>
      </c>
      <c r="C62" s="22" t="s">
        <v>2497</v>
      </c>
      <c r="D62" s="22" t="n">
        <v>46</v>
      </c>
      <c r="E62" s="22" t="s">
        <v>129</v>
      </c>
      <c r="F62" s="23" t="s">
        <v>2548</v>
      </c>
      <c r="G62" s="23" t="s">
        <v>2549</v>
      </c>
      <c r="H62" s="22" t="s">
        <v>1166</v>
      </c>
      <c r="I62" s="22" t="s">
        <v>390</v>
      </c>
      <c r="J62" s="23" t="s">
        <v>2550</v>
      </c>
      <c r="K62" s="23" t="s">
        <v>2551</v>
      </c>
    </row>
    <row r="63" customFormat="false" ht="35.05" hidden="false" customHeight="false" outlineLevel="0" collapsed="false">
      <c r="A63" s="22" t="s">
        <v>2552</v>
      </c>
      <c r="B63" s="22" t="s">
        <v>37</v>
      </c>
      <c r="C63" s="22" t="s">
        <v>2497</v>
      </c>
      <c r="D63" s="22" t="n">
        <v>46</v>
      </c>
      <c r="E63" s="22" t="s">
        <v>141</v>
      </c>
      <c r="F63" s="23" t="s">
        <v>2553</v>
      </c>
      <c r="G63" s="23" t="s">
        <v>2554</v>
      </c>
      <c r="H63" s="22" t="s">
        <v>1166</v>
      </c>
      <c r="I63" s="22" t="s">
        <v>327</v>
      </c>
      <c r="J63" s="23" t="s">
        <v>2555</v>
      </c>
      <c r="K63" s="23" t="s">
        <v>2556</v>
      </c>
    </row>
    <row r="64" customFormat="false" ht="57.45" hidden="false" customHeight="false" outlineLevel="0" collapsed="false">
      <c r="A64" s="22" t="s">
        <v>2565</v>
      </c>
      <c r="B64" s="22" t="s">
        <v>37</v>
      </c>
      <c r="C64" s="22" t="s">
        <v>2497</v>
      </c>
      <c r="D64" s="22" t="n">
        <v>48</v>
      </c>
      <c r="E64" s="22" t="s">
        <v>141</v>
      </c>
      <c r="F64" s="23" t="s">
        <v>2566</v>
      </c>
      <c r="G64" s="23" t="s">
        <v>2567</v>
      </c>
      <c r="H64" s="22" t="s">
        <v>326</v>
      </c>
      <c r="I64" s="22" t="s">
        <v>327</v>
      </c>
      <c r="J64" s="23" t="s">
        <v>2568</v>
      </c>
      <c r="K64" s="23" t="s">
        <v>2569</v>
      </c>
    </row>
    <row r="65" customFormat="false" ht="46.25" hidden="false" customHeight="false" outlineLevel="0" collapsed="false">
      <c r="A65" s="22" t="s">
        <v>2622</v>
      </c>
      <c r="B65" s="22" t="s">
        <v>37</v>
      </c>
      <c r="C65" s="22" t="s">
        <v>2497</v>
      </c>
      <c r="D65" s="22" t="n">
        <v>77</v>
      </c>
      <c r="E65" s="22" t="s">
        <v>141</v>
      </c>
      <c r="F65" s="23" t="s">
        <v>2624</v>
      </c>
      <c r="G65" s="23" t="s">
        <v>2625</v>
      </c>
      <c r="H65" s="22" t="s">
        <v>341</v>
      </c>
      <c r="I65" s="22" t="s">
        <v>342</v>
      </c>
      <c r="J65" s="23" t="s">
        <v>2626</v>
      </c>
      <c r="K65" s="23" t="s">
        <v>2627</v>
      </c>
    </row>
    <row r="66" customFormat="false" ht="35.05" hidden="false" customHeight="false" outlineLevel="0" collapsed="false">
      <c r="A66" s="22" t="s">
        <v>2628</v>
      </c>
      <c r="B66" s="22" t="s">
        <v>37</v>
      </c>
      <c r="C66" s="22" t="s">
        <v>2497</v>
      </c>
      <c r="D66" s="22" t="n">
        <v>77</v>
      </c>
      <c r="E66" s="22" t="s">
        <v>152</v>
      </c>
      <c r="F66" s="23" t="s">
        <v>2629</v>
      </c>
      <c r="G66" s="23" t="s">
        <v>2629</v>
      </c>
      <c r="H66" s="22" t="s">
        <v>341</v>
      </c>
      <c r="I66" s="22" t="s">
        <v>342</v>
      </c>
      <c r="J66" s="23" t="s">
        <v>2631</v>
      </c>
      <c r="K66" s="23" t="s">
        <v>2632</v>
      </c>
    </row>
    <row r="67" customFormat="false" ht="46.25" hidden="false" customHeight="false" outlineLevel="0" collapsed="false">
      <c r="A67" s="22" t="s">
        <v>2657</v>
      </c>
      <c r="B67" s="22" t="s">
        <v>37</v>
      </c>
      <c r="C67" s="22" t="s">
        <v>2497</v>
      </c>
      <c r="D67" s="22" t="n">
        <v>78</v>
      </c>
      <c r="E67" s="22" t="s">
        <v>307</v>
      </c>
      <c r="F67" s="23" t="s">
        <v>2658</v>
      </c>
      <c r="G67" s="23" t="s">
        <v>2659</v>
      </c>
      <c r="H67" s="22" t="s">
        <v>405</v>
      </c>
      <c r="I67" s="22" t="s">
        <v>390</v>
      </c>
      <c r="J67" s="23" t="s">
        <v>2660</v>
      </c>
      <c r="K67" s="23" t="s">
        <v>2661</v>
      </c>
    </row>
    <row r="68" customFormat="false" ht="46.25" hidden="false" customHeight="false" outlineLevel="0" collapsed="false">
      <c r="A68" s="22" t="s">
        <v>2677</v>
      </c>
      <c r="B68" s="22" t="s">
        <v>37</v>
      </c>
      <c r="C68" s="22" t="s">
        <v>2497</v>
      </c>
      <c r="D68" s="22" t="n">
        <v>85</v>
      </c>
      <c r="E68" s="22" t="s">
        <v>197</v>
      </c>
      <c r="F68" s="23" t="s">
        <v>2678</v>
      </c>
      <c r="G68" s="23" t="s">
        <v>2679</v>
      </c>
      <c r="H68" s="22" t="s">
        <v>1166</v>
      </c>
      <c r="I68" s="22" t="s">
        <v>390</v>
      </c>
      <c r="J68" s="23" t="s">
        <v>2680</v>
      </c>
      <c r="K68" s="23" t="s">
        <v>2681</v>
      </c>
    </row>
    <row r="69" customFormat="false" ht="46.25" hidden="false" customHeight="false" outlineLevel="0" collapsed="false">
      <c r="A69" s="22" t="s">
        <v>2713</v>
      </c>
      <c r="B69" s="22" t="s">
        <v>37</v>
      </c>
      <c r="C69" s="22" t="s">
        <v>2683</v>
      </c>
      <c r="D69" s="22" t="n">
        <v>26</v>
      </c>
      <c r="E69" s="22" t="s">
        <v>141</v>
      </c>
      <c r="F69" s="23" t="s">
        <v>2714</v>
      </c>
      <c r="G69" s="23" t="s">
        <v>2715</v>
      </c>
      <c r="H69" s="22" t="s">
        <v>341</v>
      </c>
      <c r="I69" s="22" t="s">
        <v>327</v>
      </c>
      <c r="J69" s="23" t="s">
        <v>2716</v>
      </c>
      <c r="K69" s="23" t="s">
        <v>2717</v>
      </c>
    </row>
    <row r="70" customFormat="false" ht="46.25" hidden="false" customHeight="false" outlineLevel="0" collapsed="false">
      <c r="A70" s="22" t="s">
        <v>2718</v>
      </c>
      <c r="B70" s="22" t="s">
        <v>37</v>
      </c>
      <c r="C70" s="22" t="s">
        <v>2683</v>
      </c>
      <c r="D70" s="22" t="n">
        <v>26</v>
      </c>
      <c r="E70" s="22" t="s">
        <v>197</v>
      </c>
      <c r="F70" s="23" t="s">
        <v>2719</v>
      </c>
      <c r="G70" s="23" t="s">
        <v>2720</v>
      </c>
      <c r="H70" s="22" t="s">
        <v>398</v>
      </c>
      <c r="I70" s="22" t="s">
        <v>327</v>
      </c>
      <c r="J70" s="23" t="s">
        <v>2722</v>
      </c>
      <c r="K70" s="23" t="s">
        <v>2723</v>
      </c>
    </row>
    <row r="71" customFormat="false" ht="35.05" hidden="false" customHeight="false" outlineLevel="0" collapsed="false">
      <c r="A71" s="22" t="s">
        <v>2741</v>
      </c>
      <c r="B71" s="22" t="s">
        <v>37</v>
      </c>
      <c r="C71" s="22" t="s">
        <v>2683</v>
      </c>
      <c r="D71" s="22" t="n">
        <v>33</v>
      </c>
      <c r="E71" s="22" t="s">
        <v>129</v>
      </c>
      <c r="F71" s="23" t="s">
        <v>2742</v>
      </c>
      <c r="G71" s="23" t="s">
        <v>2743</v>
      </c>
      <c r="H71" s="22" t="s">
        <v>341</v>
      </c>
      <c r="I71" s="22" t="s">
        <v>390</v>
      </c>
      <c r="J71" s="23" t="s">
        <v>2744</v>
      </c>
      <c r="K71" s="23" t="s">
        <v>2745</v>
      </c>
    </row>
    <row r="72" customFormat="false" ht="46.25" hidden="false" customHeight="false" outlineLevel="0" collapsed="false">
      <c r="A72" s="22" t="s">
        <v>2754</v>
      </c>
      <c r="B72" s="22" t="s">
        <v>37</v>
      </c>
      <c r="C72" s="22" t="s">
        <v>2683</v>
      </c>
      <c r="D72" s="22" t="n">
        <v>49</v>
      </c>
      <c r="E72" s="22" t="s">
        <v>152</v>
      </c>
      <c r="F72" s="23" t="s">
        <v>2755</v>
      </c>
      <c r="G72" s="23" t="s">
        <v>2756</v>
      </c>
      <c r="H72" s="22" t="s">
        <v>326</v>
      </c>
      <c r="I72" s="22" t="s">
        <v>342</v>
      </c>
      <c r="J72" s="23" t="s">
        <v>2758</v>
      </c>
      <c r="K72" s="23" t="s">
        <v>2759</v>
      </c>
    </row>
    <row r="73" customFormat="false" ht="46.25" hidden="false" customHeight="false" outlineLevel="0" collapsed="false">
      <c r="A73" s="22" t="s">
        <v>2776</v>
      </c>
      <c r="B73" s="22" t="s">
        <v>37</v>
      </c>
      <c r="C73" s="22" t="s">
        <v>2683</v>
      </c>
      <c r="D73" s="22" t="n">
        <v>50</v>
      </c>
      <c r="E73" s="22" t="s">
        <v>129</v>
      </c>
      <c r="F73" s="23" t="s">
        <v>2777</v>
      </c>
      <c r="G73" s="23" t="s">
        <v>2778</v>
      </c>
      <c r="H73" s="22" t="s">
        <v>1166</v>
      </c>
      <c r="I73" s="22" t="s">
        <v>390</v>
      </c>
      <c r="J73" s="23" t="s">
        <v>2779</v>
      </c>
      <c r="K73" s="23" t="s">
        <v>2780</v>
      </c>
    </row>
    <row r="74" customFormat="false" ht="46.25" hidden="false" customHeight="false" outlineLevel="0" collapsed="false">
      <c r="A74" s="22" t="s">
        <v>2781</v>
      </c>
      <c r="B74" s="22" t="s">
        <v>37</v>
      </c>
      <c r="C74" s="22" t="s">
        <v>2683</v>
      </c>
      <c r="D74" s="22" t="n">
        <v>50</v>
      </c>
      <c r="E74" s="22" t="s">
        <v>197</v>
      </c>
      <c r="F74" s="23" t="s">
        <v>2782</v>
      </c>
      <c r="G74" s="23" t="s">
        <v>2783</v>
      </c>
      <c r="H74" s="22" t="s">
        <v>326</v>
      </c>
      <c r="I74" s="22" t="s">
        <v>390</v>
      </c>
      <c r="J74" s="23" t="s">
        <v>2784</v>
      </c>
      <c r="K74" s="23" t="s">
        <v>2785</v>
      </c>
    </row>
    <row r="75" customFormat="false" ht="35.05" hidden="false" customHeight="false" outlineLevel="0" collapsed="false">
      <c r="A75" s="22" t="s">
        <v>2843</v>
      </c>
      <c r="B75" s="22" t="s">
        <v>37</v>
      </c>
      <c r="C75" s="22" t="s">
        <v>2683</v>
      </c>
      <c r="D75" s="22" t="n">
        <v>84</v>
      </c>
      <c r="E75" s="22" t="s">
        <v>197</v>
      </c>
      <c r="F75" s="23" t="s">
        <v>2844</v>
      </c>
      <c r="G75" s="23" t="s">
        <v>2845</v>
      </c>
      <c r="H75" s="22" t="s">
        <v>405</v>
      </c>
      <c r="I75" s="22" t="s">
        <v>390</v>
      </c>
      <c r="J75" s="23" t="s">
        <v>2846</v>
      </c>
      <c r="K75" s="23" t="s">
        <v>2847</v>
      </c>
    </row>
    <row r="76" customFormat="false" ht="46.25" hidden="false" customHeight="false" outlineLevel="0" collapsed="false">
      <c r="A76" s="22" t="s">
        <v>2887</v>
      </c>
      <c r="B76" s="22" t="s">
        <v>37</v>
      </c>
      <c r="C76" s="22" t="s">
        <v>2849</v>
      </c>
      <c r="D76" s="22" t="n">
        <v>36</v>
      </c>
      <c r="E76" s="22" t="s">
        <v>129</v>
      </c>
      <c r="F76" s="23" t="s">
        <v>2889</v>
      </c>
      <c r="G76" s="23" t="s">
        <v>2890</v>
      </c>
      <c r="H76" s="22" t="s">
        <v>341</v>
      </c>
      <c r="I76" s="22" t="s">
        <v>390</v>
      </c>
      <c r="J76" s="23" t="s">
        <v>2891</v>
      </c>
      <c r="K76" s="23" t="s">
        <v>2892</v>
      </c>
    </row>
    <row r="77" customFormat="false" ht="35.05" hidden="false" customHeight="false" outlineLevel="0" collapsed="false">
      <c r="A77" s="22" t="s">
        <v>2893</v>
      </c>
      <c r="B77" s="22" t="s">
        <v>37</v>
      </c>
      <c r="C77" s="22" t="s">
        <v>2849</v>
      </c>
      <c r="D77" s="22" t="n">
        <v>36</v>
      </c>
      <c r="E77" s="22" t="s">
        <v>141</v>
      </c>
      <c r="F77" s="23" t="s">
        <v>2894</v>
      </c>
      <c r="G77" s="23" t="s">
        <v>2895</v>
      </c>
      <c r="H77" s="22" t="s">
        <v>405</v>
      </c>
      <c r="I77" s="22" t="s">
        <v>390</v>
      </c>
      <c r="J77" s="23" t="s">
        <v>2896</v>
      </c>
      <c r="K77" s="23" t="s">
        <v>2897</v>
      </c>
    </row>
    <row r="78" customFormat="false" ht="35.05" hidden="false" customHeight="false" outlineLevel="0" collapsed="false">
      <c r="A78" s="22" t="s">
        <v>2898</v>
      </c>
      <c r="B78" s="22" t="s">
        <v>37</v>
      </c>
      <c r="C78" s="22" t="s">
        <v>2849</v>
      </c>
      <c r="D78" s="22" t="n">
        <v>36</v>
      </c>
      <c r="E78" s="22" t="s">
        <v>152</v>
      </c>
      <c r="F78" s="23" t="s">
        <v>2899</v>
      </c>
      <c r="G78" s="23" t="s">
        <v>2900</v>
      </c>
      <c r="H78" s="22" t="s">
        <v>405</v>
      </c>
      <c r="I78" s="22" t="s">
        <v>327</v>
      </c>
      <c r="J78" s="23" t="s">
        <v>2901</v>
      </c>
      <c r="K78" s="23" t="s">
        <v>2902</v>
      </c>
    </row>
    <row r="79" customFormat="false" ht="46.25" hidden="false" customHeight="false" outlineLevel="0" collapsed="false">
      <c r="A79" s="22" t="s">
        <v>3038</v>
      </c>
      <c r="B79" s="22" t="s">
        <v>37</v>
      </c>
      <c r="C79" s="22" t="s">
        <v>2849</v>
      </c>
      <c r="D79" s="22" t="n">
        <v>65</v>
      </c>
      <c r="E79" s="22" t="s">
        <v>129</v>
      </c>
      <c r="F79" s="23" t="s">
        <v>3040</v>
      </c>
      <c r="G79" s="23" t="s">
        <v>3041</v>
      </c>
      <c r="H79" s="22" t="s">
        <v>405</v>
      </c>
      <c r="I79" s="22" t="s">
        <v>327</v>
      </c>
      <c r="J79" s="23" t="s">
        <v>3042</v>
      </c>
      <c r="K79" s="23" t="s">
        <v>3043</v>
      </c>
    </row>
    <row r="80" customFormat="false" ht="35.05" hidden="false" customHeight="false" outlineLevel="0" collapsed="false">
      <c r="A80" s="22" t="s">
        <v>3472</v>
      </c>
      <c r="B80" s="22" t="s">
        <v>37</v>
      </c>
      <c r="C80" s="22" t="s">
        <v>3456</v>
      </c>
      <c r="D80" s="22" t="n">
        <v>30</v>
      </c>
      <c r="E80" s="22" t="s">
        <v>197</v>
      </c>
      <c r="F80" s="23" t="s">
        <v>3473</v>
      </c>
      <c r="G80" s="23" t="s">
        <v>3474</v>
      </c>
      <c r="H80" s="22" t="s">
        <v>405</v>
      </c>
      <c r="I80" s="22" t="s">
        <v>327</v>
      </c>
      <c r="J80" s="23" t="s">
        <v>3475</v>
      </c>
      <c r="K80" s="23" t="s">
        <v>3476</v>
      </c>
    </row>
    <row r="81" customFormat="false" ht="35.05" hidden="false" customHeight="false" outlineLevel="0" collapsed="false">
      <c r="A81" s="22" t="s">
        <v>3505</v>
      </c>
      <c r="B81" s="22" t="s">
        <v>37</v>
      </c>
      <c r="C81" s="22" t="s">
        <v>3497</v>
      </c>
      <c r="D81" s="22" t="n">
        <v>1</v>
      </c>
      <c r="E81" s="22" t="s">
        <v>141</v>
      </c>
      <c r="F81" s="23" t="s">
        <v>3506</v>
      </c>
      <c r="G81" s="23" t="s">
        <v>3507</v>
      </c>
      <c r="H81" s="22" t="s">
        <v>341</v>
      </c>
      <c r="I81" s="22" t="s">
        <v>327</v>
      </c>
      <c r="J81" s="23" t="s">
        <v>3508</v>
      </c>
      <c r="K81" s="23" t="s">
        <v>3509</v>
      </c>
    </row>
    <row r="82" customFormat="false" ht="23.85" hidden="false" customHeight="false" outlineLevel="0" collapsed="false">
      <c r="A82" s="22" t="s">
        <v>3510</v>
      </c>
      <c r="B82" s="22" t="s">
        <v>37</v>
      </c>
      <c r="C82" s="22" t="s">
        <v>3497</v>
      </c>
      <c r="D82" s="22" t="n">
        <v>1</v>
      </c>
      <c r="E82" s="22" t="s">
        <v>129</v>
      </c>
      <c r="F82" s="23" t="s">
        <v>3511</v>
      </c>
      <c r="G82" s="23" t="s">
        <v>3512</v>
      </c>
      <c r="H82" s="22" t="s">
        <v>405</v>
      </c>
      <c r="I82" s="22" t="s">
        <v>327</v>
      </c>
      <c r="J82" s="23" t="s">
        <v>3513</v>
      </c>
      <c r="K82" s="23" t="s">
        <v>3514</v>
      </c>
    </row>
    <row r="83" customFormat="false" ht="35.05" hidden="false" customHeight="false" outlineLevel="0" collapsed="false">
      <c r="A83" s="22" t="s">
        <v>3524</v>
      </c>
      <c r="B83" s="22" t="s">
        <v>37</v>
      </c>
      <c r="C83" s="22" t="s">
        <v>3516</v>
      </c>
      <c r="D83" s="22" t="n">
        <v>4</v>
      </c>
      <c r="E83" s="22" t="s">
        <v>152</v>
      </c>
      <c r="F83" s="23" t="s">
        <v>3525</v>
      </c>
      <c r="G83" s="23" t="s">
        <v>3526</v>
      </c>
      <c r="H83" s="22" t="s">
        <v>326</v>
      </c>
      <c r="I83" s="22" t="s">
        <v>390</v>
      </c>
      <c r="J83" s="23" t="s">
        <v>3527</v>
      </c>
      <c r="K83" s="23" t="s">
        <v>3528</v>
      </c>
    </row>
    <row r="84" customFormat="false" ht="35.05" hidden="false" customHeight="false" outlineLevel="0" collapsed="false">
      <c r="A84" s="22" t="s">
        <v>3788</v>
      </c>
      <c r="B84" s="22" t="s">
        <v>38</v>
      </c>
      <c r="C84" s="22" t="s">
        <v>127</v>
      </c>
      <c r="D84" s="22" t="n">
        <v>40</v>
      </c>
      <c r="E84" s="22" t="s">
        <v>197</v>
      </c>
      <c r="F84" s="23" t="s">
        <v>3789</v>
      </c>
      <c r="G84" s="23" t="s">
        <v>3790</v>
      </c>
      <c r="H84" s="22" t="s">
        <v>405</v>
      </c>
      <c r="I84" s="22" t="s">
        <v>342</v>
      </c>
      <c r="J84" s="23" t="s">
        <v>3791</v>
      </c>
      <c r="K84" s="23" t="s">
        <v>3792</v>
      </c>
    </row>
    <row r="85" customFormat="false" ht="35.05" hidden="false" customHeight="false" outlineLevel="0" collapsed="false">
      <c r="A85" s="22" t="s">
        <v>3950</v>
      </c>
      <c r="B85" s="22" t="s">
        <v>38</v>
      </c>
      <c r="C85" s="22" t="s">
        <v>394</v>
      </c>
      <c r="D85" s="22" t="n">
        <v>25</v>
      </c>
      <c r="E85" s="22" t="s">
        <v>129</v>
      </c>
      <c r="F85" s="23" t="s">
        <v>3951</v>
      </c>
      <c r="G85" s="23" t="s">
        <v>3952</v>
      </c>
      <c r="H85" s="22" t="s">
        <v>405</v>
      </c>
      <c r="I85" s="22" t="s">
        <v>390</v>
      </c>
      <c r="J85" s="23" t="s">
        <v>3953</v>
      </c>
      <c r="K85" s="23" t="s">
        <v>3954</v>
      </c>
    </row>
    <row r="86" customFormat="false" ht="46.25" hidden="false" customHeight="false" outlineLevel="0" collapsed="false">
      <c r="A86" s="22" t="s">
        <v>3992</v>
      </c>
      <c r="B86" s="22" t="s">
        <v>38</v>
      </c>
      <c r="C86" s="22" t="s">
        <v>525</v>
      </c>
      <c r="D86" s="22" t="n">
        <v>34</v>
      </c>
      <c r="E86" s="22" t="s">
        <v>197</v>
      </c>
      <c r="F86" s="23" t="s">
        <v>3993</v>
      </c>
      <c r="G86" s="23" t="s">
        <v>3994</v>
      </c>
      <c r="H86" s="22" t="s">
        <v>405</v>
      </c>
      <c r="I86" s="22" t="s">
        <v>342</v>
      </c>
      <c r="J86" s="23" t="s">
        <v>3995</v>
      </c>
      <c r="K86" s="23" t="s">
        <v>3996</v>
      </c>
    </row>
    <row r="87" customFormat="false" ht="46.25" hidden="false" customHeight="false" outlineLevel="0" collapsed="false">
      <c r="A87" s="22" t="s">
        <v>4053</v>
      </c>
      <c r="B87" s="22" t="s">
        <v>38</v>
      </c>
      <c r="C87" s="22" t="s">
        <v>525</v>
      </c>
      <c r="D87" s="22" t="n">
        <v>71</v>
      </c>
      <c r="E87" s="22" t="s">
        <v>197</v>
      </c>
      <c r="F87" s="23" t="s">
        <v>4054</v>
      </c>
      <c r="G87" s="23" t="s">
        <v>4055</v>
      </c>
      <c r="H87" s="22" t="s">
        <v>326</v>
      </c>
      <c r="I87" s="22" t="s">
        <v>390</v>
      </c>
      <c r="J87" s="23" t="s">
        <v>4056</v>
      </c>
      <c r="K87" s="23" t="s">
        <v>4057</v>
      </c>
    </row>
    <row r="88" customFormat="false" ht="35.05" hidden="false" customHeight="false" outlineLevel="0" collapsed="false">
      <c r="A88" s="22" t="s">
        <v>4269</v>
      </c>
      <c r="B88" s="22" t="s">
        <v>38</v>
      </c>
      <c r="C88" s="22" t="s">
        <v>811</v>
      </c>
      <c r="D88" s="22" t="n">
        <v>40</v>
      </c>
      <c r="E88" s="22" t="s">
        <v>152</v>
      </c>
      <c r="F88" s="23" t="s">
        <v>4270</v>
      </c>
      <c r="G88" s="23" t="s">
        <v>4271</v>
      </c>
      <c r="H88" s="22" t="s">
        <v>405</v>
      </c>
      <c r="I88" s="22" t="s">
        <v>390</v>
      </c>
      <c r="J88" s="23" t="s">
        <v>4273</v>
      </c>
      <c r="K88" s="23" t="s">
        <v>4274</v>
      </c>
    </row>
    <row r="89" customFormat="false" ht="46.25" hidden="false" customHeight="false" outlineLevel="0" collapsed="false">
      <c r="A89" s="22" t="s">
        <v>4419</v>
      </c>
      <c r="B89" s="22" t="s">
        <v>38</v>
      </c>
      <c r="C89" s="22" t="s">
        <v>811</v>
      </c>
      <c r="D89" s="22" t="n">
        <v>103</v>
      </c>
      <c r="E89" s="22" t="s">
        <v>152</v>
      </c>
      <c r="F89" s="23" t="s">
        <v>4420</v>
      </c>
      <c r="G89" s="23" t="s">
        <v>4421</v>
      </c>
      <c r="H89" s="22" t="s">
        <v>405</v>
      </c>
      <c r="I89" s="22" t="s">
        <v>342</v>
      </c>
      <c r="J89" s="23" t="s">
        <v>4422</v>
      </c>
      <c r="K89" s="23" t="s">
        <v>4423</v>
      </c>
    </row>
    <row r="90" customFormat="false" ht="35.05" hidden="false" customHeight="false" outlineLevel="0" collapsed="false">
      <c r="A90" s="22" t="s">
        <v>4585</v>
      </c>
      <c r="B90" s="22" t="s">
        <v>38</v>
      </c>
      <c r="C90" s="22" t="s">
        <v>1135</v>
      </c>
      <c r="D90" s="22" t="n">
        <v>43</v>
      </c>
      <c r="E90" s="22" t="s">
        <v>307</v>
      </c>
      <c r="F90" s="23" t="s">
        <v>4586</v>
      </c>
      <c r="G90" s="23" t="s">
        <v>4587</v>
      </c>
      <c r="H90" s="22" t="s">
        <v>326</v>
      </c>
      <c r="I90" s="22" t="s">
        <v>390</v>
      </c>
      <c r="J90" s="23" t="s">
        <v>4588</v>
      </c>
      <c r="K90" s="23" t="s">
        <v>4589</v>
      </c>
    </row>
    <row r="91" customFormat="false" ht="46.25" hidden="false" customHeight="false" outlineLevel="0" collapsed="false">
      <c r="A91" s="22" t="s">
        <v>4745</v>
      </c>
      <c r="B91" s="22" t="s">
        <v>38</v>
      </c>
      <c r="C91" s="22" t="s">
        <v>1440</v>
      </c>
      <c r="D91" s="22" t="n">
        <v>31</v>
      </c>
      <c r="E91" s="22" t="s">
        <v>197</v>
      </c>
      <c r="F91" s="23" t="s">
        <v>4746</v>
      </c>
      <c r="G91" s="23" t="s">
        <v>4747</v>
      </c>
      <c r="H91" s="22" t="s">
        <v>405</v>
      </c>
      <c r="I91" s="22" t="s">
        <v>327</v>
      </c>
      <c r="J91" s="23" t="s">
        <v>4748</v>
      </c>
      <c r="K91" s="23" t="s">
        <v>4749</v>
      </c>
    </row>
    <row r="92" customFormat="false" ht="46.25" hidden="false" customHeight="false" outlineLevel="0" collapsed="false">
      <c r="A92" s="22" t="s">
        <v>4764</v>
      </c>
      <c r="B92" s="22" t="s">
        <v>38</v>
      </c>
      <c r="C92" s="22" t="s">
        <v>1440</v>
      </c>
      <c r="D92" s="22" t="n">
        <v>33</v>
      </c>
      <c r="E92" s="22" t="s">
        <v>197</v>
      </c>
      <c r="F92" s="23" t="s">
        <v>4765</v>
      </c>
      <c r="G92" s="23" t="s">
        <v>4766</v>
      </c>
      <c r="H92" s="22" t="s">
        <v>405</v>
      </c>
      <c r="I92" s="22" t="s">
        <v>390</v>
      </c>
      <c r="J92" s="23" t="s">
        <v>4767</v>
      </c>
      <c r="K92" s="23" t="s">
        <v>4768</v>
      </c>
    </row>
    <row r="93" customFormat="false" ht="46.25" hidden="false" customHeight="false" outlineLevel="0" collapsed="false">
      <c r="A93" s="22" t="s">
        <v>5020</v>
      </c>
      <c r="B93" s="22" t="s">
        <v>38</v>
      </c>
      <c r="C93" s="22" t="s">
        <v>1697</v>
      </c>
      <c r="D93" s="22" t="n">
        <v>58</v>
      </c>
      <c r="E93" s="22" t="s">
        <v>141</v>
      </c>
      <c r="F93" s="23" t="s">
        <v>5021</v>
      </c>
      <c r="G93" s="23" t="s">
        <v>1783</v>
      </c>
      <c r="H93" s="22" t="s">
        <v>405</v>
      </c>
      <c r="I93" s="22" t="s">
        <v>390</v>
      </c>
      <c r="J93" s="23" t="s">
        <v>5022</v>
      </c>
      <c r="K93" s="23" t="s">
        <v>5023</v>
      </c>
    </row>
    <row r="94" customFormat="false" ht="35.05" hidden="false" customHeight="false" outlineLevel="0" collapsed="false">
      <c r="A94" s="22" t="s">
        <v>5306</v>
      </c>
      <c r="B94" s="22" t="s">
        <v>38</v>
      </c>
      <c r="C94" s="22" t="s">
        <v>2122</v>
      </c>
      <c r="D94" s="22" t="n">
        <v>35</v>
      </c>
      <c r="E94" s="22" t="s">
        <v>129</v>
      </c>
      <c r="F94" s="23" t="s">
        <v>5307</v>
      </c>
      <c r="G94" s="23" t="s">
        <v>5308</v>
      </c>
      <c r="H94" s="22" t="s">
        <v>405</v>
      </c>
      <c r="I94" s="22" t="s">
        <v>390</v>
      </c>
      <c r="J94" s="23" t="s">
        <v>5309</v>
      </c>
      <c r="K94" s="23" t="s">
        <v>5310</v>
      </c>
    </row>
    <row r="95" customFormat="false" ht="35.05" hidden="false" customHeight="false" outlineLevel="0" collapsed="false">
      <c r="A95" s="22" t="s">
        <v>5401</v>
      </c>
      <c r="B95" s="22" t="s">
        <v>38</v>
      </c>
      <c r="C95" s="22" t="s">
        <v>2122</v>
      </c>
      <c r="D95" s="22" t="n">
        <v>82</v>
      </c>
      <c r="E95" s="22" t="s">
        <v>141</v>
      </c>
      <c r="F95" s="23" t="s">
        <v>5402</v>
      </c>
      <c r="G95" s="23" t="s">
        <v>5403</v>
      </c>
      <c r="H95" s="22" t="s">
        <v>405</v>
      </c>
      <c r="I95" s="22" t="s">
        <v>327</v>
      </c>
      <c r="J95" s="23" t="s">
        <v>5404</v>
      </c>
      <c r="K95" s="23" t="s">
        <v>5405</v>
      </c>
    </row>
    <row r="96" customFormat="false" ht="35.05" hidden="false" customHeight="false" outlineLevel="0" collapsed="false">
      <c r="A96" s="22" t="s">
        <v>5510</v>
      </c>
      <c r="B96" s="22" t="s">
        <v>38</v>
      </c>
      <c r="C96" s="22" t="s">
        <v>2295</v>
      </c>
      <c r="D96" s="22" t="n">
        <v>75</v>
      </c>
      <c r="E96" s="22" t="s">
        <v>129</v>
      </c>
      <c r="F96" s="23" t="s">
        <v>5511</v>
      </c>
      <c r="G96" s="23" t="s">
        <v>5512</v>
      </c>
      <c r="H96" s="22" t="s">
        <v>405</v>
      </c>
      <c r="I96" s="22" t="s">
        <v>342</v>
      </c>
      <c r="J96" s="23" t="s">
        <v>5514</v>
      </c>
      <c r="K96" s="23" t="s">
        <v>5515</v>
      </c>
    </row>
    <row r="97" customFormat="false" ht="46.25" hidden="false" customHeight="false" outlineLevel="0" collapsed="false">
      <c r="A97" s="22" t="s">
        <v>5763</v>
      </c>
      <c r="B97" s="22" t="s">
        <v>38</v>
      </c>
      <c r="C97" s="22" t="s">
        <v>2683</v>
      </c>
      <c r="D97" s="22" t="n">
        <v>25</v>
      </c>
      <c r="E97" s="22" t="s">
        <v>129</v>
      </c>
      <c r="F97" s="23" t="s">
        <v>5764</v>
      </c>
      <c r="G97" s="23" t="s">
        <v>5765</v>
      </c>
      <c r="H97" s="22" t="s">
        <v>405</v>
      </c>
      <c r="I97" s="22" t="s">
        <v>390</v>
      </c>
      <c r="J97" s="23" t="s">
        <v>5766</v>
      </c>
      <c r="K97" s="23" t="s">
        <v>5767</v>
      </c>
    </row>
    <row r="98" customFormat="false" ht="46.25" hidden="false" customHeight="false" outlineLevel="0" collapsed="false">
      <c r="A98" s="22" t="s">
        <v>5768</v>
      </c>
      <c r="B98" s="22" t="s">
        <v>38</v>
      </c>
      <c r="C98" s="22" t="s">
        <v>2683</v>
      </c>
      <c r="D98" s="22" t="n">
        <v>25</v>
      </c>
      <c r="E98" s="22" t="s">
        <v>141</v>
      </c>
      <c r="F98" s="23" t="s">
        <v>5764</v>
      </c>
      <c r="G98" s="23" t="s">
        <v>5765</v>
      </c>
      <c r="H98" s="22" t="s">
        <v>405</v>
      </c>
      <c r="I98" s="22" t="s">
        <v>390</v>
      </c>
      <c r="J98" s="23" t="s">
        <v>5766</v>
      </c>
      <c r="K98" s="23" t="s">
        <v>5767</v>
      </c>
    </row>
    <row r="99" customFormat="false" ht="46.25" hidden="false" customHeight="false" outlineLevel="0" collapsed="false">
      <c r="A99" s="22" t="s">
        <v>5769</v>
      </c>
      <c r="B99" s="22" t="s">
        <v>38</v>
      </c>
      <c r="C99" s="22" t="s">
        <v>2683</v>
      </c>
      <c r="D99" s="22" t="n">
        <v>25</v>
      </c>
      <c r="E99" s="22" t="s">
        <v>197</v>
      </c>
      <c r="F99" s="23" t="s">
        <v>5764</v>
      </c>
      <c r="G99" s="23" t="s">
        <v>5765</v>
      </c>
      <c r="H99" s="22" t="s">
        <v>405</v>
      </c>
      <c r="I99" s="22" t="s">
        <v>390</v>
      </c>
      <c r="J99" s="23" t="s">
        <v>5766</v>
      </c>
      <c r="K99" s="23" t="s">
        <v>5767</v>
      </c>
    </row>
    <row r="100" customFormat="false" ht="35.05" hidden="false" customHeight="false" outlineLevel="0" collapsed="false">
      <c r="A100" s="22" t="s">
        <v>5926</v>
      </c>
      <c r="B100" s="22" t="s">
        <v>38</v>
      </c>
      <c r="C100" s="22" t="s">
        <v>2849</v>
      </c>
      <c r="D100" s="22" t="n">
        <v>32</v>
      </c>
      <c r="E100" s="22" t="s">
        <v>197</v>
      </c>
      <c r="F100" s="23" t="s">
        <v>5927</v>
      </c>
      <c r="G100" s="23" t="s">
        <v>5928</v>
      </c>
      <c r="H100" s="22" t="s">
        <v>405</v>
      </c>
      <c r="I100" s="22" t="s">
        <v>390</v>
      </c>
      <c r="J100" s="23" t="s">
        <v>5929</v>
      </c>
      <c r="K100" s="23" t="s">
        <v>5930</v>
      </c>
    </row>
    <row r="101" customFormat="false" ht="46.25" hidden="false" customHeight="false" outlineLevel="0" collapsed="false">
      <c r="A101" s="22" t="s">
        <v>5938</v>
      </c>
      <c r="B101" s="22" t="s">
        <v>38</v>
      </c>
      <c r="C101" s="22" t="s">
        <v>2849</v>
      </c>
      <c r="D101" s="22" t="n">
        <v>36</v>
      </c>
      <c r="E101" s="22" t="s">
        <v>197</v>
      </c>
      <c r="F101" s="23" t="s">
        <v>5939</v>
      </c>
      <c r="G101" s="23" t="s">
        <v>5940</v>
      </c>
      <c r="H101" s="22" t="s">
        <v>398</v>
      </c>
      <c r="I101" s="22" t="s">
        <v>327</v>
      </c>
      <c r="J101" s="23" t="s">
        <v>5941</v>
      </c>
      <c r="K101" s="23" t="s">
        <v>5942</v>
      </c>
    </row>
    <row r="102" customFormat="false" ht="46.25" hidden="false" customHeight="false" outlineLevel="0" collapsed="false">
      <c r="A102" s="22" t="s">
        <v>6285</v>
      </c>
      <c r="B102" s="22" t="s">
        <v>38</v>
      </c>
      <c r="C102" s="22" t="s">
        <v>3305</v>
      </c>
      <c r="D102" s="22" t="n">
        <v>9</v>
      </c>
      <c r="E102" s="22" t="s">
        <v>129</v>
      </c>
      <c r="F102" s="23" t="s">
        <v>6286</v>
      </c>
      <c r="G102" s="23" t="s">
        <v>6287</v>
      </c>
      <c r="H102" s="22" t="s">
        <v>405</v>
      </c>
      <c r="I102" s="22" t="s">
        <v>390</v>
      </c>
      <c r="J102" s="23" t="s">
        <v>6288</v>
      </c>
      <c r="K102" s="23" t="s">
        <v>6289</v>
      </c>
    </row>
    <row r="103" customFormat="false" ht="35.05" hidden="false" customHeight="false" outlineLevel="0" collapsed="false">
      <c r="A103" s="22" t="s">
        <v>6290</v>
      </c>
      <c r="B103" s="22" t="s">
        <v>38</v>
      </c>
      <c r="C103" s="22" t="s">
        <v>3305</v>
      </c>
      <c r="D103" s="22" t="n">
        <v>9</v>
      </c>
      <c r="E103" s="22" t="s">
        <v>197</v>
      </c>
      <c r="F103" s="23" t="s">
        <v>6291</v>
      </c>
      <c r="G103" s="23" t="s">
        <v>6292</v>
      </c>
      <c r="H103" s="22" t="s">
        <v>405</v>
      </c>
      <c r="I103" s="22" t="s">
        <v>390</v>
      </c>
      <c r="J103" s="23" t="s">
        <v>6293</v>
      </c>
      <c r="K103" s="23" t="s">
        <v>6294</v>
      </c>
    </row>
    <row r="104" customFormat="false" ht="35.05" hidden="false" customHeight="false" outlineLevel="0" collapsed="false">
      <c r="A104" s="22" t="s">
        <v>6374</v>
      </c>
      <c r="B104" s="22" t="s">
        <v>38</v>
      </c>
      <c r="C104" s="22" t="s">
        <v>3392</v>
      </c>
      <c r="D104" s="22" t="n">
        <v>15</v>
      </c>
      <c r="E104" s="22" t="s">
        <v>129</v>
      </c>
      <c r="F104" s="23" t="s">
        <v>6375</v>
      </c>
      <c r="G104" s="23" t="s">
        <v>6376</v>
      </c>
      <c r="H104" s="22" t="s">
        <v>1166</v>
      </c>
      <c r="I104" s="22" t="s">
        <v>342</v>
      </c>
      <c r="J104" s="23" t="s">
        <v>6377</v>
      </c>
      <c r="K104" s="23" t="s">
        <v>6378</v>
      </c>
    </row>
    <row r="105" customFormat="false" ht="46.25" hidden="false" customHeight="false" outlineLevel="0" collapsed="false">
      <c r="A105" s="22" t="s">
        <v>6379</v>
      </c>
      <c r="B105" s="22" t="s">
        <v>38</v>
      </c>
      <c r="C105" s="22" t="s">
        <v>3392</v>
      </c>
      <c r="D105" s="22" t="n">
        <v>15</v>
      </c>
      <c r="E105" s="22" t="s">
        <v>197</v>
      </c>
      <c r="F105" s="23" t="s">
        <v>6380</v>
      </c>
      <c r="G105" s="23" t="s">
        <v>6381</v>
      </c>
      <c r="H105" s="22" t="s">
        <v>405</v>
      </c>
      <c r="I105" s="22" t="s">
        <v>390</v>
      </c>
      <c r="J105" s="23" t="s">
        <v>6382</v>
      </c>
      <c r="K105" s="23" t="s">
        <v>6383</v>
      </c>
    </row>
    <row r="106" customFormat="false" ht="35.05" hidden="false" customHeight="false" outlineLevel="0" collapsed="false">
      <c r="A106" s="22" t="s">
        <v>6470</v>
      </c>
      <c r="B106" s="22" t="s">
        <v>38</v>
      </c>
      <c r="C106" s="22" t="s">
        <v>3516</v>
      </c>
      <c r="D106" s="22" t="n">
        <v>4</v>
      </c>
      <c r="E106" s="22" t="s">
        <v>152</v>
      </c>
      <c r="F106" s="23" t="s">
        <v>6471</v>
      </c>
      <c r="G106" s="23" t="s">
        <v>6472</v>
      </c>
      <c r="H106" s="22" t="s">
        <v>405</v>
      </c>
      <c r="I106" s="22" t="s">
        <v>342</v>
      </c>
      <c r="J106" s="23" t="s">
        <v>6473</v>
      </c>
      <c r="K106" s="23" t="s">
        <v>6474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5" min="2" style="0" width="14"/>
  </cols>
  <sheetData>
    <row r="1" customFormat="false" ht="17.35" hidden="false" customHeight="false" outlineLevel="0" collapsed="false">
      <c r="A1" s="1" t="s">
        <v>6606</v>
      </c>
    </row>
    <row r="2" customFormat="false" ht="15" hidden="false" customHeight="false" outlineLevel="0" collapsed="false">
      <c r="A2" s="4" t="s">
        <v>6607</v>
      </c>
    </row>
    <row r="4" customFormat="false" ht="15" hidden="false" customHeight="false" outlineLevel="0" collapsed="false">
      <c r="A4" s="12" t="s">
        <v>37</v>
      </c>
    </row>
    <row r="5" customFormat="false" ht="26.85" hidden="false" customHeight="false" outlineLevel="0" collapsed="false">
      <c r="A5" s="6" t="s">
        <v>6608</v>
      </c>
      <c r="B5" s="6" t="s">
        <v>66</v>
      </c>
      <c r="C5" s="6" t="s">
        <v>68</v>
      </c>
      <c r="D5" s="6" t="s">
        <v>6593</v>
      </c>
      <c r="E5" s="6" t="s">
        <v>6609</v>
      </c>
    </row>
    <row r="6" customFormat="false" ht="15" hidden="false" customHeight="false" outlineLevel="0" collapsed="false">
      <c r="A6" s="21" t="s">
        <v>82</v>
      </c>
      <c r="B6" s="7" t="n">
        <f aca="false">COUNTIFS(QA_Detail!$B$2:$B$988,"InternVL",QA_Detail!$L$2:$L$988,"REVISE",QA_Detail!$N$2:$N$988,"Factual/Numerical",QA_Detail!$M$2:$M$988,"Minor")</f>
        <v>0</v>
      </c>
      <c r="C6" s="7" t="n">
        <f aca="false">COUNTIFS(QA_Detail!$B$2:$B$988,"InternVL",QA_Detail!$L$2:$L$988,"REVISE",QA_Detail!$N$2:$N$988,"Factual/Numerical",QA_Detail!$M$2:$M$988,"Major")</f>
        <v>234</v>
      </c>
      <c r="D6" s="7" t="n">
        <f aca="false">B6+C6</f>
        <v>234</v>
      </c>
      <c r="E6" s="11" t="n">
        <f aca="false">IFERROR(D6/$D$15,0)</f>
        <v>0.553191489361702</v>
      </c>
    </row>
    <row r="7" customFormat="false" ht="15" hidden="false" customHeight="false" outlineLevel="0" collapsed="false">
      <c r="A7" s="21" t="s">
        <v>83</v>
      </c>
      <c r="B7" s="7" t="n">
        <f aca="false">COUNTIFS(QA_Detail!$B$2:$B$988,"InternVL",QA_Detail!$L$2:$L$988,"REVISE",QA_Detail!$N$2:$N$988,"Calculation",QA_Detail!$M$2:$M$988,"Minor")</f>
        <v>0</v>
      </c>
      <c r="C7" s="7" t="n">
        <f aca="false">COUNTIFS(QA_Detail!$B$2:$B$988,"InternVL",QA_Detail!$L$2:$L$988,"REVISE",QA_Detail!$N$2:$N$988,"Calculation",QA_Detail!$M$2:$M$988,"Major")</f>
        <v>8</v>
      </c>
      <c r="D7" s="7" t="n">
        <f aca="false">B7+C7</f>
        <v>8</v>
      </c>
      <c r="E7" s="11" t="n">
        <f aca="false">IFERROR(D7/$D$15,0)</f>
        <v>0.0189125295508274</v>
      </c>
    </row>
    <row r="8" customFormat="false" ht="15" hidden="false" customHeight="false" outlineLevel="0" collapsed="false">
      <c r="A8" s="21" t="s">
        <v>84</v>
      </c>
      <c r="B8" s="7" t="n">
        <f aca="false">COUNTIFS(QA_Detail!$B$2:$B$988,"InternVL",QA_Detail!$L$2:$L$988,"REVISE",QA_Detail!$N$2:$N$988,"Reasoning",QA_Detail!$M$2:$M$988,"Minor")</f>
        <v>2</v>
      </c>
      <c r="C8" s="7" t="n">
        <f aca="false">COUNTIFS(QA_Detail!$B$2:$B$988,"InternVL",QA_Detail!$L$2:$L$988,"REVISE",QA_Detail!$N$2:$N$988,"Reasoning",QA_Detail!$M$2:$M$988,"Major")</f>
        <v>44</v>
      </c>
      <c r="D8" s="7" t="n">
        <f aca="false">B8+C8</f>
        <v>46</v>
      </c>
      <c r="E8" s="11" t="n">
        <f aca="false">IFERROR(D8/$D$15,0)</f>
        <v>0.108747044917258</v>
      </c>
    </row>
    <row r="9" customFormat="false" ht="15" hidden="false" customHeight="false" outlineLevel="0" collapsed="false">
      <c r="A9" s="21" t="s">
        <v>85</v>
      </c>
      <c r="B9" s="7" t="n">
        <f aca="false">COUNTIFS(QA_Detail!$B$2:$B$988,"InternVL",QA_Detail!$L$2:$L$988,"REVISE",QA_Detail!$N$2:$N$988,"Temporal",QA_Detail!$M$2:$M$988,"Minor")</f>
        <v>14</v>
      </c>
      <c r="C9" s="7" t="n">
        <f aca="false">COUNTIFS(QA_Detail!$B$2:$B$988,"InternVL",QA_Detail!$L$2:$L$988,"REVISE",QA_Detail!$N$2:$N$988,"Temporal",QA_Detail!$M$2:$M$988,"Major")</f>
        <v>23</v>
      </c>
      <c r="D9" s="7" t="n">
        <f aca="false">B9+C9</f>
        <v>37</v>
      </c>
      <c r="E9" s="11" t="n">
        <f aca="false">IFERROR(D9/$D$15,0)</f>
        <v>0.0874704491725768</v>
      </c>
    </row>
    <row r="10" customFormat="false" ht="15" hidden="false" customHeight="false" outlineLevel="0" collapsed="false">
      <c r="A10" s="21" t="s">
        <v>86</v>
      </c>
      <c r="B10" s="7" t="n">
        <f aca="false">COUNTIFS(QA_Detail!$B$2:$B$988,"InternVL",QA_Detail!$L$2:$L$988,"REVISE",QA_Detail!$N$2:$N$988,"Unit",QA_Detail!$M$2:$M$988,"Minor")</f>
        <v>3</v>
      </c>
      <c r="C10" s="7" t="n">
        <f aca="false">COUNTIFS(QA_Detail!$B$2:$B$988,"InternVL",QA_Detail!$L$2:$L$988,"REVISE",QA_Detail!$N$2:$N$988,"Unit",QA_Detail!$M$2:$M$988,"Major")</f>
        <v>1</v>
      </c>
      <c r="D10" s="7" t="n">
        <f aca="false">B10+C10</f>
        <v>4</v>
      </c>
      <c r="E10" s="11" t="n">
        <f aca="false">IFERROR(D10/$D$15,0)</f>
        <v>0.00945626477541371</v>
      </c>
    </row>
    <row r="11" customFormat="false" ht="15" hidden="false" customHeight="false" outlineLevel="0" collapsed="false">
      <c r="A11" s="21" t="s">
        <v>87</v>
      </c>
      <c r="B11" s="7" t="n">
        <f aca="false">COUNTIFS(QA_Detail!$B$2:$B$988,"InternVL",QA_Detail!$L$2:$L$988,"REVISE",QA_Detail!$N$2:$N$988,"Incomplete",QA_Detail!$M$2:$M$988,"Minor")</f>
        <v>8</v>
      </c>
      <c r="C11" s="7" t="n">
        <f aca="false">COUNTIFS(QA_Detail!$B$2:$B$988,"InternVL",QA_Detail!$L$2:$L$988,"REVISE",QA_Detail!$N$2:$N$988,"Incomplete",QA_Detail!$M$2:$M$988,"Major")</f>
        <v>3</v>
      </c>
      <c r="D11" s="7" t="n">
        <f aca="false">B11+C11</f>
        <v>11</v>
      </c>
      <c r="E11" s="11" t="n">
        <f aca="false">IFERROR(D11/$D$15,0)</f>
        <v>0.0260047281323877</v>
      </c>
    </row>
    <row r="12" customFormat="false" ht="15" hidden="false" customHeight="false" outlineLevel="0" collapsed="false">
      <c r="A12" s="21" t="s">
        <v>88</v>
      </c>
      <c r="B12" s="7" t="n">
        <f aca="false">COUNTIFS(QA_Detail!$B$2:$B$988,"InternVL",QA_Detail!$L$2:$L$988,"REVISE",QA_Detail!$N$2:$N$988,"Instruction-following",QA_Detail!$M$2:$M$988,"Minor")</f>
        <v>41</v>
      </c>
      <c r="C12" s="7" t="n">
        <f aca="false">COUNTIFS(QA_Detail!$B$2:$B$988,"InternVL",QA_Detail!$L$2:$L$988,"REVISE",QA_Detail!$N$2:$N$988,"Instruction-following",QA_Detail!$M$2:$M$988,"Major")</f>
        <v>0</v>
      </c>
      <c r="D12" s="7" t="n">
        <f aca="false">B12+C12</f>
        <v>41</v>
      </c>
      <c r="E12" s="11" t="n">
        <f aca="false">IFERROR(D12/$D$15,0)</f>
        <v>0.0969267139479905</v>
      </c>
    </row>
    <row r="13" customFormat="false" ht="15" hidden="false" customHeight="false" outlineLevel="0" collapsed="false">
      <c r="A13" s="21" t="s">
        <v>89</v>
      </c>
      <c r="B13" s="7" t="n">
        <f aca="false">COUNTIFS(QA_Detail!$B$2:$B$988,"InternVL",QA_Detail!$L$2:$L$988,"REVISE",QA_Detail!$N$2:$N$988,"Format",QA_Detail!$M$2:$M$988,"Minor")</f>
        <v>6</v>
      </c>
      <c r="C13" s="7" t="n">
        <f aca="false">COUNTIFS(QA_Detail!$B$2:$B$988,"InternVL",QA_Detail!$L$2:$L$988,"REVISE",QA_Detail!$N$2:$N$988,"Format",QA_Detail!$M$2:$M$988,"Major")</f>
        <v>0</v>
      </c>
      <c r="D13" s="7" t="n">
        <f aca="false">B13+C13</f>
        <v>6</v>
      </c>
      <c r="E13" s="11" t="n">
        <f aca="false">IFERROR(D13/$D$15,0)</f>
        <v>0.0141843971631206</v>
      </c>
    </row>
    <row r="14" customFormat="false" ht="15" hidden="false" customHeight="false" outlineLevel="0" collapsed="false">
      <c r="A14" s="21" t="s">
        <v>90</v>
      </c>
      <c r="B14" s="7" t="n">
        <f aca="false">COUNTIFS(QA_Detail!$B$2:$B$988,"InternVL",QA_Detail!$L$2:$L$988,"REVISE",QA_Detail!$N$2:$N$988,"Typo/Grammar",QA_Detail!$M$2:$M$988,"Minor")</f>
        <v>34</v>
      </c>
      <c r="C14" s="7" t="n">
        <f aca="false">COUNTIFS(QA_Detail!$B$2:$B$988,"InternVL",QA_Detail!$L$2:$L$988,"REVISE",QA_Detail!$N$2:$N$988,"Typo/Grammar",QA_Detail!$M$2:$M$988,"Major")</f>
        <v>2</v>
      </c>
      <c r="D14" s="7" t="n">
        <f aca="false">B14+C14</f>
        <v>36</v>
      </c>
      <c r="E14" s="11" t="n">
        <f aca="false">IFERROR(D14/$D$15,0)</f>
        <v>0.0851063829787234</v>
      </c>
    </row>
    <row r="15" customFormat="false" ht="15" hidden="false" customHeight="false" outlineLevel="0" collapsed="false">
      <c r="A15" s="5" t="s">
        <v>6610</v>
      </c>
      <c r="B15" s="5" t="n">
        <f aca="false">SUM(B6:B14)</f>
        <v>108</v>
      </c>
      <c r="C15" s="5" t="n">
        <f aca="false">SUM(C6:C14)</f>
        <v>315</v>
      </c>
      <c r="D15" s="5" t="n">
        <f aca="false">SUM(D6:D14)</f>
        <v>423</v>
      </c>
    </row>
    <row r="16" customFormat="false" ht="15" hidden="false" customHeight="false" outlineLevel="0" collapsed="false">
      <c r="A16" s="24" t="s">
        <v>6611</v>
      </c>
      <c r="D16" s="25" t="n">
        <f aca="false">COUNTIFS(QA_Detail!$B$2:$B$988,"InternVL",QA_Detail!$L$2:$L$988,"REVISE",QA_Detail!$R$2:$R$988,"Y")</f>
        <v>46</v>
      </c>
    </row>
    <row r="19" customFormat="false" ht="15" hidden="false" customHeight="false" outlineLevel="0" collapsed="false">
      <c r="A19" s="12" t="s">
        <v>38</v>
      </c>
    </row>
    <row r="20" customFormat="false" ht="26.85" hidden="false" customHeight="false" outlineLevel="0" collapsed="false">
      <c r="A20" s="6" t="s">
        <v>6608</v>
      </c>
      <c r="B20" s="6" t="s">
        <v>66</v>
      </c>
      <c r="C20" s="6" t="s">
        <v>68</v>
      </c>
      <c r="D20" s="6" t="s">
        <v>6593</v>
      </c>
      <c r="E20" s="6" t="s">
        <v>6609</v>
      </c>
    </row>
    <row r="21" customFormat="false" ht="15" hidden="false" customHeight="false" outlineLevel="0" collapsed="false">
      <c r="A21" s="21" t="s">
        <v>82</v>
      </c>
      <c r="B21" s="7" t="n">
        <f aca="false">COUNTIFS(QA_Detail!$B$2:$B$988,"Qwen2.5-VL",QA_Detail!$L$2:$L$988,"REVISE",QA_Detail!$N$2:$N$988,"Factual/Numerical",QA_Detail!$M$2:$M$988,"Minor")</f>
        <v>1</v>
      </c>
      <c r="C21" s="7" t="n">
        <f aca="false">COUNTIFS(QA_Detail!$B$2:$B$988,"Qwen2.5-VL",QA_Detail!$L$2:$L$988,"REVISE",QA_Detail!$N$2:$N$988,"Factual/Numerical",QA_Detail!$M$2:$M$988,"Major")</f>
        <v>83</v>
      </c>
      <c r="D21" s="7" t="n">
        <f aca="false">B21+C21</f>
        <v>84</v>
      </c>
      <c r="E21" s="11" t="n">
        <f aca="false">IFERROR(D21/$D$30,0)</f>
        <v>0.23013698630137</v>
      </c>
    </row>
    <row r="22" customFormat="false" ht="15" hidden="false" customHeight="false" outlineLevel="0" collapsed="false">
      <c r="A22" s="21" t="s">
        <v>83</v>
      </c>
      <c r="B22" s="7" t="n">
        <f aca="false">COUNTIFS(QA_Detail!$B$2:$B$988,"Qwen2.5-VL",QA_Detail!$L$2:$L$988,"REVISE",QA_Detail!$N$2:$N$988,"Calculation",QA_Detail!$M$2:$M$988,"Minor")</f>
        <v>0</v>
      </c>
      <c r="C22" s="7" t="n">
        <f aca="false">COUNTIFS(QA_Detail!$B$2:$B$988,"Qwen2.5-VL",QA_Detail!$L$2:$L$988,"REVISE",QA_Detail!$N$2:$N$988,"Calculation",QA_Detail!$M$2:$M$988,"Major")</f>
        <v>10</v>
      </c>
      <c r="D22" s="7" t="n">
        <f aca="false">B22+C22</f>
        <v>10</v>
      </c>
      <c r="E22" s="11" t="n">
        <f aca="false">IFERROR(D22/$D$30,0)</f>
        <v>0.0273972602739726</v>
      </c>
    </row>
    <row r="23" customFormat="false" ht="15" hidden="false" customHeight="false" outlineLevel="0" collapsed="false">
      <c r="A23" s="21" t="s">
        <v>84</v>
      </c>
      <c r="B23" s="7" t="n">
        <f aca="false">COUNTIFS(QA_Detail!$B$2:$B$988,"Qwen2.5-VL",QA_Detail!$L$2:$L$988,"REVISE",QA_Detail!$N$2:$N$988,"Reasoning",QA_Detail!$M$2:$M$988,"Minor")</f>
        <v>2</v>
      </c>
      <c r="C23" s="7" t="n">
        <f aca="false">COUNTIFS(QA_Detail!$B$2:$B$988,"Qwen2.5-VL",QA_Detail!$L$2:$L$988,"REVISE",QA_Detail!$N$2:$N$988,"Reasoning",QA_Detail!$M$2:$M$988,"Major")</f>
        <v>32</v>
      </c>
      <c r="D23" s="7" t="n">
        <f aca="false">B23+C23</f>
        <v>34</v>
      </c>
      <c r="E23" s="11" t="n">
        <f aca="false">IFERROR(D23/$D$30,0)</f>
        <v>0.0931506849315069</v>
      </c>
    </row>
    <row r="24" customFormat="false" ht="15" hidden="false" customHeight="false" outlineLevel="0" collapsed="false">
      <c r="A24" s="21" t="s">
        <v>85</v>
      </c>
      <c r="B24" s="7" t="n">
        <f aca="false">COUNTIFS(QA_Detail!$B$2:$B$988,"Qwen2.5-VL",QA_Detail!$L$2:$L$988,"REVISE",QA_Detail!$N$2:$N$988,"Temporal",QA_Detail!$M$2:$M$988,"Minor")</f>
        <v>6</v>
      </c>
      <c r="C24" s="7" t="n">
        <f aca="false">COUNTIFS(QA_Detail!$B$2:$B$988,"Qwen2.5-VL",QA_Detail!$L$2:$L$988,"REVISE",QA_Detail!$N$2:$N$988,"Temporal",QA_Detail!$M$2:$M$988,"Major")</f>
        <v>11</v>
      </c>
      <c r="D24" s="7" t="n">
        <f aca="false">B24+C24</f>
        <v>17</v>
      </c>
      <c r="E24" s="11" t="n">
        <f aca="false">IFERROR(D24/$D$30,0)</f>
        <v>0.0465753424657534</v>
      </c>
    </row>
    <row r="25" customFormat="false" ht="15" hidden="false" customHeight="false" outlineLevel="0" collapsed="false">
      <c r="A25" s="21" t="s">
        <v>86</v>
      </c>
      <c r="B25" s="7" t="n">
        <f aca="false">COUNTIFS(QA_Detail!$B$2:$B$988,"Qwen2.5-VL",QA_Detail!$L$2:$L$988,"REVISE",QA_Detail!$N$2:$N$988,"Unit",QA_Detail!$M$2:$M$988,"Minor")</f>
        <v>4</v>
      </c>
      <c r="C25" s="7" t="n">
        <f aca="false">COUNTIFS(QA_Detail!$B$2:$B$988,"Qwen2.5-VL",QA_Detail!$L$2:$L$988,"REVISE",QA_Detail!$N$2:$N$988,"Unit",QA_Detail!$M$2:$M$988,"Major")</f>
        <v>1</v>
      </c>
      <c r="D25" s="7" t="n">
        <f aca="false">B25+C25</f>
        <v>5</v>
      </c>
      <c r="E25" s="11" t="n">
        <f aca="false">IFERROR(D25/$D$30,0)</f>
        <v>0.0136986301369863</v>
      </c>
    </row>
    <row r="26" customFormat="false" ht="15" hidden="false" customHeight="false" outlineLevel="0" collapsed="false">
      <c r="A26" s="21" t="s">
        <v>87</v>
      </c>
      <c r="B26" s="7" t="n">
        <f aca="false">COUNTIFS(QA_Detail!$B$2:$B$988,"Qwen2.5-VL",QA_Detail!$L$2:$L$988,"REVISE",QA_Detail!$N$2:$N$988,"Incomplete",QA_Detail!$M$2:$M$988,"Minor")</f>
        <v>11</v>
      </c>
      <c r="C26" s="7" t="n">
        <f aca="false">COUNTIFS(QA_Detail!$B$2:$B$988,"Qwen2.5-VL",QA_Detail!$L$2:$L$988,"REVISE",QA_Detail!$N$2:$N$988,"Incomplete",QA_Detail!$M$2:$M$988,"Major")</f>
        <v>17</v>
      </c>
      <c r="D26" s="7" t="n">
        <f aca="false">B26+C26</f>
        <v>28</v>
      </c>
      <c r="E26" s="11" t="n">
        <f aca="false">IFERROR(D26/$D$30,0)</f>
        <v>0.0767123287671233</v>
      </c>
    </row>
    <row r="27" customFormat="false" ht="15" hidden="false" customHeight="false" outlineLevel="0" collapsed="false">
      <c r="A27" s="21" t="s">
        <v>88</v>
      </c>
      <c r="B27" s="7" t="n">
        <f aca="false">COUNTIFS(QA_Detail!$B$2:$B$988,"Qwen2.5-VL",QA_Detail!$L$2:$L$988,"REVISE",QA_Detail!$N$2:$N$988,"Instruction-following",QA_Detail!$M$2:$M$988,"Minor")</f>
        <v>154</v>
      </c>
      <c r="C27" s="7" t="n">
        <f aca="false">COUNTIFS(QA_Detail!$B$2:$B$988,"Qwen2.5-VL",QA_Detail!$L$2:$L$988,"REVISE",QA_Detail!$N$2:$N$988,"Instruction-following",QA_Detail!$M$2:$M$988,"Major")</f>
        <v>3</v>
      </c>
      <c r="D27" s="7" t="n">
        <f aca="false">B27+C27</f>
        <v>157</v>
      </c>
      <c r="E27" s="11" t="n">
        <f aca="false">IFERROR(D27/$D$30,0)</f>
        <v>0.43013698630137</v>
      </c>
    </row>
    <row r="28" customFormat="false" ht="15" hidden="false" customHeight="false" outlineLevel="0" collapsed="false">
      <c r="A28" s="21" t="s">
        <v>89</v>
      </c>
      <c r="B28" s="7" t="n">
        <f aca="false">COUNTIFS(QA_Detail!$B$2:$B$988,"Qwen2.5-VL",QA_Detail!$L$2:$L$988,"REVISE",QA_Detail!$N$2:$N$988,"Format",QA_Detail!$M$2:$M$988,"Minor")</f>
        <v>5</v>
      </c>
      <c r="C28" s="7" t="n">
        <f aca="false">COUNTIFS(QA_Detail!$B$2:$B$988,"Qwen2.5-VL",QA_Detail!$L$2:$L$988,"REVISE",QA_Detail!$N$2:$N$988,"Format",QA_Detail!$M$2:$M$988,"Major")</f>
        <v>0</v>
      </c>
      <c r="D28" s="7" t="n">
        <f aca="false">B28+C28</f>
        <v>5</v>
      </c>
      <c r="E28" s="11" t="n">
        <f aca="false">IFERROR(D28/$D$30,0)</f>
        <v>0.0136986301369863</v>
      </c>
    </row>
    <row r="29" customFormat="false" ht="15" hidden="false" customHeight="false" outlineLevel="0" collapsed="false">
      <c r="A29" s="21" t="s">
        <v>90</v>
      </c>
      <c r="B29" s="7" t="n">
        <f aca="false">COUNTIFS(QA_Detail!$B$2:$B$988,"Qwen2.5-VL",QA_Detail!$L$2:$L$988,"REVISE",QA_Detail!$N$2:$N$988,"Typo/Grammar",QA_Detail!$M$2:$M$988,"Minor")</f>
        <v>25</v>
      </c>
      <c r="C29" s="7" t="n">
        <f aca="false">COUNTIFS(QA_Detail!$B$2:$B$988,"Qwen2.5-VL",QA_Detail!$L$2:$L$988,"REVISE",QA_Detail!$N$2:$N$988,"Typo/Grammar",QA_Detail!$M$2:$M$988,"Major")</f>
        <v>0</v>
      </c>
      <c r="D29" s="7" t="n">
        <f aca="false">B29+C29</f>
        <v>25</v>
      </c>
      <c r="E29" s="11" t="n">
        <f aca="false">IFERROR(D29/$D$30,0)</f>
        <v>0.0684931506849315</v>
      </c>
    </row>
    <row r="30" customFormat="false" ht="15" hidden="false" customHeight="false" outlineLevel="0" collapsed="false">
      <c r="A30" s="5" t="s">
        <v>6610</v>
      </c>
      <c r="B30" s="5" t="n">
        <f aca="false">SUM(B21:B29)</f>
        <v>208</v>
      </c>
      <c r="C30" s="5" t="n">
        <f aca="false">SUM(C21:C29)</f>
        <v>157</v>
      </c>
      <c r="D30" s="5" t="n">
        <f aca="false">SUM(D21:D29)</f>
        <v>365</v>
      </c>
    </row>
    <row r="31" customFormat="false" ht="15" hidden="false" customHeight="false" outlineLevel="0" collapsed="false">
      <c r="A31" s="24" t="s">
        <v>6611</v>
      </c>
      <c r="D31" s="25" t="n">
        <f aca="false">COUNTIFS(QA_Detail!$B$2:$B$988,"Qwen2.5-VL",QA_Detail!$L$2:$L$988,"REVISE",QA_Detail!$R$2:$R$988,"Y")</f>
        <v>128</v>
      </c>
    </row>
    <row r="34" customFormat="false" ht="15" hidden="false" customHeight="false" outlineLevel="0" collapsed="false">
      <c r="A34" s="12" t="s">
        <v>39</v>
      </c>
    </row>
    <row r="35" customFormat="false" ht="26.85" hidden="false" customHeight="false" outlineLevel="0" collapsed="false">
      <c r="A35" s="6" t="s">
        <v>6608</v>
      </c>
      <c r="B35" s="6" t="s">
        <v>66</v>
      </c>
      <c r="C35" s="6" t="s">
        <v>68</v>
      </c>
      <c r="D35" s="6" t="s">
        <v>6593</v>
      </c>
      <c r="E35" s="6" t="s">
        <v>6609</v>
      </c>
    </row>
    <row r="36" customFormat="false" ht="15" hidden="false" customHeight="false" outlineLevel="0" collapsed="false">
      <c r="A36" s="21" t="s">
        <v>82</v>
      </c>
      <c r="B36" s="7" t="n">
        <f aca="false">COUNTIFS(QA_Detail!$B$2:$B$988,"*",QA_Detail!$L$2:$L$988,"REVISE",QA_Detail!$N$2:$N$988,"Factual/Numerical",QA_Detail!$M$2:$M$988,"Minor")</f>
        <v>1</v>
      </c>
      <c r="C36" s="7" t="n">
        <f aca="false">COUNTIFS(QA_Detail!$B$2:$B$988,"*",QA_Detail!$L$2:$L$988,"REVISE",QA_Detail!$N$2:$N$988,"Factual/Numerical",QA_Detail!$M$2:$M$988,"Major")</f>
        <v>317</v>
      </c>
      <c r="D36" s="7" t="n">
        <f aca="false">B36+C36</f>
        <v>318</v>
      </c>
      <c r="E36" s="11" t="n">
        <f aca="false">IFERROR(D36/$D$45,0)</f>
        <v>0.403553299492386</v>
      </c>
    </row>
    <row r="37" customFormat="false" ht="15" hidden="false" customHeight="false" outlineLevel="0" collapsed="false">
      <c r="A37" s="21" t="s">
        <v>83</v>
      </c>
      <c r="B37" s="7" t="n">
        <f aca="false">COUNTIFS(QA_Detail!$B$2:$B$988,"*",QA_Detail!$L$2:$L$988,"REVISE",QA_Detail!$N$2:$N$988,"Calculation",QA_Detail!$M$2:$M$988,"Minor")</f>
        <v>0</v>
      </c>
      <c r="C37" s="7" t="n">
        <f aca="false">COUNTIFS(QA_Detail!$B$2:$B$988,"*",QA_Detail!$L$2:$L$988,"REVISE",QA_Detail!$N$2:$N$988,"Calculation",QA_Detail!$M$2:$M$988,"Major")</f>
        <v>18</v>
      </c>
      <c r="D37" s="7" t="n">
        <f aca="false">B37+C37</f>
        <v>18</v>
      </c>
      <c r="E37" s="11" t="n">
        <f aca="false">IFERROR(D37/$D$45,0)</f>
        <v>0.0228426395939086</v>
      </c>
    </row>
    <row r="38" customFormat="false" ht="15" hidden="false" customHeight="false" outlineLevel="0" collapsed="false">
      <c r="A38" s="21" t="s">
        <v>84</v>
      </c>
      <c r="B38" s="7" t="n">
        <f aca="false">COUNTIFS(QA_Detail!$B$2:$B$988,"*",QA_Detail!$L$2:$L$988,"REVISE",QA_Detail!$N$2:$N$988,"Reasoning",QA_Detail!$M$2:$M$988,"Minor")</f>
        <v>4</v>
      </c>
      <c r="C38" s="7" t="n">
        <f aca="false">COUNTIFS(QA_Detail!$B$2:$B$988,"*",QA_Detail!$L$2:$L$988,"REVISE",QA_Detail!$N$2:$N$988,"Reasoning",QA_Detail!$M$2:$M$988,"Major")</f>
        <v>76</v>
      </c>
      <c r="D38" s="7" t="n">
        <f aca="false">B38+C38</f>
        <v>80</v>
      </c>
      <c r="E38" s="11" t="n">
        <f aca="false">IFERROR(D38/$D$45,0)</f>
        <v>0.101522842639594</v>
      </c>
    </row>
    <row r="39" customFormat="false" ht="15" hidden="false" customHeight="false" outlineLevel="0" collapsed="false">
      <c r="A39" s="21" t="s">
        <v>85</v>
      </c>
      <c r="B39" s="7" t="n">
        <f aca="false">COUNTIFS(QA_Detail!$B$2:$B$988,"*",QA_Detail!$L$2:$L$988,"REVISE",QA_Detail!$N$2:$N$988,"Temporal",QA_Detail!$M$2:$M$988,"Minor")</f>
        <v>20</v>
      </c>
      <c r="C39" s="7" t="n">
        <f aca="false">COUNTIFS(QA_Detail!$B$2:$B$988,"*",QA_Detail!$L$2:$L$988,"REVISE",QA_Detail!$N$2:$N$988,"Temporal",QA_Detail!$M$2:$M$988,"Major")</f>
        <v>34</v>
      </c>
      <c r="D39" s="7" t="n">
        <f aca="false">B39+C39</f>
        <v>54</v>
      </c>
      <c r="E39" s="11" t="n">
        <f aca="false">IFERROR(D39/$D$45,0)</f>
        <v>0.0685279187817259</v>
      </c>
    </row>
    <row r="40" customFormat="false" ht="15" hidden="false" customHeight="false" outlineLevel="0" collapsed="false">
      <c r="A40" s="21" t="s">
        <v>86</v>
      </c>
      <c r="B40" s="7" t="n">
        <f aca="false">COUNTIFS(QA_Detail!$B$2:$B$988,"*",QA_Detail!$L$2:$L$988,"REVISE",QA_Detail!$N$2:$N$988,"Unit",QA_Detail!$M$2:$M$988,"Minor")</f>
        <v>7</v>
      </c>
      <c r="C40" s="7" t="n">
        <f aca="false">COUNTIFS(QA_Detail!$B$2:$B$988,"*",QA_Detail!$L$2:$L$988,"REVISE",QA_Detail!$N$2:$N$988,"Unit",QA_Detail!$M$2:$M$988,"Major")</f>
        <v>2</v>
      </c>
      <c r="D40" s="7" t="n">
        <f aca="false">B40+C40</f>
        <v>9</v>
      </c>
      <c r="E40" s="11" t="n">
        <f aca="false">IFERROR(D40/$D$45,0)</f>
        <v>0.0114213197969543</v>
      </c>
    </row>
    <row r="41" customFormat="false" ht="15" hidden="false" customHeight="false" outlineLevel="0" collapsed="false">
      <c r="A41" s="21" t="s">
        <v>87</v>
      </c>
      <c r="B41" s="7" t="n">
        <f aca="false">COUNTIFS(QA_Detail!$B$2:$B$988,"*",QA_Detail!$L$2:$L$988,"REVISE",QA_Detail!$N$2:$N$988,"Incomplete",QA_Detail!$M$2:$M$988,"Minor")</f>
        <v>19</v>
      </c>
      <c r="C41" s="7" t="n">
        <f aca="false">COUNTIFS(QA_Detail!$B$2:$B$988,"*",QA_Detail!$L$2:$L$988,"REVISE",QA_Detail!$N$2:$N$988,"Incomplete",QA_Detail!$M$2:$M$988,"Major")</f>
        <v>20</v>
      </c>
      <c r="D41" s="7" t="n">
        <f aca="false">B41+C41</f>
        <v>39</v>
      </c>
      <c r="E41" s="11" t="n">
        <f aca="false">IFERROR(D41/$D$45,0)</f>
        <v>0.049492385786802</v>
      </c>
    </row>
    <row r="42" customFormat="false" ht="15" hidden="false" customHeight="false" outlineLevel="0" collapsed="false">
      <c r="A42" s="21" t="s">
        <v>88</v>
      </c>
      <c r="B42" s="7" t="n">
        <f aca="false">COUNTIFS(QA_Detail!$B$2:$B$988,"*",QA_Detail!$L$2:$L$988,"REVISE",QA_Detail!$N$2:$N$988,"Instruction-following",QA_Detail!$M$2:$M$988,"Minor")</f>
        <v>195</v>
      </c>
      <c r="C42" s="7" t="n">
        <f aca="false">COUNTIFS(QA_Detail!$B$2:$B$988,"*",QA_Detail!$L$2:$L$988,"REVISE",QA_Detail!$N$2:$N$988,"Instruction-following",QA_Detail!$M$2:$M$988,"Major")</f>
        <v>3</v>
      </c>
      <c r="D42" s="7" t="n">
        <f aca="false">B42+C42</f>
        <v>198</v>
      </c>
      <c r="E42" s="11" t="n">
        <f aca="false">IFERROR(D42/$D$45,0)</f>
        <v>0.251269035532995</v>
      </c>
    </row>
    <row r="43" customFormat="false" ht="15" hidden="false" customHeight="false" outlineLevel="0" collapsed="false">
      <c r="A43" s="21" t="s">
        <v>89</v>
      </c>
      <c r="B43" s="7" t="n">
        <f aca="false">COUNTIFS(QA_Detail!$B$2:$B$988,"*",QA_Detail!$L$2:$L$988,"REVISE",QA_Detail!$N$2:$N$988,"Format",QA_Detail!$M$2:$M$988,"Minor")</f>
        <v>11</v>
      </c>
      <c r="C43" s="7" t="n">
        <f aca="false">COUNTIFS(QA_Detail!$B$2:$B$988,"*",QA_Detail!$L$2:$L$988,"REVISE",QA_Detail!$N$2:$N$988,"Format",QA_Detail!$M$2:$M$988,"Major")</f>
        <v>0</v>
      </c>
      <c r="D43" s="7" t="n">
        <f aca="false">B43+C43</f>
        <v>11</v>
      </c>
      <c r="E43" s="11" t="n">
        <f aca="false">IFERROR(D43/$D$45,0)</f>
        <v>0.0139593908629442</v>
      </c>
    </row>
    <row r="44" customFormat="false" ht="15" hidden="false" customHeight="false" outlineLevel="0" collapsed="false">
      <c r="A44" s="21" t="s">
        <v>90</v>
      </c>
      <c r="B44" s="7" t="n">
        <f aca="false">COUNTIFS(QA_Detail!$B$2:$B$988,"*",QA_Detail!$L$2:$L$988,"REVISE",QA_Detail!$N$2:$N$988,"Typo/Grammar",QA_Detail!$M$2:$M$988,"Minor")</f>
        <v>59</v>
      </c>
      <c r="C44" s="7" t="n">
        <f aca="false">COUNTIFS(QA_Detail!$B$2:$B$988,"*",QA_Detail!$L$2:$L$988,"REVISE",QA_Detail!$N$2:$N$988,"Typo/Grammar",QA_Detail!$M$2:$M$988,"Major")</f>
        <v>2</v>
      </c>
      <c r="D44" s="7" t="n">
        <f aca="false">B44+C44</f>
        <v>61</v>
      </c>
      <c r="E44" s="11" t="n">
        <f aca="false">IFERROR(D44/$D$45,0)</f>
        <v>0.0774111675126904</v>
      </c>
    </row>
    <row r="45" customFormat="false" ht="15" hidden="false" customHeight="false" outlineLevel="0" collapsed="false">
      <c r="A45" s="5" t="s">
        <v>6610</v>
      </c>
      <c r="B45" s="5" t="n">
        <f aca="false">SUM(B36:B44)</f>
        <v>316</v>
      </c>
      <c r="C45" s="5" t="n">
        <f aca="false">SUM(C36:C44)</f>
        <v>472</v>
      </c>
      <c r="D45" s="5" t="n">
        <f aca="false">SUM(D36:D44)</f>
        <v>788</v>
      </c>
    </row>
    <row r="46" customFormat="false" ht="15" hidden="false" customHeight="false" outlineLevel="0" collapsed="false">
      <c r="A46" s="24" t="s">
        <v>6611</v>
      </c>
      <c r="D46" s="25" t="n">
        <f aca="false">COUNTIFS(QA_Detail!$B$2:$B$988,"*",QA_Detail!$L$2:$L$988,"REVISE",QA_Detail!$R$2:$R$988,"Y")</f>
        <v>174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6"/>
    <col collapsed="false" customWidth="true" hidden="false" outlineLevel="0" max="4" min="4" style="0" width="34"/>
    <col collapsed="false" customWidth="true" hidden="false" outlineLevel="0" max="5" min="5" style="0" width="7"/>
    <col collapsed="false" customWidth="true" hidden="false" outlineLevel="0" max="6" min="6" style="0" width="24"/>
    <col collapsed="false" customWidth="true" hidden="false" outlineLevel="0" max="8" min="7" style="0" width="45"/>
    <col collapsed="false" customWidth="true" hidden="false" outlineLevel="0" max="9" min="9" style="0" width="40"/>
  </cols>
  <sheetData>
    <row r="1" customFormat="false" ht="17.35" hidden="false" customHeight="false" outlineLevel="0" collapsed="false">
      <c r="A1" s="1" t="s">
        <v>6612</v>
      </c>
    </row>
    <row r="2" customFormat="false" ht="15" hidden="false" customHeight="false" outlineLevel="0" collapsed="false">
      <c r="A2" s="4" t="s">
        <v>6613</v>
      </c>
    </row>
    <row r="4" customFormat="false" ht="26.85" hidden="false" customHeight="false" outlineLevel="0" collapsed="false">
      <c r="A4" s="6" t="s">
        <v>94</v>
      </c>
      <c r="B4" s="6" t="s">
        <v>95</v>
      </c>
      <c r="C4" s="6" t="s">
        <v>96</v>
      </c>
      <c r="D4" s="6" t="s">
        <v>97</v>
      </c>
      <c r="E4" s="6" t="s">
        <v>98</v>
      </c>
      <c r="F4" s="6" t="s">
        <v>6589</v>
      </c>
      <c r="G4" s="6" t="s">
        <v>101</v>
      </c>
      <c r="H4" s="6" t="s">
        <v>102</v>
      </c>
      <c r="I4" s="6" t="s">
        <v>6614</v>
      </c>
    </row>
    <row r="5" customFormat="false" ht="23.85" hidden="false" customHeight="false" outlineLevel="0" collapsed="false">
      <c r="A5" s="15" t="s">
        <v>37</v>
      </c>
      <c r="B5" s="15" t="s">
        <v>127</v>
      </c>
      <c r="C5" s="15" t="n">
        <v>18</v>
      </c>
      <c r="D5" s="15" t="s">
        <v>6615</v>
      </c>
      <c r="E5" s="15" t="n">
        <v>0</v>
      </c>
      <c r="F5" s="15" t="s">
        <v>129</v>
      </c>
      <c r="G5" s="3" t="s">
        <v>6616</v>
      </c>
      <c r="H5" s="3" t="s">
        <v>6617</v>
      </c>
      <c r="I5" s="15" t="s">
        <v>6618</v>
      </c>
    </row>
    <row r="6" customFormat="false" ht="23.85" hidden="false" customHeight="false" outlineLevel="0" collapsed="false">
      <c r="A6" s="15" t="s">
        <v>37</v>
      </c>
      <c r="B6" s="15" t="s">
        <v>127</v>
      </c>
      <c r="C6" s="15" t="n">
        <v>18</v>
      </c>
      <c r="D6" s="15" t="s">
        <v>6615</v>
      </c>
      <c r="E6" s="15" t="n">
        <v>1</v>
      </c>
      <c r="F6" s="15" t="s">
        <v>152</v>
      </c>
      <c r="G6" s="3" t="s">
        <v>6619</v>
      </c>
      <c r="H6" s="3" t="s">
        <v>6620</v>
      </c>
      <c r="I6" s="15" t="s">
        <v>6618</v>
      </c>
    </row>
    <row r="7" customFormat="false" ht="23.85" hidden="false" customHeight="false" outlineLevel="0" collapsed="false">
      <c r="A7" s="15" t="s">
        <v>37</v>
      </c>
      <c r="B7" s="15" t="s">
        <v>127</v>
      </c>
      <c r="C7" s="15" t="n">
        <v>18</v>
      </c>
      <c r="D7" s="15" t="s">
        <v>6615</v>
      </c>
      <c r="E7" s="15" t="n">
        <v>2</v>
      </c>
      <c r="F7" s="15" t="s">
        <v>141</v>
      </c>
      <c r="G7" s="3" t="s">
        <v>6621</v>
      </c>
      <c r="H7" s="3" t="s">
        <v>6622</v>
      </c>
      <c r="I7" s="15" t="s">
        <v>6618</v>
      </c>
    </row>
    <row r="8" customFormat="false" ht="23.85" hidden="false" customHeight="false" outlineLevel="0" collapsed="false">
      <c r="A8" s="15" t="s">
        <v>37</v>
      </c>
      <c r="B8" s="15" t="s">
        <v>394</v>
      </c>
      <c r="C8" s="15" t="n">
        <v>22</v>
      </c>
      <c r="D8" s="15" t="s">
        <v>6623</v>
      </c>
      <c r="E8" s="15" t="n">
        <v>0</v>
      </c>
      <c r="F8" s="15" t="s">
        <v>197</v>
      </c>
      <c r="G8" s="3" t="s">
        <v>6624</v>
      </c>
      <c r="H8" s="3" t="s">
        <v>6625</v>
      </c>
      <c r="I8" s="15" t="s">
        <v>6618</v>
      </c>
    </row>
    <row r="9" customFormat="false" ht="23.85" hidden="false" customHeight="false" outlineLevel="0" collapsed="false">
      <c r="A9" s="15" t="s">
        <v>37</v>
      </c>
      <c r="B9" s="15" t="s">
        <v>394</v>
      </c>
      <c r="C9" s="15" t="n">
        <v>22</v>
      </c>
      <c r="D9" s="15" t="s">
        <v>6623</v>
      </c>
      <c r="E9" s="15" t="n">
        <v>1</v>
      </c>
      <c r="F9" s="15" t="s">
        <v>141</v>
      </c>
      <c r="G9" s="3" t="s">
        <v>6626</v>
      </c>
      <c r="H9" s="3" t="s">
        <v>6627</v>
      </c>
      <c r="I9" s="15" t="s">
        <v>6618</v>
      </c>
    </row>
    <row r="10" customFormat="false" ht="23.85" hidden="false" customHeight="false" outlineLevel="0" collapsed="false">
      <c r="A10" s="15" t="s">
        <v>37</v>
      </c>
      <c r="B10" s="15" t="s">
        <v>394</v>
      </c>
      <c r="C10" s="15" t="n">
        <v>22</v>
      </c>
      <c r="D10" s="15" t="s">
        <v>6623</v>
      </c>
      <c r="E10" s="15" t="n">
        <v>2</v>
      </c>
      <c r="F10" s="15" t="s">
        <v>129</v>
      </c>
      <c r="G10" s="3" t="s">
        <v>6628</v>
      </c>
      <c r="H10" s="3" t="s">
        <v>6629</v>
      </c>
      <c r="I10" s="15" t="s">
        <v>6618</v>
      </c>
    </row>
    <row r="11" customFormat="false" ht="23.85" hidden="false" customHeight="false" outlineLevel="0" collapsed="false">
      <c r="A11" s="15" t="s">
        <v>37</v>
      </c>
      <c r="B11" s="15" t="s">
        <v>811</v>
      </c>
      <c r="C11" s="15" t="n">
        <v>68</v>
      </c>
      <c r="D11" s="15" t="s">
        <v>6630</v>
      </c>
      <c r="E11" s="15" t="n">
        <v>0</v>
      </c>
      <c r="F11" s="15" t="s">
        <v>129</v>
      </c>
      <c r="G11" s="3" t="s">
        <v>6631</v>
      </c>
      <c r="H11" s="3" t="s">
        <v>6632</v>
      </c>
      <c r="I11" s="15" t="s">
        <v>6618</v>
      </c>
    </row>
    <row r="12" customFormat="false" ht="46.25" hidden="false" customHeight="false" outlineLevel="0" collapsed="false">
      <c r="A12" s="15" t="s">
        <v>37</v>
      </c>
      <c r="B12" s="15" t="s">
        <v>811</v>
      </c>
      <c r="C12" s="15" t="n">
        <v>68</v>
      </c>
      <c r="D12" s="15" t="s">
        <v>6630</v>
      </c>
      <c r="E12" s="15" t="n">
        <v>1</v>
      </c>
      <c r="F12" s="15" t="s">
        <v>197</v>
      </c>
      <c r="G12" s="3" t="s">
        <v>6633</v>
      </c>
      <c r="H12" s="3" t="s">
        <v>6634</v>
      </c>
      <c r="I12" s="15" t="s">
        <v>6618</v>
      </c>
    </row>
    <row r="13" customFormat="false" ht="23.85" hidden="false" customHeight="false" outlineLevel="0" collapsed="false">
      <c r="A13" s="15" t="s">
        <v>37</v>
      </c>
      <c r="B13" s="15" t="s">
        <v>811</v>
      </c>
      <c r="C13" s="15" t="n">
        <v>68</v>
      </c>
      <c r="D13" s="15" t="s">
        <v>6630</v>
      </c>
      <c r="E13" s="15" t="n">
        <v>2</v>
      </c>
      <c r="F13" s="15" t="s">
        <v>141</v>
      </c>
      <c r="G13" s="3" t="s">
        <v>6635</v>
      </c>
      <c r="H13" s="3" t="s">
        <v>6636</v>
      </c>
      <c r="I13" s="15" t="s">
        <v>6618</v>
      </c>
    </row>
    <row r="14" customFormat="false" ht="35.05" hidden="false" customHeight="false" outlineLevel="0" collapsed="false">
      <c r="A14" s="15" t="s">
        <v>37</v>
      </c>
      <c r="B14" s="15" t="s">
        <v>1135</v>
      </c>
      <c r="C14" s="15" t="n">
        <v>72</v>
      </c>
      <c r="D14" s="15" t="s">
        <v>6637</v>
      </c>
      <c r="E14" s="15" t="n">
        <v>0</v>
      </c>
      <c r="F14" s="15" t="s">
        <v>141</v>
      </c>
      <c r="G14" s="3" t="s">
        <v>6638</v>
      </c>
      <c r="H14" s="3" t="s">
        <v>6639</v>
      </c>
      <c r="I14" s="15" t="s">
        <v>6618</v>
      </c>
    </row>
    <row r="15" customFormat="false" ht="23.85" hidden="false" customHeight="false" outlineLevel="0" collapsed="false">
      <c r="A15" s="15" t="s">
        <v>37</v>
      </c>
      <c r="B15" s="15" t="s">
        <v>1135</v>
      </c>
      <c r="C15" s="15" t="n">
        <v>72</v>
      </c>
      <c r="D15" s="15" t="s">
        <v>6637</v>
      </c>
      <c r="E15" s="15" t="n">
        <v>1</v>
      </c>
      <c r="F15" s="15" t="s">
        <v>152</v>
      </c>
      <c r="G15" s="3" t="s">
        <v>6640</v>
      </c>
      <c r="H15" s="3" t="s">
        <v>6641</v>
      </c>
      <c r="I15" s="15" t="s">
        <v>6618</v>
      </c>
    </row>
    <row r="16" customFormat="false" ht="35.05" hidden="false" customHeight="false" outlineLevel="0" collapsed="false">
      <c r="A16" s="15" t="s">
        <v>37</v>
      </c>
      <c r="B16" s="15" t="s">
        <v>1135</v>
      </c>
      <c r="C16" s="15" t="n">
        <v>72</v>
      </c>
      <c r="D16" s="15" t="s">
        <v>6637</v>
      </c>
      <c r="E16" s="15" t="n">
        <v>2</v>
      </c>
      <c r="F16" s="15" t="s">
        <v>129</v>
      </c>
      <c r="G16" s="3" t="s">
        <v>6642</v>
      </c>
      <c r="H16" s="3" t="s">
        <v>6643</v>
      </c>
      <c r="I16" s="15" t="s">
        <v>6618</v>
      </c>
    </row>
    <row r="17" customFormat="false" ht="23.85" hidden="false" customHeight="false" outlineLevel="0" collapsed="false">
      <c r="A17" s="15" t="s">
        <v>38</v>
      </c>
      <c r="B17" s="15" t="s">
        <v>127</v>
      </c>
      <c r="C17" s="15" t="n">
        <v>18</v>
      </c>
      <c r="D17" s="15" t="s">
        <v>6615</v>
      </c>
      <c r="E17" s="15" t="n">
        <v>0</v>
      </c>
      <c r="F17" s="15" t="s">
        <v>129</v>
      </c>
      <c r="G17" s="3" t="s">
        <v>6644</v>
      </c>
      <c r="H17" s="3" t="s">
        <v>6645</v>
      </c>
      <c r="I17" s="15" t="s">
        <v>6618</v>
      </c>
    </row>
    <row r="18" customFormat="false" ht="23.85" hidden="false" customHeight="false" outlineLevel="0" collapsed="false">
      <c r="A18" s="15" t="s">
        <v>38</v>
      </c>
      <c r="B18" s="15" t="s">
        <v>127</v>
      </c>
      <c r="C18" s="15" t="n">
        <v>18</v>
      </c>
      <c r="D18" s="15" t="s">
        <v>6615</v>
      </c>
      <c r="E18" s="15" t="n">
        <v>1</v>
      </c>
      <c r="F18" s="15" t="s">
        <v>197</v>
      </c>
      <c r="G18" s="3" t="s">
        <v>6646</v>
      </c>
      <c r="H18" s="3" t="s">
        <v>6647</v>
      </c>
      <c r="I18" s="15" t="s">
        <v>6618</v>
      </c>
    </row>
    <row r="19" customFormat="false" ht="23.85" hidden="false" customHeight="false" outlineLevel="0" collapsed="false">
      <c r="A19" s="15" t="s">
        <v>38</v>
      </c>
      <c r="B19" s="15" t="s">
        <v>127</v>
      </c>
      <c r="C19" s="15" t="n">
        <v>18</v>
      </c>
      <c r="D19" s="15" t="s">
        <v>6615</v>
      </c>
      <c r="E19" s="15" t="n">
        <v>2</v>
      </c>
      <c r="F19" s="15" t="s">
        <v>141</v>
      </c>
      <c r="G19" s="3" t="s">
        <v>6648</v>
      </c>
      <c r="H19" s="3" t="s">
        <v>6649</v>
      </c>
      <c r="I19" s="15" t="s">
        <v>6618</v>
      </c>
    </row>
    <row r="20" customFormat="false" ht="23.85" hidden="false" customHeight="false" outlineLevel="0" collapsed="false">
      <c r="A20" s="15" t="s">
        <v>38</v>
      </c>
      <c r="B20" s="15" t="s">
        <v>394</v>
      </c>
      <c r="C20" s="15" t="n">
        <v>22</v>
      </c>
      <c r="D20" s="15" t="s">
        <v>6623</v>
      </c>
      <c r="E20" s="15" t="n">
        <v>0</v>
      </c>
      <c r="F20" s="15" t="s">
        <v>152</v>
      </c>
      <c r="G20" s="3" t="s">
        <v>6650</v>
      </c>
      <c r="H20" s="3" t="s">
        <v>6651</v>
      </c>
      <c r="I20" s="15" t="s">
        <v>6618</v>
      </c>
    </row>
    <row r="21" customFormat="false" ht="23.85" hidden="false" customHeight="false" outlineLevel="0" collapsed="false">
      <c r="A21" s="15" t="s">
        <v>38</v>
      </c>
      <c r="B21" s="15" t="s">
        <v>394</v>
      </c>
      <c r="C21" s="15" t="n">
        <v>22</v>
      </c>
      <c r="D21" s="15" t="s">
        <v>6623</v>
      </c>
      <c r="E21" s="15" t="n">
        <v>1</v>
      </c>
      <c r="F21" s="15" t="s">
        <v>197</v>
      </c>
      <c r="G21" s="3" t="s">
        <v>6652</v>
      </c>
      <c r="H21" s="3" t="s">
        <v>6653</v>
      </c>
      <c r="I21" s="15" t="s">
        <v>6618</v>
      </c>
    </row>
    <row r="22" customFormat="false" ht="23.85" hidden="false" customHeight="false" outlineLevel="0" collapsed="false">
      <c r="A22" s="15" t="s">
        <v>38</v>
      </c>
      <c r="B22" s="15" t="s">
        <v>394</v>
      </c>
      <c r="C22" s="15" t="n">
        <v>22</v>
      </c>
      <c r="D22" s="15" t="s">
        <v>6623</v>
      </c>
      <c r="E22" s="15" t="n">
        <v>2</v>
      </c>
      <c r="F22" s="15" t="s">
        <v>129</v>
      </c>
      <c r="G22" s="3" t="s">
        <v>6654</v>
      </c>
      <c r="H22" s="3" t="s">
        <v>6655</v>
      </c>
      <c r="I22" s="15" t="s">
        <v>6618</v>
      </c>
    </row>
    <row r="23" customFormat="false" ht="23.85" hidden="false" customHeight="false" outlineLevel="0" collapsed="false">
      <c r="A23" s="15" t="s">
        <v>38</v>
      </c>
      <c r="B23" s="15" t="s">
        <v>811</v>
      </c>
      <c r="C23" s="15" t="n">
        <v>68</v>
      </c>
      <c r="D23" s="15" t="s">
        <v>6630</v>
      </c>
      <c r="E23" s="15" t="n">
        <v>0</v>
      </c>
      <c r="F23" s="15" t="s">
        <v>129</v>
      </c>
      <c r="G23" s="3" t="s">
        <v>6656</v>
      </c>
      <c r="H23" s="3" t="s">
        <v>4328</v>
      </c>
      <c r="I23" s="15" t="s">
        <v>6618</v>
      </c>
    </row>
    <row r="24" customFormat="false" ht="15" hidden="false" customHeight="false" outlineLevel="0" collapsed="false">
      <c r="A24" s="15" t="s">
        <v>38</v>
      </c>
      <c r="B24" s="15" t="s">
        <v>811</v>
      </c>
      <c r="C24" s="15" t="n">
        <v>68</v>
      </c>
      <c r="D24" s="15" t="s">
        <v>6630</v>
      </c>
      <c r="E24" s="15" t="n">
        <v>1</v>
      </c>
      <c r="F24" s="15" t="s">
        <v>197</v>
      </c>
      <c r="G24" s="3" t="s">
        <v>6657</v>
      </c>
      <c r="H24" s="3" t="s">
        <v>6658</v>
      </c>
      <c r="I24" s="15" t="s">
        <v>6618</v>
      </c>
    </row>
    <row r="25" customFormat="false" ht="23.85" hidden="false" customHeight="false" outlineLevel="0" collapsed="false">
      <c r="A25" s="15" t="s">
        <v>38</v>
      </c>
      <c r="B25" s="15" t="s">
        <v>811</v>
      </c>
      <c r="C25" s="15" t="n">
        <v>68</v>
      </c>
      <c r="D25" s="15" t="s">
        <v>6630</v>
      </c>
      <c r="E25" s="15" t="n">
        <v>2</v>
      </c>
      <c r="F25" s="15" t="s">
        <v>141</v>
      </c>
      <c r="G25" s="3" t="s">
        <v>6659</v>
      </c>
      <c r="H25" s="3" t="s">
        <v>6660</v>
      </c>
      <c r="I25" s="15" t="s">
        <v>6618</v>
      </c>
    </row>
    <row r="26" customFormat="false" ht="23.85" hidden="false" customHeight="false" outlineLevel="0" collapsed="false">
      <c r="A26" s="15" t="s">
        <v>38</v>
      </c>
      <c r="B26" s="15" t="s">
        <v>1135</v>
      </c>
      <c r="C26" s="15" t="n">
        <v>72</v>
      </c>
      <c r="D26" s="15" t="s">
        <v>6637</v>
      </c>
      <c r="E26" s="15" t="n">
        <v>0</v>
      </c>
      <c r="F26" s="15" t="s">
        <v>307</v>
      </c>
      <c r="G26" s="3" t="s">
        <v>6661</v>
      </c>
      <c r="H26" s="3" t="s">
        <v>6662</v>
      </c>
      <c r="I26" s="15" t="s">
        <v>6618</v>
      </c>
    </row>
    <row r="27" customFormat="false" ht="23.85" hidden="false" customHeight="false" outlineLevel="0" collapsed="false">
      <c r="A27" s="15" t="s">
        <v>38</v>
      </c>
      <c r="B27" s="15" t="s">
        <v>1135</v>
      </c>
      <c r="C27" s="15" t="n">
        <v>72</v>
      </c>
      <c r="D27" s="15" t="s">
        <v>6637</v>
      </c>
      <c r="E27" s="15" t="n">
        <v>1</v>
      </c>
      <c r="F27" s="15" t="s">
        <v>129</v>
      </c>
      <c r="G27" s="3" t="s">
        <v>6663</v>
      </c>
      <c r="H27" s="3" t="s">
        <v>6664</v>
      </c>
      <c r="I27" s="15" t="s">
        <v>6618</v>
      </c>
    </row>
    <row r="28" customFormat="false" ht="23.85" hidden="false" customHeight="false" outlineLevel="0" collapsed="false">
      <c r="A28" s="15" t="s">
        <v>38</v>
      </c>
      <c r="B28" s="15" t="s">
        <v>1135</v>
      </c>
      <c r="C28" s="15" t="n">
        <v>72</v>
      </c>
      <c r="D28" s="15" t="s">
        <v>6637</v>
      </c>
      <c r="E28" s="15" t="n">
        <v>2</v>
      </c>
      <c r="F28" s="15" t="s">
        <v>197</v>
      </c>
      <c r="G28" s="3" t="s">
        <v>6665</v>
      </c>
      <c r="H28" s="3" t="s">
        <v>6666</v>
      </c>
      <c r="I28" s="15" t="s">
        <v>6618</v>
      </c>
    </row>
    <row r="29" customFormat="false" ht="15" hidden="false" customHeight="false" outlineLevel="0" collapsed="false">
      <c r="A29" s="25" t="s">
        <v>38</v>
      </c>
      <c r="B29" s="25" t="s">
        <v>1891</v>
      </c>
      <c r="C29" s="25" t="n">
        <v>68</v>
      </c>
      <c r="D29" s="25" t="s">
        <v>1892</v>
      </c>
      <c r="E29" s="25"/>
      <c r="F29" s="25"/>
      <c r="G29" s="25"/>
      <c r="H29" s="25"/>
      <c r="I29" s="25" t="s">
        <v>6667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2026-09-23T03:40:33Z</dcterms:created>
  <dc:creator>openpyxl</dc:creator>
  <dc:description/>
  <dc:language>en-US</dc:language>
  <cp:lastModifiedBy/>
  <dcterms:modified xsi:type="dcterms:W3CDTF">2026-09-23T10:40:36Z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